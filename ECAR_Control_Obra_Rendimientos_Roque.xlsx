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0a51cedd04e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on" sheetId="1" r:id="R2a095c80411245b2"/>
    <x:sheet xmlns:r="http://schemas.openxmlformats.org/officeDocument/2006/relationships" name="Base Sectores" sheetId="2" r:id="Rc678f822f60c4c5f"/>
    <x:sheet xmlns:r="http://schemas.openxmlformats.org/officeDocument/2006/relationships" name="Cuadrillas" sheetId="3" r:id="R228cdd5f76354908"/>
    <x:sheet xmlns:r="http://schemas.openxmlformats.org/officeDocument/2006/relationships" name="Programacion" sheetId="4" r:id="R5dc204ae53c6400e"/>
    <x:sheet xmlns:r="http://schemas.openxmlformats.org/officeDocument/2006/relationships" name="Control Horas" sheetId="5" r:id="R878c997bccea4761"/>
    <x:sheet xmlns:r="http://schemas.openxmlformats.org/officeDocument/2006/relationships" name="Orden Diaria Imprimible" sheetId="6" r:id="R5b13448fb24c4010"/>
    <x:sheet xmlns:r="http://schemas.openxmlformats.org/officeDocument/2006/relationships" name="Resumen" sheetId="7" r:id="R7c52bdea80e94135"/>
    <x:sheet xmlns:r="http://schemas.openxmlformats.org/officeDocument/2006/relationships" name="98_Listas_Control" sheetId="8" r:id="Raabe739b1cca43d1"/>
    <x:sheet xmlns:r="http://schemas.openxmlformats.org/officeDocument/2006/relationships" name="04_Registro_Tareas" sheetId="9" r:id="R8e0e2efcdf9b458f"/>
    <x:sheet xmlns:r="http://schemas.openxmlformats.org/officeDocument/2006/relationships" name="01_Crear_Tarea" sheetId="10" r:id="R3f9067406a6c4ae9"/>
    <x:sheet xmlns:r="http://schemas.openxmlformats.org/officeDocument/2006/relationships" name="02_Tareas_Abiertas" sheetId="11" r:id="Rb203b01a6d054072"/>
    <x:sheet xmlns:r="http://schemas.openxmlformats.org/officeDocument/2006/relationships" name="03_Cerrar_Tarea" sheetId="12" r:id="R9aac416d77c24256"/>
    <x:sheet xmlns:r="http://schemas.openxmlformats.org/officeDocument/2006/relationships" name="05_Registro_Paradas" sheetId="13" r:id="R517341af3b014c53"/>
    <x:sheet xmlns:r="http://schemas.openxmlformats.org/officeDocument/2006/relationships" name="10_Dashboard_Tareas" sheetId="14" r:id="R3cabdddf358248b6"/>
    <x:sheet xmlns:r="http://schemas.openxmlformats.org/officeDocument/2006/relationships" name="11_Orden_Tarea" sheetId="15" r:id="R173eb33c40234162"/>
    <x:sheet xmlns:r="http://schemas.openxmlformats.org/officeDocument/2006/relationships" name="12_Script_ExcelWeb" sheetId="16" r:id="R39f07bd293f643d9"/>
    <x:sheet xmlns:r="http://schemas.openxmlformats.org/officeDocument/2006/relationships" name="00_INICIO_CONTROL" sheetId="17" r:id="R2ebdd41189af43c8"/>
  </x:sheets>
</x:workbook>
</file>

<file path=xl/sharedStrings.xml><?xml version="1.0" encoding="utf-8"?>
<x:sst xmlns:x="http://schemas.openxmlformats.org/spreadsheetml/2006/main">
  <x:si>
    <x:t xml:space="preserve">ECAR | PROGRAMACIÓN DE OBRA – CONFIGURACIÓN</x:t>
  </x:si>
  <x:si>
    <x:t xml:space="preserve">Dato</x:t>
  </x:si>
  <x:si>
    <x:t xml:space="preserve">Valor</x:t>
  </x:si>
  <x:si>
    <x:t xml:space="preserve">Código</x:t>
  </x:si>
  <x:si>
    <x:t xml:space="preserve">Actividad</x:t>
  </x:si>
  <x:si>
    <x:t xml:space="preserve">Unidad</x:t>
  </x:si>
  <x:si>
    <x:t xml:space="preserve">Rend. inicial/día</x:t>
  </x:si>
  <x:si>
    <x:t xml:space="preserve">Equipo sugerido</x:t>
  </x:si>
  <x:si>
    <x:t xml:space="preserve">Estados</x:t>
  </x:si>
  <x:si>
    <x:t xml:space="preserve">Motivos de desvío</x:t>
  </x:si>
  <x:si>
    <x:t xml:space="preserve">Obra</x:t>
  </x:si>
  <x:si>
    <x:t xml:space="preserve">Loteo Roque – Red Distribuidora de Agua</x:t>
  </x:si>
  <x:si>
    <x:t xml:space="preserve">AG-REP</x:t>
  </x:si>
  <x:si>
    <x:t xml:space="preserve">Replanteo y marcación de traza</x:t>
  </x:si>
  <x:si>
    <x:t xml:space="preserve">ml</x:t>
  </x:si>
  <x:si>
    <x:t xml:space="preserve">Herramientas / topografía</x:t>
  </x:si>
  <x:si>
    <x:t xml:space="preserve">Planificada</x:t>
  </x:si>
  <x:si>
    <x:t xml:space="preserve">Material</x:t>
  </x:si>
  <x:si>
    <x:t xml:space="preserve">Empresa</x:t>
  </x:si>
  <x:si>
    <x:t xml:space="preserve">ECAR SAS</x:t>
  </x:si>
  <x:si>
    <x:t xml:space="preserve">AG-EXC</x:t>
  </x:si>
  <x:si>
    <x:t xml:space="preserve">Excavación de zanja</x:t>
  </x:si>
  <x:si>
    <x:t xml:space="preserve">Retropala</x:t>
  </x:si>
  <x:si>
    <x:t xml:space="preserve">En ejecución</x:t>
  </x:si>
  <x:si>
    <x:t xml:space="preserve">Equipo</x:t>
  </x:si>
  <x:si>
    <x:t xml:space="preserve">Comitente</x:t>
  </x:si>
  <x:si>
    <x:t xml:space="preserve">VALDIVIESO GROUP S.R.L.</x:t>
  </x:si>
  <x:si>
    <x:t xml:space="preserve">AG-FON</x:t>
  </x:si>
  <x:si>
    <x:t xml:space="preserve">Nivelación y conformación del fondo</x:t>
  </x:si>
  <x:si>
    <x:t xml:space="preserve">Herramientas manuales</x:t>
  </x:si>
  <x:si>
    <x:t xml:space="preserve">Terminada</x:t>
  </x:si>
  <x:si>
    <x:t xml:space="preserve">Personal</x:t>
  </x:si>
  <x:si>
    <x:t xml:space="preserve">Horario de obra</x:t>
  </x:si>
  <x:si>
    <x:t xml:space="preserve">07:00 a 15:00</x:t>
  </x:si>
  <x:si>
    <x:t xml:space="preserve">AG-CAM</x:t>
  </x:si>
  <x:si>
    <x:t xml:space="preserve">Cama de asiento compactada</x:t>
  </x:si>
  <x:si>
    <x:t xml:space="preserve">Compactador</x:t>
  </x:si>
  <x:si>
    <x:t xml:space="preserve">Reprogramada</x:t>
  </x:si>
  <x:si>
    <x:t xml:space="preserve">Interferencia</x:t>
  </x:si>
  <x:si>
    <x:t xml:space="preserve">Reunión de arranque</x:t>
  </x:si>
  <x:si>
    <x:t xml:space="preserve">07:00 a 07:10</x:t>
  </x:si>
  <x:si>
    <x:t xml:space="preserve">AG-TUB</x:t>
  </x:si>
  <x:si>
    <x:t xml:space="preserve">Instalación de cañería PEAD</x:t>
  </x:si>
  <x:si>
    <x:t xml:space="preserve">Equipo PEAD / electrofusión</x:t>
  </x:si>
  <x:si>
    <x:t xml:space="preserve">Detenida</x:t>
  </x:si>
  <x:si>
    <x:t xml:space="preserve">Inspección / OSSE</x:t>
  </x:si>
  <x:si>
    <x:t xml:space="preserve">Desayuno objetivo</x:t>
  </x:si>
  <x:si>
    <x:t xml:space="preserve">09:00 a 09:15</x:t>
  </x:si>
  <x:si>
    <x:t xml:space="preserve">AG-PAQ</x:t>
  </x:si>
  <x:si>
    <x:t xml:space="preserve">Paquete estructural de 30 cm</x:t>
  </x:si>
  <x:si>
    <x:t xml:space="preserve">Cancelada</x:t>
  </x:si>
  <x:si>
    <x:t xml:space="preserve">Rendimiento</x:t>
  </x:si>
  <x:si>
    <x:t xml:space="preserve">Almuerzo</x:t>
  </x:si>
  <x:si>
    <x:t xml:space="preserve">30 min</x:t>
  </x:si>
  <x:si>
    <x:t xml:space="preserve">AG-COMP</x:t>
  </x:si>
  <x:si>
    <x:t xml:space="preserve">Compactación paquete estructural</x:t>
  </x:si>
  <x:si>
    <x:t xml:space="preserve">Compactadores</x:t>
  </x:si>
  <x:si>
    <x:t xml:space="preserve">No iniciada</x:t>
  </x:si>
  <x:si>
    <x:t xml:space="preserve">Replanteo / plano</x:t>
  </x:si>
  <x:si>
    <x:t xml:space="preserve">Medición y cierre</x:t>
  </x:si>
  <x:si>
    <x:t xml:space="preserve">14:30 a 14:50</x:t>
  </x:si>
  <x:si>
    <x:t xml:space="preserve">AG-C060</x:t>
  </x:si>
  <x:si>
    <x:t xml:space="preserve">Capa cota -0,60 compactada</x:t>
  </x:si>
  <x:si>
    <x:t xml:space="preserve">Clima</x:t>
  </x:si>
  <x:si>
    <x:t xml:space="preserve">Preparación día siguiente</x:t>
  </x:si>
  <x:si>
    <x:t xml:space="preserve">14:50 a 15:00</x:t>
  </x:si>
  <x:si>
    <x:t xml:space="preserve">AG-C030</x:t>
  </x:si>
  <x:si>
    <x:t xml:space="preserve">Capa cota -0,30 compactada</x:t>
  </x:si>
  <x:si>
    <x:t xml:space="preserve">Acceso / frente</x:t>
  </x:si>
  <x:si>
    <x:t xml:space="preserve">Horas productivas objetivo</x:t>
  </x:si>
  <x:si>
    <x:t xml:space="preserve">AG-CON</x:t>
  </x:si>
  <x:si>
    <x:t xml:space="preserve">Conexiones domiciliarias</x:t>
  </x:si>
  <x:si>
    <x:t xml:space="preserve">un</x:t>
  </x:si>
  <x:si>
    <x:t xml:space="preserve">Herramientas / electrofusión</x:t>
  </x:si>
  <x:si>
    <x:t xml:space="preserve">Seguridad</x:t>
  </x:si>
  <x:si>
    <x:t xml:space="preserve">Archivo de planificación</x:t>
  </x:si>
  <x:si>
    <x:t xml:space="preserve">01_Planificacion_Obra_Roque.xlsx</x:t>
  </x:si>
  <x:si>
    <x:t xml:space="preserve">AG-ESP</x:t>
  </x:si>
  <x:si>
    <x:t xml:space="preserve">Válvulas, hidrantes y especiales</x:t>
  </x:si>
  <x:si>
    <x:t xml:space="preserve">Otro</x:t>
  </x:si>
  <x:si>
    <x:t xml:space="preserve">Criterio</x:t>
  </x:si>
  <x:si>
    <x:t xml:space="preserve">Programar el día anterior; a las 07:00 sólo confirmar y ejecutar</x:t>
  </x:si>
  <x:si>
    <x:t xml:space="preserve">AG-PRU</x:t>
  </x:si>
  <x:si>
    <x:t xml:space="preserve">Pruebas, terminaciones y cierre</x:t>
  </x:si>
  <x:si>
    <x:t xml:space="preserve">gl</x:t>
  </x:si>
  <x:si>
    <x:t xml:space="preserve">Bomba / manómetro / herramientas</x:t>
  </x:si>
  <x:si>
    <x:t xml:space="preserve">BASE DE SECTORES Y NODOS – COMPARTIDA CON PLANIFICACIÓN</x:t>
  </x:si>
  <x:si>
    <x:t xml:space="preserve">Mantener estos ID Sector iguales a los del archivo 01_Planificacion_Obra_Roque.xlsx. Completar el diámetro Ø75 / Ø110 cuando corresponda.</x:t>
  </x:si>
  <x:si>
    <x:t xml:space="preserve">ID Sector</x:t>
  </x:si>
  <x:si>
    <x:t xml:space="preserve">Código fuente</x:t>
  </x:si>
  <x:si>
    <x:t xml:space="preserve">Manzana</x:t>
  </x:si>
  <x:si>
    <x:t xml:space="preserve">Pasaje</x:t>
  </x:si>
  <x:si>
    <x:t xml:space="preserve">Nodo inicial</x:t>
  </x:si>
  <x:si>
    <x:t xml:space="preserve">Nodo final</x:t>
  </x:si>
  <x:si>
    <x:t xml:space="preserve">Tramo</x:t>
  </x:si>
  <x:si>
    <x:t xml:space="preserve">Longitud (ml)</x:t>
  </x:si>
  <x:si>
    <x:t xml:space="preserve">Diámetro</x:t>
  </x:si>
  <x:si>
    <x:t xml:space="preserve">Observaciones</x:t>
  </x:si>
  <x:si>
    <x:t xml:space="preserve">CONTROL</x:t>
  </x:si>
  <x:si>
    <x:t xml:space="preserve">VALOR</x:t>
  </x:si>
  <x:si>
    <x:t xml:space="preserve">SEC001-N25-N30</x:t>
  </x:si>
  <x:si>
    <x:t xml:space="preserve">MzaA</x:t>
  </x:si>
  <x:si>
    <x:t xml:space="preserve">Pasaje 3</x:t>
  </x:si>
  <x:si>
    <x:t xml:space="preserve">N25</x:t>
  </x:si>
  <x:si>
    <x:t xml:space="preserve">N30</x:t>
  </x:si>
  <x:si>
    <x:t xml:space="preserve">N25-N30</x:t>
  </x:si>
  <x:si>
    <x:t xml:space="preserve">Ø75</x:t>
  </x:si>
  <x:si>
    <x:t xml:space="preserve">Sectores físicos</x:t>
  </x:si>
  <x:si>
    <x:t xml:space="preserve">SEC002-N30-N29</x:t>
  </x:si>
  <x:si>
    <x:t xml:space="preserve">Pasaje 8</x:t>
  </x:si>
  <x:si>
    <x:t xml:space="preserve">N29</x:t>
  </x:si>
  <x:si>
    <x:t xml:space="preserve">N30-N29</x:t>
  </x:si>
  <x:si>
    <x:t xml:space="preserve">Longitud según sectores</x:t>
  </x:si>
  <x:si>
    <x:t xml:space="preserve">SEC003-N29-N22</x:t>
  </x:si>
  <x:si>
    <x:t xml:space="preserve">Pasaje 4</x:t>
  </x:si>
  <x:si>
    <x:t xml:space="preserve">N22</x:t>
  </x:si>
  <x:si>
    <x:t xml:space="preserve">N29-N22</x:t>
  </x:si>
  <x:si>
    <x:t xml:space="preserve">Longitud contractual</x:t>
  </x:si>
  <x:si>
    <x:t xml:space="preserve">SEC004-N22-N24</x:t>
  </x:si>
  <x:si>
    <x:t xml:space="preserve">Pasaje 2</x:t>
  </x:si>
  <x:si>
    <x:t xml:space="preserve">N24</x:t>
  </x:si>
  <x:si>
    <x:t xml:space="preserve">N22-N24</x:t>
  </x:si>
  <x:si>
    <x:t xml:space="preserve">Ø110</x:t>
  </x:si>
  <x:si>
    <x:t xml:space="preserve">Diferencia</x:t>
  </x:si>
  <x:si>
    <x:t xml:space="preserve">SEC005-N24-N25</x:t>
  </x:si>
  <x:si>
    <x:t xml:space="preserve">N24-N25</x:t>
  </x:si>
  <x:si>
    <x:t xml:space="preserve">Alerta</x:t>
  </x:si>
  <x:si>
    <x:t xml:space="preserve">Código fuente 27 repetido</x:t>
  </x:si>
  <x:si>
    <x:t xml:space="preserve">SEC006-N29-N28</x:t>
  </x:si>
  <x:si>
    <x:t xml:space="preserve">MzaB</x:t>
  </x:si>
  <x:si>
    <x:t xml:space="preserve">N28</x:t>
  </x:si>
  <x:si>
    <x:t xml:space="preserve">N29-N28</x:t>
  </x:si>
  <x:si>
    <x:t xml:space="preserve">SEC007-N28-N21</x:t>
  </x:si>
  <x:si>
    <x:t xml:space="preserve">Pasaje 5</x:t>
  </x:si>
  <x:si>
    <x:t xml:space="preserve">N21</x:t>
  </x:si>
  <x:si>
    <x:t xml:space="preserve">N28-N21</x:t>
  </x:si>
  <x:si>
    <x:t xml:space="preserve">SEC008-N20-N21</x:t>
  </x:si>
  <x:si>
    <x:t xml:space="preserve">N20</x:t>
  </x:si>
  <x:si>
    <x:t xml:space="preserve">N20-N21</x:t>
  </x:si>
  <x:si>
    <x:t xml:space="preserve">SEC009-N21-N22</x:t>
  </x:si>
  <x:si>
    <x:t xml:space="preserve">N21-N22</x:t>
  </x:si>
  <x:si>
    <x:t xml:space="preserve">SEC010-N28-N27</x:t>
  </x:si>
  <x:si>
    <x:t xml:space="preserve">MzaC</x:t>
  </x:si>
  <x:si>
    <x:t xml:space="preserve">N27</x:t>
  </x:si>
  <x:si>
    <x:t xml:space="preserve">N28-N27</x:t>
  </x:si>
  <x:si>
    <x:t xml:space="preserve">SEC011-N27-N19</x:t>
  </x:si>
  <x:si>
    <x:t xml:space="preserve">Pasaje 6</x:t>
  </x:si>
  <x:si>
    <x:t xml:space="preserve">N19</x:t>
  </x:si>
  <x:si>
    <x:t xml:space="preserve">N27-N19</x:t>
  </x:si>
  <x:si>
    <x:t xml:space="preserve">SEC012-N19-N20</x:t>
  </x:si>
  <x:si>
    <x:t xml:space="preserve">N19-N20</x:t>
  </x:si>
  <x:si>
    <x:t xml:space="preserve">SEC013-N27-N26</x:t>
  </x:si>
  <x:si>
    <x:t xml:space="preserve">MzaD</x:t>
  </x:si>
  <x:si>
    <x:t xml:space="preserve">N26</x:t>
  </x:si>
  <x:si>
    <x:t xml:space="preserve">N27-N26</x:t>
  </x:si>
  <x:si>
    <x:t xml:space="preserve">SEC014-N26-N18</x:t>
  </x:si>
  <x:si>
    <x:t xml:space="preserve">Pasaje 7</x:t>
  </x:si>
  <x:si>
    <x:t xml:space="preserve">N18</x:t>
  </x:si>
  <x:si>
    <x:t xml:space="preserve">N26-N18</x:t>
  </x:si>
  <x:si>
    <x:t xml:space="preserve">SEC015-N18-N19</x:t>
  </x:si>
  <x:si>
    <x:t xml:space="preserve">N18-N19</x:t>
  </x:si>
  <x:si>
    <x:t xml:space="preserve">SEC016-N13-N23</x:t>
  </x:si>
  <x:si>
    <x:t xml:space="preserve">Mza E</x:t>
  </x:si>
  <x:si>
    <x:t xml:space="preserve">N13</x:t>
  </x:si>
  <x:si>
    <x:t xml:space="preserve">N23</x:t>
  </x:si>
  <x:si>
    <x:t xml:space="preserve">N13-N23</x:t>
  </x:si>
  <x:si>
    <x:t xml:space="preserve">SEC017-N23-N24</x:t>
  </x:si>
  <x:si>
    <x:t xml:space="preserve">N23-N24</x:t>
  </x:si>
  <x:si>
    <x:t xml:space="preserve">SEC018-N20-N12</x:t>
  </x:si>
  <x:si>
    <x:t xml:space="preserve">N12</x:t>
  </x:si>
  <x:si>
    <x:t xml:space="preserve">N20-N12</x:t>
  </x:si>
  <x:si>
    <x:t xml:space="preserve">SEC019-N12-N13</x:t>
  </x:si>
  <x:si>
    <x:t xml:space="preserve">Pasaje 9</x:t>
  </x:si>
  <x:si>
    <x:t xml:space="preserve">N12-N13</x:t>
  </x:si>
  <x:si>
    <x:t xml:space="preserve">SEC020-N18-N17</x:t>
  </x:si>
  <x:si>
    <x:t xml:space="preserve">F</x:t>
  </x:si>
  <x:si>
    <x:t xml:space="preserve">Pasaje 14</x:t>
  </x:si>
  <x:si>
    <x:t xml:space="preserve">N17</x:t>
  </x:si>
  <x:si>
    <x:t xml:space="preserve">N18-N17</x:t>
  </x:si>
  <x:si>
    <x:t xml:space="preserve">SEC021-N17-N11</x:t>
  </x:si>
  <x:si>
    <x:t xml:space="preserve">N11</x:t>
  </x:si>
  <x:si>
    <x:t xml:space="preserve">N17-N11</x:t>
  </x:si>
  <x:si>
    <x:t xml:space="preserve">SEC022-N11-N12</x:t>
  </x:si>
  <x:si>
    <x:t xml:space="preserve">N11-N12</x:t>
  </x:si>
  <x:si>
    <x:t xml:space="preserve">SEC023-N17-N15</x:t>
  </x:si>
  <x:si>
    <x:t xml:space="preserve">G</x:t>
  </x:si>
  <x:si>
    <x:t xml:space="preserve">N15</x:t>
  </x:si>
  <x:si>
    <x:t xml:space="preserve">N17-N15</x:t>
  </x:si>
  <x:si>
    <x:t xml:space="preserve">SEC024-N16-N15</x:t>
  </x:si>
  <x:si>
    <x:t xml:space="preserve">N16</x:t>
  </x:si>
  <x:si>
    <x:t xml:space="preserve">N16-N15</x:t>
  </x:si>
  <x:si>
    <x:t xml:space="preserve">SEC025-N15-N10</x:t>
  </x:si>
  <x:si>
    <x:t xml:space="preserve">N10</x:t>
  </x:si>
  <x:si>
    <x:t xml:space="preserve">N15-N10</x:t>
  </x:si>
  <x:si>
    <x:t xml:space="preserve">SEC026-N10-N9</x:t>
  </x:si>
  <x:si>
    <x:t xml:space="preserve">N9</x:t>
  </x:si>
  <x:si>
    <x:t xml:space="preserve">N10-N9</x:t>
  </x:si>
  <x:si>
    <x:t xml:space="preserve">SEC027-N9-N11</x:t>
  </x:si>
  <x:si>
    <x:t xml:space="preserve">N9-N11</x:t>
  </x:si>
  <x:si>
    <x:t xml:space="preserve">Código fuente 27 repetido: usar siempre ID Sector.</x:t>
  </x:si>
  <x:si>
    <x:t xml:space="preserve">SEC028-N16-N14</x:t>
  </x:si>
  <x:si>
    <x:t xml:space="preserve">H</x:t>
  </x:si>
  <x:si>
    <x:t xml:space="preserve">N14</x:t>
  </x:si>
  <x:si>
    <x:t xml:space="preserve">N16-N14</x:t>
  </x:si>
  <x:si>
    <x:t xml:space="preserve">SEC029-N14-N8</x:t>
  </x:si>
  <x:si>
    <x:t xml:space="preserve">N8</x:t>
  </x:si>
  <x:si>
    <x:t xml:space="preserve">N14-N8</x:t>
  </x:si>
  <x:si>
    <x:t xml:space="preserve">SEC030-N8-N10</x:t>
  </x:si>
  <x:si>
    <x:t xml:space="preserve">N8-N10</x:t>
  </x:si>
  <x:si>
    <x:t xml:space="preserve">SEC031-N7-N11</x:t>
  </x:si>
  <x:si>
    <x:t xml:space="preserve">I</x:t>
  </x:si>
  <x:si>
    <x:t xml:space="preserve">N7</x:t>
  </x:si>
  <x:si>
    <x:t xml:space="preserve">N7-N11</x:t>
  </x:si>
  <x:si>
    <x:t xml:space="preserve">SEC032-N9-N6</x:t>
  </x:si>
  <x:si>
    <x:t xml:space="preserve">N6</x:t>
  </x:si>
  <x:si>
    <x:t xml:space="preserve">N9-N6</x:t>
  </x:si>
  <x:si>
    <x:t xml:space="preserve">SEC033-N6-N5</x:t>
  </x:si>
  <x:si>
    <x:t xml:space="preserve">N5</x:t>
  </x:si>
  <x:si>
    <x:t xml:space="preserve">N6-N5</x:t>
  </x:si>
  <x:si>
    <x:t xml:space="preserve">SEC034-N5-N7</x:t>
  </x:si>
  <x:si>
    <x:t xml:space="preserve">N5-N7</x:t>
  </x:si>
  <x:si>
    <x:t xml:space="preserve">SEC035-N8-N4</x:t>
  </x:si>
  <x:si>
    <x:t xml:space="preserve">J</x:t>
  </x:si>
  <x:si>
    <x:t xml:space="preserve">N4</x:t>
  </x:si>
  <x:si>
    <x:t xml:space="preserve">N8-N4</x:t>
  </x:si>
  <x:si>
    <x:t xml:space="preserve">SEC036-N4-N6</x:t>
  </x:si>
  <x:si>
    <x:t xml:space="preserve">N4-N6</x:t>
  </x:si>
  <x:si>
    <x:t xml:space="preserve">SEC037-N3-N7</x:t>
  </x:si>
  <x:si>
    <x:t xml:space="preserve">K</x:t>
  </x:si>
  <x:si>
    <x:t xml:space="preserve">N3</x:t>
  </x:si>
  <x:si>
    <x:t xml:space="preserve">N3-N7</x:t>
  </x:si>
  <x:si>
    <x:t xml:space="preserve">SEC038-N5-N2</x:t>
  </x:si>
  <x:si>
    <x:t xml:space="preserve">N2</x:t>
  </x:si>
  <x:si>
    <x:t xml:space="preserve">N5-N2</x:t>
  </x:si>
  <x:si>
    <x:t xml:space="preserve">SEC039-N2-N3</x:t>
  </x:si>
  <x:si>
    <x:t xml:space="preserve">N2-N3</x:t>
  </x:si>
  <x:si>
    <x:t xml:space="preserve">SEC040-N4-N1</x:t>
  </x:si>
  <x:si>
    <x:t xml:space="preserve">L</x:t>
  </x:si>
  <x:si>
    <x:t xml:space="preserve">N1</x:t>
  </x:si>
  <x:si>
    <x:t xml:space="preserve">N4-N1</x:t>
  </x:si>
  <x:si>
    <x:t xml:space="preserve">SEC041-N1-N2</x:t>
  </x:si>
  <x:si>
    <x:t xml:space="preserve">N1-N2</x:t>
  </x:si>
  <x:si>
    <x:t xml:space="preserve">SEC042-N2-N32</x:t>
  </x:si>
  <x:si>
    <x:t xml:space="preserve">Garita SL</x:t>
  </x:si>
  <x:si>
    <x:t xml:space="preserve">N32</x:t>
  </x:si>
  <x:si>
    <x:t xml:space="preserve">N2-N32</x:t>
  </x:si>
  <x:si>
    <x:t xml:space="preserve">SEC043-N23-N31</x:t>
  </x:si>
  <x:si>
    <x:t xml:space="preserve">Garita Interna</x:t>
  </x:si>
  <x:si>
    <x:t xml:space="preserve">N31</x:t>
  </x:si>
  <x:si>
    <x:t xml:space="preserve">N23-N31</x:t>
  </x:si>
  <x:si>
    <x:t xml:space="preserve">ARMADO DE EQUIPOS DE TRABAJO / CUADRILLAS</x:t>
  </x:si>
  <x:si>
    <x:t xml:space="preserve">Completar la composición habitual de cada cuadrilla. La hoja imprimible toma estos datos para la charla de arranque.</x:t>
  </x:si>
  <x:si>
    <x:t xml:space="preserve">ID Cuadrilla</x:t>
  </x:si>
  <x:si>
    <x:t xml:space="preserve">Responsable / Capataz</x:t>
  </x:si>
  <x:si>
    <x:t xml:space="preserve">Integrante 1</x:t>
  </x:si>
  <x:si>
    <x:t xml:space="preserve">Integrante 2</x:t>
  </x:si>
  <x:si>
    <x:t xml:space="preserve">Integrante 3</x:t>
  </x:si>
  <x:si>
    <x:t xml:space="preserve">Integrante 4</x:t>
  </x:si>
  <x:si>
    <x:t xml:space="preserve">Integrante 5</x:t>
  </x:si>
  <x:si>
    <x:t xml:space="preserve">Equipo principal</x:t>
  </x:si>
  <x:si>
    <x:t xml:space="preserve">Equipo apoyo</x:t>
  </x:si>
  <x:si>
    <x:t xml:space="preserve">C-01</x:t>
  </x:si>
  <x:si>
    <x:t xml:space="preserve">B. Guevara</x:t>
  </x:si>
  <x:si>
    <x:t xml:space="preserve">D. Pereyra</x:t>
  </x:si>
  <x:si>
    <x:t xml:space="preserve">F. Flores </x:t>
  </x:si>
  <x:si>
    <x:t xml:space="preserve">D. Gonzales</x:t>
  </x:si>
  <x:si>
    <x:t xml:space="preserve">Excavaciones</x:t>
  </x:si>
  <x:si>
    <x:t xml:space="preserve">C-02</x:t>
  </x:si>
  <x:si>
    <x:t xml:space="preserve">M. Nieva</x:t>
  </x:si>
  <x:si>
    <x:t xml:space="preserve">J. Olmedo </x:t>
  </x:si>
  <x:si>
    <x:t xml:space="preserve">Excavaciones, llenar zanjas </x:t>
  </x:si>
  <x:si>
    <x:t xml:space="preserve">C-03</x:t>
  </x:si>
  <x:si>
    <x:t xml:space="preserve">A. Aguirre</x:t>
  </x:si>
  <x:si>
    <x:t xml:space="preserve">J. Almagro </x:t>
  </x:si>
  <x:si>
    <x:t xml:space="preserve">D. Castro </x:t>
  </x:si>
  <x:si>
    <x:t xml:space="preserve">Pruebas H, armados de servcios </x:t>
  </x:si>
  <x:si>
    <x:t xml:space="preserve">C-04</x:t>
  </x:si>
  <x:si>
    <x:t xml:space="preserve">C-05</x:t>
  </x:si>
  <x:si>
    <x:t xml:space="preserve">C-06</x:t>
  </x:si>
  <x:si>
    <x:t xml:space="preserve">C-07</x:t>
  </x:si>
  <x:si>
    <x:t xml:space="preserve">C-08</x:t>
  </x:si>
  <x:si>
    <x:t xml:space="preserve">C-09</x:t>
  </x:si>
  <x:si>
    <x:t xml:space="preserve">C-10</x:t>
  </x:si>
  <x:si>
    <x:t xml:space="preserve">Fusionista</x:t>
  </x:si>
  <x:si>
    <x:t xml:space="preserve">maquinista</x:t>
  </x:si>
  <x:si>
    <x:t xml:space="preserve">Fusionista </x:t>
  </x:si>
  <x:si>
    <x:t xml:space="preserve">Zanjeos </x:t>
  </x:si>
  <x:si>
    <x:t xml:space="preserve">Ayudante </x:t>
  </x:si>
  <x:si>
    <x:t xml:space="preserve">Armador de servicios </x:t>
  </x:si>
  <x:si>
    <x:t xml:space="preserve">Zanjeo</x:t>
  </x:si>
  <x:si>
    <x:t xml:space="preserve">Sondeos</x:t>
  </x:si>
  <x:si>
    <x:t xml:space="preserve">compactacion </x:t>
  </x:si>
  <x:si>
    <x:t xml:space="preserve">PROGRAMACIÓN OPERATIVA – PLANIFICADO VS REAL | OBRA ROQUE</x:t>
  </x:si>
  <x:si>
    <x:t xml:space="preserve">Una fila = una tarea de una jornada. Programar el día anterior. Al cierre completar cantidad y horas reales para medir productividad y desvíos.</x:t>
  </x:si>
  <x:si>
    <x:t xml:space="preserve">Clave</x:t>
  </x:si>
  <x:si>
    <x:t xml:space="preserve">Fecha</x:t>
  </x:si>
  <x:si>
    <x:t xml:space="preserve">Orden</x:t>
  </x:si>
  <x:si>
    <x:t xml:space="preserve">Cód. actividad</x:t>
  </x:si>
  <x:si>
    <x:t xml:space="preserve">Cant. planificada</x:t>
  </x:si>
  <x:si>
    <x:t xml:space="preserve">Rend. objetivo/día</x:t>
  </x:si>
  <x:si>
    <x:t xml:space="preserve">Inicio plan</x:t>
  </x:si>
  <x:si>
    <x:t xml:space="preserve">Fin plan</x:t>
  </x:si>
  <x:si>
    <x:t xml:space="preserve">Hs plan</x:t>
  </x:si>
  <x:si>
    <x:t xml:space="preserve">Cuadrilla</x:t>
  </x:si>
  <x:si>
    <x:t xml:space="preserve">Personas</x:t>
  </x:si>
  <x:si>
    <x:t xml:space="preserve">Responsable</x:t>
  </x:si>
  <x:si>
    <x:t xml:space="preserve">Material / Insumo</x:t>
  </x:si>
  <x:si>
    <x:t xml:space="preserve">Restricción</x:t>
  </x:si>
  <x:si>
    <x:t xml:space="preserve">Liberada</x:t>
  </x:si>
  <x:si>
    <x:t xml:space="preserve">Estado</x:t>
  </x:si>
  <x:si>
    <x:t xml:space="preserve">Cant. real</x:t>
  </x:si>
  <x:si>
    <x:t xml:space="preserve">Inicio real</x:t>
  </x:si>
  <x:si>
    <x:t xml:space="preserve">Fin real</x:t>
  </x:si>
  <x:si>
    <x:t xml:space="preserve">Hs reales</x:t>
  </x:si>
  <x:si>
    <x:t xml:space="preserve">HH plan</x:t>
  </x:si>
  <x:si>
    <x:t xml:space="preserve">HH reales</x:t>
  </x:si>
  <x:si>
    <x:t xml:space="preserve">Cumplimiento cant.</x:t>
  </x:si>
  <x:si>
    <x:t xml:space="preserve">Desvío Hs</x:t>
  </x:si>
  <x:si>
    <x:t xml:space="preserve">Prod. plan/h</x:t>
  </x:si>
  <x:si>
    <x:t xml:space="preserve">Prod. real/h</x:t>
  </x:si>
  <x:si>
    <x:t xml:space="preserve">Índice productividad</x:t>
  </x:si>
  <x:si>
    <x:t xml:space="preserve">Motivo desvío</x:t>
  </x:si>
  <x:si>
    <x:t xml:space="preserve">Aguirre, Juan y David</x:t>
  </x:si>
  <x:si>
    <x:t xml:space="preserve">Todo para servicios 110</x:t>
  </x:si>
  <x:si>
    <x:t xml:space="preserve">Falta terminar de zanjear </x:t>
  </x:si>
  <x:si>
    <x:t xml:space="preserve">Sí</x:t>
  </x:si>
  <x:si>
    <x:t xml:space="preserve">Juan y David</x:t>
  </x:si>
  <x:si>
    <x:t xml:space="preserve">Martin y Jere</x:t>
  </x:si>
  <x:si>
    <x:t xml:space="preserve">Excavaciones de servicios </x:t>
  </x:si>
  <x:si>
    <x:t xml:space="preserve">Daniel P y Lolo , DG</x:t>
  </x:si>
  <x:si>
    <x:t xml:space="preserve">Aguirre, Juan, David y DG</x:t>
  </x:si>
  <x:si>
    <x:t xml:space="preserve">Material base </x:t>
  </x:si>
  <x:si>
    <x:t xml:space="preserve">Si</x:t>
  </x:si>
  <x:si>
    <x:t xml:space="preserve">CONTROL DIARIO DE HORAS Y EFECTIVIDAD</x:t>
  </x:si>
  <x:si>
    <x:t xml:space="preserve">Cargar la fecha en columna A. El resto se resume automáticamente desde Programacion.</x:t>
  </x:si>
  <x:si>
    <x:t xml:space="preserve">Tareas programadas</x:t>
  </x:si>
  <x:si>
    <x:t xml:space="preserve">Tareas terminadas</x:t>
  </x:si>
  <x:si>
    <x:t xml:space="preserve">Desvío HH</x:t>
  </x:si>
  <x:si>
    <x:t xml:space="preserve">Cumplimiento tareas</x:t>
  </x:si>
  <x:si>
    <x:t xml:space="preserve">Restricciones sin liberar</x:t>
  </x:si>
  <x:si>
    <x:t xml:space="preserve">Observación</x:t>
  </x:si>
  <x:si>
    <x:t xml:space="preserve">ECAR – ORDEN DE TRABAJO / CHARLA DE ARRANQUE DIARIA</x:t>
  </x:si>
  <x:si>
    <x:t xml:space="preserve">OBRA ROQUE – RED DISTRIBUIDORA DE AGUA | IMPRIMIR EN A4 HORIZONTAL</x:t>
  </x:si>
  <x:si>
    <x:t xml:space="preserve">Responsable general</x:t>
  </x:si>
  <x:si>
    <x:t xml:space="preserve">Objetivo principal</x:t>
  </x:si>
  <x:si>
    <x:t xml:space="preserve">Horario obra</x:t>
  </x:si>
  <x:si>
    <x:t xml:space="preserve">07:00–15:00</x:t>
  </x:si>
  <x:si>
    <x:t xml:space="preserve">Reunión inicial</x:t>
  </x:si>
  <x:si>
    <x:t xml:space="preserve">07:00–07:10</x:t>
  </x:si>
  <x:si>
    <x:t xml:space="preserve">Desayuno</x:t>
  </x:si>
  <x:si>
    <x:t xml:space="preserve">09:00–09:15</x:t>
  </x:si>
  <x:si>
    <x:t xml:space="preserve">Medición / cierre</x:t>
  </x:si>
  <x:si>
    <x:t xml:space="preserve">14:30–14:50</x:t>
  </x:si>
  <x:si>
    <x:t xml:space="preserve">Plan del día siguiente</x:t>
  </x:si>
  <x:si>
    <x:t xml:space="preserve">14:50–15:00</x:t>
  </x:si>
  <x:si>
    <x:t xml:space="preserve">Regla</x:t>
  </x:si>
  <x:si>
    <x:t xml:space="preserve">El trabajo del día debe quedar definido el día anterior.</x:t>
  </x:si>
  <x:si>
    <x:t xml:space="preserve">EQUIPOS DE TRABAJO</x:t>
  </x:si>
  <x:si>
    <x:t xml:space="preserve">Integrantes</x:t>
  </x:si>
  <x:si>
    <x:t xml:space="preserve">Ord.</x:t>
  </x:si>
  <x:si>
    <x:t xml:space="preserve">Sector</x:t>
  </x:si>
  <x:si>
    <x:t xml:space="preserve">Tramo / Nodos</x:t>
  </x:si>
  <x:si>
    <x:t xml:space="preserve">Cant. plan</x:t>
  </x:si>
  <x:si>
    <x:t xml:space="preserve">Un.</x:t>
  </x:si>
  <x:si>
    <x:t xml:space="preserve">Inicio P</x:t>
  </x:si>
  <x:si>
    <x:t xml:space="preserve">Fin P</x:t>
  </x:si>
  <x:si>
    <x:t xml:space="preserve">Hs Plan</x:t>
  </x:si>
  <x:si>
    <x:t xml:space="preserve">Pers.</x:t>
  </x:si>
  <x:si>
    <x:t xml:space="preserve">Cant. Real</x:t>
  </x:si>
  <x:si>
    <x:t xml:space="preserve">Hs Reales</x:t>
  </x:si>
  <x:si>
    <x:t xml:space="preserve">RESTRICCIONES CRÍTICAS / SEGURIDAD / INSPECCIONES DEL DÍA</x:t>
  </x:si>
  <x:si>
    <x:t xml:space="preserve">CONTROL DEL DÍA</x:t>
  </x:si>
  <x:si>
    <x:t xml:space="preserve">CIERRE DEL DÍA / DESVÍOS:
Registrar al finalizar qué no se cumplió, por qué y qué debe quedar preparado para mañana.</x:t>
  </x:si>
  <x:si>
    <x:t xml:space="preserve">Total Hs plan</x:t>
  </x:si>
  <x:si>
    <x:t xml:space="preserve">Total Hs reales</x:t>
  </x:si>
  <x:si>
    <x:t xml:space="preserve">Total HH plan</x:t>
  </x:si>
  <x:si>
    <x:t xml:space="preserve">Total HH reales</x:t>
  </x:si>
  <x:si>
    <x:t xml:space="preserve">ECAR | PROGRAMACIÓN DE OBRA – PANEL OPERATIVO</x:t>
  </x:si>
  <x:si>
    <x:t xml:space="preserve">Objetivo: llegar a las 07:00 con el trabajo definido y usar la reunión de arranque sólo para ordenar, confirmar y ejecutar.</x:t>
  </x:si>
  <x:si>
    <x:t xml:space="preserve">Fecha a revisar</x:t>
  </x:si>
  <x:si>
    <x:t xml:space="preserve">INDICADOR</x:t>
  </x:si>
  <x:si>
    <x:t xml:space="preserve">RUTINA DE GESTIÓN PROPUESTA
14:30–14:50  → medir cantidades, horas y desvíos.
14:50–15:00  → dejar programado el día siguiente.
07:00–07:10  → charla corta: objetivo, cuadrillas, equipos, materiales, seguridad y restricciones.
Regla: no decidir a las 07:00 qué trabajo hacer. A esa hora el trabajo ya debe estar decidido.</x:t>
  </x:si>
  <x:si>
    <x:t xml:space="preserve">Horas planificadas</x:t>
  </x:si>
  <x:si>
    <x:t xml:space="preserve">Horas reales</x:t>
  </x:si>
  <x:si>
    <x:t xml:space="preserve">HH planificadas</x:t>
  </x:si>
  <x:si>
    <x:t xml:space="preserve">FLUJO DEL ARCHIVO</x:t>
  </x:si>
  <x:si>
    <x:t xml:space="preserve">1</x:t>
  </x:si>
  <x:si>
    <x:t xml:space="preserve">Cuadrillas</x:t>
  </x:si>
  <x:si>
    <x:t xml:space="preserve">Definir responsables, personas y equipos habituales.</x:t>
  </x:si>
  <x:si>
    <x:t xml:space="preserve">2</x:t>
  </x:si>
  <x:si>
    <x:t xml:space="preserve">Base Sectores</x:t>
  </x:si>
  <x:si>
    <x:t xml:space="preserve">Mantener los mismos ID que en Planificación y completar diámetros.</x:t>
  </x:si>
  <x:si>
    <x:t xml:space="preserve">3</x:t>
  </x:si>
  <x:si>
    <x:t xml:space="preserve">Programacion</x:t>
  </x:si>
  <x:si>
    <x:t xml:space="preserve">Programar tareas con cantidad, horario, cuadrilla y restricciones.</x:t>
  </x:si>
  <x:si>
    <x:t xml:space="preserve">4</x:t>
  </x:si>
  <x:si>
    <x:t xml:space="preserve">Orden Diaria Imprimible</x:t>
  </x:si>
  <x:si>
    <x:t xml:space="preserve">Imprimir / usar en la charla de arranque.</x:t>
  </x:si>
  <x:si>
    <x:t xml:space="preserve">5</x:t>
  </x:si>
  <x:si>
    <x:t xml:space="preserve">Cierre</x:t>
  </x:si>
  <x:si>
    <x:t xml:space="preserve">Completar cantidad real y horas reales.</x:t>
  </x:si>
  <x:si>
    <x:t xml:space="preserve">6</x:t>
  </x:si>
  <x:si>
    <x:t xml:space="preserve">Control Horas</x:t>
  </x:si>
  <x:si>
    <x:t xml:space="preserve">Medir efectividad y causas de desvío.</x:t>
  </x:si>
</x:sst>
</file>

<file path=xl/styles.xml><?xml version="1.0" encoding="utf-8"?>
<x:styleSheet xmlns:x="http://schemas.openxmlformats.org/spreadsheetml/2006/main">
  <x:numFmts count="6">
    <x:numFmt numFmtId="164" formatCode="0.0%"/>
    <x:numFmt numFmtId="165" formatCode="[$-F400]h:mm:ss\ AM/PM"/>
    <x:numFmt numFmtId="200" formatCode="dd/mm/yyyy"/>
    <x:numFmt numFmtId="201" formatCode="hh:mm"/>
    <x:numFmt numFmtId="202" formatCode="0.00"/>
    <x:numFmt numFmtId="203" formatCode="0"/>
  </x:numFmts>
  <x:fonts count="1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6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i/>
      <x:sz val="11"/>
      <x:color rgb="FF4B5563"/>
      <x:name val="Carlito"/>
    </x:font>
    <x:font>
      <x:b/>
      <x:sz val="9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555555"/>
      <x:name val="Carlito"/>
    </x:font>
    <x:font>
      <x:b/>
      <x:sz val="11"/>
      <x:color rgb="FF7F6000"/>
      <x:name val="Carlito"/>
    </x:font>
    <x:font>
      <x:b/>
      <x:sz val="18"/>
      <x:color rgb="FF1F2937"/>
      <x:name val="Carlito"/>
    </x:font>
    <x:font>
      <x:sz val="9"/>
      <x:name val="Consolas"/>
    </x:font>
    <x:font>
      <x:b/>
      <x:sz val="13"/>
      <x:color rgb="FF1F2937"/>
      <x:name val="Carlito"/>
    </x:font>
    <x:font>
      <x:b/>
      <x:sz val="12"/>
      <x:color rgb="FF1F293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2E7D32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4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1B5E20"/>
      </x:left>
      <x:top style="thin">
        <x:color rgb="FF1B5E20"/>
      </x:top>
    </x:border>
    <x:border>
      <x:top style="thin">
        <x:color rgb="FF1B5E20"/>
      </x:top>
    </x:border>
    <x:border>
      <x:right style="thin">
        <x:color rgb="FF1B5E20"/>
      </x:right>
      <x:top style="thin">
        <x:color rgb="FF1B5E20"/>
      </x:top>
    </x:border>
    <x:border>
      <x:left style="thin">
        <x:color rgb="FF1B5E20"/>
      </x:left>
    </x:border>
    <x:border>
      <x:right style="thin">
        <x:color rgb="FF1B5E20"/>
      </x:right>
    </x:border>
    <x:border>
      <x:left style="thin">
        <x:color rgb="FF1B5E20"/>
      </x:left>
      <x:bottom style="thin">
        <x:color rgb="FF1B5E20"/>
      </x:bottom>
    </x:border>
    <x:border>
      <x:bottom style="thin">
        <x:color rgb="FF1B5E20"/>
      </x:bottom>
    </x:border>
    <x:border>
      <x:right style="thin">
        <x:color rgb="FF1B5E20"/>
      </x:right>
      <x:bottom style="thin">
        <x:color rgb="FF1B5E20"/>
      </x:bottom>
    </x:border>
    <x:border>
      <x:left style="thin">
        <x:color rgb="FF1B5E20"/>
      </x:left>
      <x:top style="thin">
        <x:color rgb="FF1B5E20"/>
      </x:top>
    </x:border>
    <x:border>
      <x:top style="thin">
        <x:color rgb="FF1B5E20"/>
      </x:top>
    </x:border>
    <x:border>
      <x:right style="thin">
        <x:color rgb="FF1B5E20"/>
      </x:right>
      <x:top style="thin">
        <x:color rgb="FF1B5E20"/>
      </x:top>
    </x:border>
    <x:border>
      <x:left style="thin">
        <x:color rgb="FF1B5E20"/>
      </x:left>
    </x:border>
    <x:border>
      <x:right style="thin">
        <x:color rgb="FF1B5E20"/>
      </x:right>
    </x:border>
    <x:border>
      <x:left style="thin">
        <x:color rgb="FF1B5E20"/>
      </x:left>
      <x:bottom style="thin">
        <x:color rgb="FF1B5E20"/>
      </x:bottom>
    </x:border>
    <x:border>
      <x:bottom style="thin">
        <x:color rgb="FF1B5E20"/>
      </x:bottom>
    </x:border>
    <x:border>
      <x:right style="thin">
        <x:color rgb="FF1B5E20"/>
      </x:right>
      <x:bottom style="thin">
        <x:color rgb="FF1B5E20"/>
      </x:bottom>
    </x:border>
    <x:border>
      <x:bottom style="thin">
        <x:color rgb="FF1F2937"/>
      </x:bottom>
    </x:border>
    <x:border>
      <x:bottom style="thin">
        <x:color rgb="FF1F2937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609">
    <x:xf numFmtId="0" fontId="0" fillId="0" borderId="0" xfId="0"/>
    <x:xf numFmtId="0" fontId="2" fillId="3" borderId="0" xfId="0" applyFont="1" applyFill="1"/>
    <x:xf numFmtId="0" fontId="3" fillId="0" borderId="0" xfId="0" applyFont="1"/>
    <x:xf numFmtId="0" fontId="0" fillId="4" borderId="0" xfId="0" applyFill="1"/>
    <x:xf numFmtId="2" fontId="0" fillId="4" borderId="0" xfId="0" applyNumberFormat="1" applyFill="1"/>
    <x:xf numFmtId="0" fontId="2" fillId="3" borderId="0" xfId="0" applyFont="1" applyFill="1" applyAlignment="1">
      <x:alignment wrapText="1"/>
    </x:xf>
    <x:xf numFmtId="0" fontId="0" fillId="5" borderId="0" xfId="0" applyFill="1"/>
    <x:xf numFmtId="0" fontId="0" fillId="7" borderId="0" xfId="0" applyFill="1"/>
    <x:xf numFmtId="0" fontId="2" fillId="3" borderId="0" xfId="0" applyFont="1" applyFill="1" applyAlignment="1">
      <x:alignment horizontal="center" vertical="center" wrapText="1"/>
    </x:xf>
    <x:xf numFmtId="14" fontId="0" fillId="5" borderId="0" xfId="0" applyNumberFormat="1" applyFill="1"/>
    <x:xf numFmtId="20" fontId="0" fillId="5" borderId="0" xfId="0" applyNumberFormat="1" applyFill="1"/>
    <x:xf numFmtId="164" fontId="0" fillId="4" borderId="0" xfId="0" applyNumberFormat="1" applyFill="1"/>
    <x:xf numFmtId="20" fontId="0" fillId="0" borderId="0" xfId="0" applyNumberFormat="1" applyAlignment="1">
      <x:alignment wrapText="1"/>
    </x:xf>
    <x:xf numFmtId="2" fontId="0" fillId="0" borderId="0" xfId="0" applyNumberFormat="1" applyAlignment="1">
      <x:alignment wrapText="1"/>
    </x:xf>
    <x:xf numFmtId="2" fontId="0" fillId="4" borderId="0" xfId="0" applyNumberFormat="1" applyFill="1" applyAlignment="1">
      <x:alignment wrapText="1"/>
    </x:xf>
    <x:xf numFmtId="0" fontId="0" fillId="4" borderId="0" xfId="0" applyFill="1" applyAlignment="1">
      <x:alignment wrapText="1"/>
    </x:xf>
    <x:xf numFmtId="0" fontId="3" fillId="4" borderId="0" xfId="0" applyFont="1" applyFill="1"/>
    <x:xf numFmtId="0" fontId="0" fillId="4" borderId="0" xfId="0" applyFill="1" applyAlignment="1">
      <x:alignment horizontal="center" vertical="center"/>
    </x:xf>
    <x:xf numFmtId="0" fontId="0" fillId="4" borderId="0" xfId="0" applyFill="1" applyAlignment="1">
      <x:alignment horizontal="center"/>
    </x:xf>
    <x:xf numFmtId="0" fontId="0" fillId="5" borderId="0" xfId="0" applyFill="1" applyAlignment="1">
      <x:alignment horizontal="center"/>
    </x:xf>
    <x:xf numFmtId="0" fontId="0" fillId="5" borderId="0" xfId="0" applyFill="1" applyAlignment="1">
      <x:alignment horizontal="center" vertical="center"/>
    </x:xf>
    <x:xf numFmtId="0" fontId="0" fillId="9" borderId="0" xfId="0" applyFill="1"/>
    <x:xf numFmtId="0" fontId="0" fillId="0" borderId="0" xfId="0" applyAlignment="1">
      <x:alignment horizontal="center" vertical="center" wrapText="1"/>
    </x:xf>
    <x:xf numFmtId="0" fontId="2" fillId="3" borderId="1" xfId="0" applyFont="1" applyFill="1" applyBorder="1" applyAlignment="1">
      <x:alignment wrapText="1"/>
    </x:xf>
    <x:xf numFmtId="0" fontId="0" fillId="0" borderId="1" xfId="0" applyBorder="1"/>
    <x:xf numFmtId="0" fontId="0" fillId="5" borderId="1" xfId="0" applyFill="1" applyBorder="1" applyAlignment="1">
      <x:alignment horizontal="center" vertical="center"/>
    </x:xf>
    <x:xf numFmtId="2" fontId="0" fillId="4" borderId="0" xfId="0" applyNumberFormat="1" applyFill="1" applyAlignment="1">
      <x:alignment horizontal="center"/>
    </x:xf>
    <x:xf numFmtId="20" fontId="0" fillId="5" borderId="0" xfId="0" applyNumberFormat="1" applyFill="1" applyAlignment="1">
      <x:alignment horizontal="center"/>
    </x:xf>
    <x:xf numFmtId="14" fontId="0" fillId="5" borderId="0" xfId="0" applyNumberFormat="1" applyFill="1" applyAlignment="1">
      <x:alignment horizontal="center" vertical="center"/>
    </x:xf>
    <x:xf numFmtId="20" fontId="0" fillId="5" borderId="0" xfId="0" applyNumberFormat="1" applyFill="1" applyAlignment="1">
      <x:alignment horizontal="center" vertical="center"/>
    </x:xf>
    <x:xf numFmtId="165" fontId="0" fillId="5" borderId="0" xfId="0" applyNumberFormat="1" applyFill="1" applyAlignment="1">
      <x:alignment horizontal="center" vertical="center"/>
    </x:xf>
    <x:xf numFmtId="2" fontId="0" fillId="4" borderId="0" xfId="0" applyNumberFormat="1" applyFill="1" applyAlignment="1">
      <x:alignment horizontal="center" vertical="center"/>
    </x:xf>
    <x:xf numFmtId="0" fontId="6" fillId="0" borderId="0" xfId="0" applyFont="1" applyAlignment="1">
      <x:alignment wrapText="1"/>
    </x:xf>
    <x:xf numFmtId="0" fontId="0" fillId="0" borderId="0" xfId="0" applyAlignment="1">
      <x:alignment horizontal="left" vertical="center" wrapText="1"/>
    </x:xf>
    <x:xf numFmtId="20" fontId="0" fillId="0" borderId="0" xfId="0" applyNumberFormat="1" applyAlignment="1">
      <x:alignment horizontal="left" vertical="center" wrapText="1"/>
    </x:xf>
    <x:xf numFmtId="2" fontId="0" fillId="0" borderId="0" xfId="0" applyNumberFormat="1" applyAlignment="1">
      <x:alignment horizontal="left" vertical="center" wrapText="1"/>
    </x:xf>
    <x:xf numFmtId="0" fontId="0" fillId="5" borderId="0" xfId="0" applyFill="1" applyAlignment="1">
      <x:alignment vertical="center"/>
    </x:xf>
    <x:xf numFmtId="0" fontId="0" fillId="0" borderId="0" xfId="0" applyAlignment="1">
      <x:alignment vertical="center"/>
    </x:xf>
    <x:xf numFmtId="0" fontId="2" fillId="3" borderId="0" xfId="0" applyFont="1" applyFill="1" applyAlignment="1">
      <x:alignment vertical="center" wrapText="1"/>
    </x:xf>
    <x:xf numFmtId="0" fontId="0" fillId="4" borderId="0" xfId="0" applyFill="1" applyAlignment="1">
      <x:alignment vertical="center"/>
    </x:xf>
    <x:xf numFmtId="0" fontId="0" fillId="4" borderId="0" xfId="0" applyFill="1" applyAlignment="1"/>
    <x:xf numFmtId="0" fontId="0" fillId="0" borderId="0" xfId="0" applyAlignment="1"/>
    <x:xf numFmtId="14" fontId="0" fillId="5" borderId="0" xfId="0" applyNumberFormat="1" applyFill="1" applyAlignment="1">
      <x:alignment wrapText="1"/>
    </x:xf>
    <x:xf numFmtId="0" fontId="3" fillId="0" borderId="0" xfId="0" applyFont="1" applyAlignment="1">
      <x:alignment wrapText="1"/>
    </x:xf>
    <x:xf numFmtId="0" fontId="0" fillId="0" borderId="0" xfId="0" applyAlignment="1">
      <x:alignment wrapText="1"/>
    </x:xf>
    <x:xf numFmtId="0" fontId="0" fillId="5" borderId="0" xfId="0" applyFill="1" applyAlignment="1">
      <x:alignment wrapText="1"/>
    </x:xf>
    <x:xf numFmtId="0" fontId="2" fillId="3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/>
    </x:xf>
    <x:xf numFmtId="0" fontId="4" fillId="6" borderId="0" xfId="0" applyFont="1" applyFill="1" applyAlignment="1">
      <x:alignment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3" fillId="0" borderId="0" xfId="0" applyFont="1" applyAlignment="1">
      <x:alignment wrapText="1"/>
    </x:xf>
    <x:xf numFmtId="0" fontId="0" fillId="5" borderId="0" xfId="0" applyFill="1" applyAlignment="1">
      <x:alignment wrapText="1"/>
    </x:xf>
    <x:xf numFmtId="0" fontId="5" fillId="2" borderId="0" xfId="0" applyFont="1" applyFill="1" applyAlignment="1">
      <x:alignment horizontal="center" vertical="center" wrapText="1"/>
    </x:xf>
    <x:xf numFmtId="0" fontId="3" fillId="6" borderId="0" xfId="0" applyFont="1" applyFill="1" applyAlignment="1">
      <x:alignment horizontal="center" wrapText="1"/>
    </x:xf>
    <x:xf numFmtId="0" fontId="3" fillId="5" borderId="0" xfId="0" applyFont="1" applyFill="1" applyAlignment="1">
      <x:alignment wrapText="1"/>
    </x:xf>
    <x:xf numFmtId="0" fontId="2" fillId="3" borderId="0" xfId="0" applyFont="1" applyFill="1" applyAlignment="1">
      <x:alignment horizontal="center" wrapText="1"/>
    </x:xf>
    <x:xf numFmtId="0" fontId="0" fillId="5" borderId="0" xfId="0" applyFill="1" applyAlignment="1">
      <x:alignment vertical="top" wrapText="1"/>
    </x:xf>
    <x:xf numFmtId="14" fontId="0" fillId="5" borderId="0" xfId="0" applyNumberFormat="1" applyFill="1" applyAlignment="1">
      <x:alignment wrapText="1"/>
    </x:xf>
    <x:xf numFmtId="0" fontId="5" fillId="2" borderId="0" xfId="0" applyFont="1" applyFill="1" applyAlignment="1">
      <x:alignment horizontal="center"/>
    </x:xf>
    <x:xf numFmtId="0" fontId="3" fillId="8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3" fillId="0" borderId="2" xfId="0" applyNumberFormat="1" applyFont="1" applyFill="1" applyBorder="1"/>
    <x:xf numFmtId="0" fontId="0" fillId="4" borderId="2" xfId="0" applyNumberFormat="1" applyFont="1" applyFill="1" applyBorder="1"/>
    <x:xf numFmtId="2" fontId="0" fillId="4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/>
    <x:xf numFmtId="0" fontId="0" fillId="7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 vertical="center" wrapText="1"/>
    </x:xf>
    <x:xf numFmtId="14" fontId="0" fillId="5" borderId="2" xfId="0" applyNumberFormat="1" applyFont="1" applyFill="1" applyBorder="1"/>
    <x:xf numFmtId="20" fontId="0" fillId="5" borderId="2" xfId="0" applyNumberFormat="1" applyFont="1" applyFill="1" applyBorder="1"/>
    <x:xf numFmtId="164" fontId="0" fillId="4" borderId="2" xfId="0" applyNumberFormat="1" applyFont="1" applyFill="1" applyBorder="1"/>
    <x:xf numFmtId="20" fontId="0" fillId="0" borderId="2" xfId="0" applyNumberFormat="1" applyFont="1" applyFill="1" applyBorder="1" applyAlignment="1">
      <x:alignment wrapText="1"/>
    </x:xf>
    <x:xf numFmtId="2" fontId="0" fillId="0" borderId="2" xfId="0" applyNumberFormat="1" applyFont="1" applyFill="1" applyBorder="1" applyAlignment="1">
      <x:alignment wrapText="1"/>
    </x:xf>
    <x:xf numFmtId="2" fontId="0" fillId="4" borderId="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5" borderId="3" xfId="0" applyNumberFormat="1" applyFont="1" applyFill="1" applyBorder="1" applyAlignment="1">
      <x:alignment horizontal="center" vertical="center"/>
    </x:xf>
    <x:xf numFmtId="2" fontId="0" fillId="4" borderId="2" xfId="0" applyNumberFormat="1" applyFont="1" applyFill="1" applyBorder="1" applyAlignment="1">
      <x:alignment horizontal="center"/>
    </x:xf>
    <x:xf numFmtId="20" fontId="0" fillId="5" borderId="2" xfId="0" applyNumberFormat="1" applyFont="1" applyFill="1" applyBorder="1" applyAlignment="1">
      <x:alignment horizontal="center"/>
    </x:xf>
    <x:xf numFmtId="14" fontId="0" fillId="5" borderId="2" xfId="0" applyNumberFormat="1" applyFont="1" applyFill="1" applyBorder="1" applyAlignment="1">
      <x:alignment horizontal="center" vertical="center"/>
    </x:xf>
    <x:xf numFmtId="20" fontId="0" fillId="5" borderId="2" xfId="0" applyNumberFormat="1" applyFont="1" applyFill="1" applyBorder="1" applyAlignment="1">
      <x:alignment horizontal="center" vertical="center"/>
    </x:xf>
    <x:xf numFmtId="165" fontId="0" fillId="5" borderId="2" xfId="0" applyNumberFormat="1" applyFont="1" applyFill="1" applyBorder="1" applyAlignment="1">
      <x:alignment horizontal="center" vertical="center"/>
    </x:xf>
    <x:xf numFmtId="2" fontId="0" fillId="4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20" fontId="0" fillId="0" borderId="2" xfId="0" applyNumberFormat="1" applyFont="1" applyFill="1" applyBorder="1" applyAlignment="1">
      <x:alignment horizontal="left" vertical="center" wrapText="1"/>
    </x:xf>
    <x:xf numFmtId="2" fontId="0" fillId="0" borderId="2" xfId="0" applyNumberFormat="1" applyFont="1" applyFill="1" applyBorder="1" applyAlignment="1">
      <x:alignment horizontal="left" vertical="center" wrapText="1"/>
    </x:xf>
    <x:xf numFmtId="0" fontId="0" fillId="5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/>
    </x:xf>
    <x:xf numFmtId="14" fontId="0" fillId="5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5" fillId="2" borderId="2" xfId="0" applyNumberFormat="1" applyFont="1" applyFill="1" applyBorder="1" applyAlignment="1">
      <x:alignment horizontal="center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7" fillId="10" borderId="0" xfId="0" applyNumberFormat="1" applyFont="1" applyFill="1" applyBorder="1" applyAlignment="1">
      <x:alignment horizontal="left" vertical="center"/>
    </x:xf>
    <x:xf numFmtId="0" fontId="0" fillId="10" borderId="2" xfId="0" applyNumberFormat="1" applyFont="1" applyFill="1" applyBorder="1"/>
    <x:xf numFmtId="0" fontId="7" fillId="10" borderId="2" xfId="0" applyNumberFormat="1" applyFont="1" applyFill="1" applyBorder="1"/>
    <x:xf numFmtId="0" fontId="7" fillId="10" borderId="2" xfId="0" applyNumberFormat="1" applyFont="1" applyFill="1" applyBorder="1" applyAlignment="1">
      <x:alignment horizontal="left"/>
    </x:xf>
    <x:xf numFmtId="0" fontId="7" fillId="10" borderId="2" xfId="0" applyNumberFormat="1" applyFont="1" applyFill="1" applyBorder="1" applyAlignment="1">
      <x:alignment horizontal="left" vertical="center"/>
    </x:xf>
    <x:xf numFmtId="0" fontId="2" fillId="10" borderId="0" xfId="0" applyNumberFormat="1" applyFont="1" applyFill="1" applyBorder="1"/>
    <x:xf numFmtId="0" fontId="2" fillId="10" borderId="2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1" borderId="2" xfId="0" applyNumberFormat="1" applyFont="1" applyFill="1" applyBorder="1"/>
    <x:xf numFmtId="0" fontId="8" fillId="11" borderId="2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horizont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2" xfId="0" applyNumberFormat="1" applyFont="1" applyFill="1" applyBorder="1"/>
    <x:xf numFmtId="0" fontId="9" fillId="10" borderId="2" xfId="0" applyNumberFormat="1" applyFont="1" applyFill="1" applyBorder="1" applyAlignment="1">
      <x:alignment wrapText="1"/>
    </x:xf>
    <x:xf numFmtId="0" fontId="9" fillId="10" borderId="2" xfId="0" applyNumberFormat="1" applyFont="1" applyFill="1" applyBorder="1" applyAlignment="1">
      <x:alignment horizontal="center" wrapText="1"/>
    </x:xf>
    <x:xf numFmtId="0" fontId="9" fillId="10" borderId="2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2" borderId="2" xfId="0" applyNumberFormat="1" applyFont="1" applyFill="1" applyBorder="1"/>
    <x:xf numFmtId="200" fontId="0" fillId="12" borderId="0" xfId="0" applyNumberFormat="1" applyFont="1" applyFill="1" applyBorder="1"/>
    <x:xf numFmtId="200" fontId="0" fillId="12" borderId="2" xfId="0" applyNumberFormat="1" applyFont="1" applyFill="1" applyBorder="1"/>
    <x:xf numFmtId="201" fontId="0" fillId="12" borderId="0" xfId="0" applyNumberFormat="1" applyFont="1" applyFill="1" applyBorder="1"/>
    <x:xf numFmtId="201" fontId="0" fillId="12" borderId="2" xfId="0" applyNumberFormat="1" applyFont="1" applyFill="1" applyBorder="1"/>
    <x:xf numFmtId="164" fontId="0" fillId="11" borderId="0" xfId="0" applyNumberFormat="1" applyFont="1" applyFill="1" applyBorder="1"/>
    <x:xf numFmtId="164" fontId="0" fillId="11" borderId="2" xfId="0" applyNumberFormat="1" applyFont="1" applyFill="1" applyBorder="1"/>
    <x:xf numFmtId="202" fontId="0" fillId="11" borderId="0" xfId="0" applyNumberFormat="1" applyFont="1" applyFill="1" applyBorder="1"/>
    <x:xf numFmtId="202" fontId="0" fillId="11" borderId="2" xfId="0" applyNumberFormat="1" applyFont="1" applyFill="1" applyBorder="1"/>
    <x:xf numFmtId="202" fontId="0" fillId="12" borderId="0" xfId="0" applyNumberFormat="1" applyFont="1" applyFill="1" applyBorder="1"/>
    <x:xf numFmtId="202" fontId="0" fillId="12" borderId="2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200" fontId="0" fillId="12" borderId="0" xfId="0" applyNumberFormat="1" applyFont="1" applyFill="1" applyBorder="1" applyAlignment="1">
      <x:alignment wrapText="1"/>
    </x:xf>
    <x:xf numFmtId="201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202" fontId="0" fillId="12" borderId="0" xfId="0" applyNumberFormat="1" applyFont="1" applyFill="1" applyBorder="1" applyAlignment="1">
      <x:alignment wrapText="1"/>
    </x:xf>
    <x:xf numFmtId="202" fontId="0" fillId="11" borderId="0" xfId="0" applyNumberFormat="1" applyFont="1" applyFill="1" applyBorder="1" applyAlignment="1">
      <x:alignment wrapText="1"/>
    </x:xf>
    <x:xf numFmtId="164" fontId="0" fillId="11" borderId="0" xfId="0" applyNumberFormat="1" applyFont="1" applyFill="1" applyBorder="1" applyAlignment="1">
      <x:alignment wrapText="1"/>
    </x:xf>
    <x:xf numFmtId="0" fontId="0" fillId="11" borderId="2" xfId="0" applyNumberFormat="1" applyFont="1" applyFill="1" applyBorder="1" applyAlignment="1">
      <x:alignment wrapText="1"/>
    </x:xf>
    <x:xf numFmtId="200" fontId="0" fillId="12" borderId="2" xfId="0" applyNumberFormat="1" applyFont="1" applyFill="1" applyBorder="1" applyAlignment="1">
      <x:alignment wrapText="1"/>
    </x:xf>
    <x:xf numFmtId="201" fontId="0" fillId="12" borderId="2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wrapText="1"/>
    </x:xf>
    <x:xf numFmtId="202" fontId="0" fillId="12" borderId="2" xfId="0" applyNumberFormat="1" applyFont="1" applyFill="1" applyBorder="1" applyAlignment="1">
      <x:alignment wrapText="1"/>
    </x:xf>
    <x:xf numFmtId="202" fontId="0" fillId="11" borderId="2" xfId="0" applyNumberFormat="1" applyFont="1" applyFill="1" applyBorder="1" applyAlignment="1">
      <x:alignment wrapText="1"/>
    </x:xf>
    <x:xf numFmtId="164" fontId="0" fillId="11" borderId="2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vertical="center"/>
    </x:xf>
    <x:xf numFmtId="0" fontId="0" fillId="13" borderId="2" xfId="0" applyNumberFormat="1" applyFont="1" applyFill="1" applyBorder="1"/>
    <x:xf numFmtId="0" fontId="10" fillId="13" borderId="2" xfId="0" applyNumberFormat="1" applyFont="1" applyFill="1" applyBorder="1"/>
    <x:xf numFmtId="0" fontId="10" fillId="13" borderId="2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2" xfId="0" applyNumberFormat="1" applyFont="1" applyFill="1" applyBorder="1"/>
    <x:xf numFmtId="0" fontId="10" fillId="11" borderId="2" xfId="0" applyNumberFormat="1" applyFont="1" applyFill="1" applyBorder="1" applyAlignment="1">
      <x:alignment wrapText="1"/>
    </x:xf>
    <x:xf numFmtId="0" fontId="10" fillId="11" borderId="2" xfId="0" applyNumberFormat="1" applyFont="1" applyFill="1" applyBorder="1" applyAlignment="1">
      <x:alignment vertical="center" wrapText="1"/>
    </x:xf>
    <x:xf numFmtId="0" fontId="11" fillId="12" borderId="0" xfId="0" applyNumberFormat="1" applyFont="1" applyFill="1" applyBorder="1"/>
    <x:xf numFmtId="0" fontId="11" fillId="12" borderId="4" xfId="0" applyNumberFormat="1" applyFont="1" applyFill="1" applyBorder="1"/>
    <x:xf numFmtId="0" fontId="11" fillId="12" borderId="4" xfId="0" applyNumberFormat="1" applyFont="1" applyFill="1" applyBorder="1" applyAlignment="1">
      <x:alignment vertical="center"/>
    </x:xf>
    <x:xf numFmtId="0" fontId="11" fillId="12" borderId="2" xfId="0" applyNumberFormat="1" applyFont="1" applyFill="1" applyBorder="1"/>
    <x:xf numFmtId="0" fontId="11" fillId="12" borderId="5" xfId="0" applyNumberFormat="1" applyFont="1" applyFill="1" applyBorder="1"/>
    <x:xf numFmtId="0" fontId="11" fillId="12" borderId="5" xfId="0" applyNumberFormat="1" applyFont="1" applyFill="1" applyBorder="1" applyAlignment="1">
      <x:alignment vertical="center"/>
    </x:xf>
    <x:xf numFmtId="0" fontId="12" fillId="11" borderId="0" xfId="0" applyNumberFormat="1" applyFont="1" applyFill="1" applyBorder="1"/>
    <x:xf numFmtId="0" fontId="12" fillId="11" borderId="6" xfId="0" applyNumberFormat="1" applyFont="1" applyFill="1" applyBorder="1"/>
    <x:xf numFmtId="0" fontId="12" fillId="11" borderId="6" xfId="0" applyNumberFormat="1" applyFont="1" applyFill="1" applyBorder="1" applyAlignment="1">
      <x:alignment vertical="center"/>
    </x:xf>
    <x:xf numFmtId="0" fontId="12" fillId="11" borderId="2" xfId="0" applyNumberFormat="1" applyFont="1" applyFill="1" applyBorder="1"/>
    <x:xf numFmtId="0" fontId="12" fillId="11" borderId="7" xfId="0" applyNumberFormat="1" applyFont="1" applyFill="1" applyBorder="1"/>
    <x:xf numFmtId="0" fontId="12" fillId="11" borderId="7" xfId="0" applyNumberFormat="1" applyFont="1" applyFill="1" applyBorder="1" applyAlignment="1">
      <x:alignment vertical="center"/>
    </x:xf>
    <x:xf numFmtId="200" fontId="11" fillId="12" borderId="4" xfId="0" applyNumberFormat="1" applyFont="1" applyFill="1" applyBorder="1" applyAlignment="1">
      <x:alignment vertical="center"/>
    </x:xf>
    <x:xf numFmtId="200" fontId="11" fillId="12" borderId="5" xfId="0" applyNumberFormat="1" applyFont="1" applyFill="1" applyBorder="1" applyAlignment="1">
      <x:alignment vertical="center"/>
    </x:xf>
    <x:xf numFmtId="201" fontId="11" fillId="12" borderId="4" xfId="0" applyNumberFormat="1" applyFont="1" applyFill="1" applyBorder="1" applyAlignment="1">
      <x:alignment vertical="center"/>
    </x:xf>
    <x:xf numFmtId="201" fontId="11" fillId="12" borderId="5" xfId="0" applyNumberFormat="1" applyFont="1" applyFill="1" applyBorder="1" applyAlignment="1">
      <x:alignment vertical="center"/>
    </x:xf>
    <x:xf numFmtId="202" fontId="12" fillId="11" borderId="6" xfId="0" applyNumberFormat="1" applyFont="1" applyFill="1" applyBorder="1" applyAlignment="1">
      <x:alignment vertical="center"/>
    </x:xf>
    <x:xf numFmtId="202" fontId="12" fillId="11" borderId="7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8" xfId="0" applyNumberFormat="1" applyFont="1" applyFill="1" applyBorder="1"/>
    <x:xf numFmtId="0" fontId="5" fillId="14" borderId="9" xfId="0" applyNumberFormat="1" applyFont="1" applyFill="1" applyBorder="1"/>
    <x:xf numFmtId="0" fontId="5" fillId="14" borderId="10" xfId="0" applyNumberFormat="1" applyFont="1" applyFill="1" applyBorder="1"/>
    <x:xf numFmtId="0" fontId="5" fillId="14" borderId="11" xfId="0" applyNumberFormat="1" applyFont="1" applyFill="1" applyBorder="1"/>
    <x:xf numFmtId="0" fontId="5" fillId="14" borderId="12" xfId="0" applyNumberFormat="1" applyFont="1" applyFill="1" applyBorder="1"/>
    <x:xf numFmtId="0" fontId="5" fillId="14" borderId="13" xfId="0" applyNumberFormat="1" applyFont="1" applyFill="1" applyBorder="1"/>
    <x:xf numFmtId="0" fontId="5" fillId="14" borderId="14" xfId="0" applyNumberFormat="1" applyFont="1" applyFill="1" applyBorder="1"/>
    <x:xf numFmtId="0" fontId="5" fillId="14" borderId="15" xfId="0" applyNumberFormat="1" applyFont="1" applyFill="1" applyBorder="1"/>
    <x:xf numFmtId="0" fontId="5" fillId="14" borderId="8" xfId="0" applyNumberFormat="1" applyFont="1" applyFill="1" applyBorder="1" applyAlignment="1">
      <x:alignment horizontal="center"/>
    </x:xf>
    <x:xf numFmtId="0" fontId="5" fillId="14" borderId="9" xfId="0" applyNumberFormat="1" applyFont="1" applyFill="1" applyBorder="1" applyAlignment="1">
      <x:alignment horizontal="center"/>
    </x:xf>
    <x:xf numFmtId="0" fontId="5" fillId="14" borderId="10" xfId="0" applyNumberFormat="1" applyFont="1" applyFill="1" applyBorder="1" applyAlignment="1">
      <x:alignment horizontal="center"/>
    </x:xf>
    <x:xf numFmtId="0" fontId="5" fillId="14" borderId="11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/>
    </x:xf>
    <x:xf numFmtId="0" fontId="5" fillId="14" borderId="12" xfId="0" applyNumberFormat="1" applyFont="1" applyFill="1" applyBorder="1" applyAlignment="1">
      <x:alignment horizontal="center"/>
    </x:xf>
    <x:xf numFmtId="0" fontId="5" fillId="14" borderId="13" xfId="0" applyNumberFormat="1" applyFont="1" applyFill="1" applyBorder="1" applyAlignment="1">
      <x:alignment horizontal="center"/>
    </x:xf>
    <x:xf numFmtId="0" fontId="5" fillId="14" borderId="14" xfId="0" applyNumberFormat="1" applyFont="1" applyFill="1" applyBorder="1" applyAlignment="1">
      <x:alignment horizontal="center"/>
    </x:xf>
    <x:xf numFmtId="0" fontId="5" fillId="14" borderId="15" xfId="0" applyNumberFormat="1" applyFont="1" applyFill="1" applyBorder="1" applyAlignment="1">
      <x:alignment horizontal="center"/>
    </x:xf>
    <x:xf numFmtId="0" fontId="5" fillId="14" borderId="8" xfId="0" applyNumberFormat="1" applyFont="1" applyFill="1" applyBorder="1" applyAlignment="1">
      <x:alignment horizontal="center" vertical="center"/>
    </x:xf>
    <x:xf numFmtId="0" fontId="5" fillId="14" borderId="9" xfId="0" applyNumberFormat="1" applyFont="1" applyFill="1" applyBorder="1" applyAlignment="1">
      <x:alignment horizontal="center" vertical="center"/>
    </x:xf>
    <x:xf numFmtId="0" fontId="5" fillId="14" borderId="10" xfId="0" applyNumberFormat="1" applyFont="1" applyFill="1" applyBorder="1" applyAlignment="1">
      <x:alignment horizontal="center" vertical="center"/>
    </x:xf>
    <x:xf numFmtId="0" fontId="5" fillId="14" borderId="11" xfId="0" applyNumberFormat="1" applyFont="1" applyFill="1" applyBorder="1" applyAlignment="1">
      <x:alignment horizontal="center" vertic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5" fillId="14" borderId="12" xfId="0" applyNumberFormat="1" applyFont="1" applyFill="1" applyBorder="1" applyAlignment="1">
      <x:alignment horizontal="center" vertical="center"/>
    </x:xf>
    <x:xf numFmtId="0" fontId="5" fillId="14" borderId="13" xfId="0" applyNumberFormat="1" applyFont="1" applyFill="1" applyBorder="1" applyAlignment="1">
      <x:alignment horizontal="center" vertical="center"/>
    </x:xf>
    <x:xf numFmtId="0" fontId="5" fillId="14" borderId="14" xfId="0" applyNumberFormat="1" applyFont="1" applyFill="1" applyBorder="1" applyAlignment="1">
      <x:alignment horizontal="center" vertical="center"/>
    </x:xf>
    <x:xf numFmtId="0" fontId="5" fillId="14" borderId="15" xfId="0" applyNumberFormat="1" applyFont="1" applyFill="1" applyBorder="1" applyAlignment="1">
      <x:alignment horizontal="center" vertical="center"/>
    </x:xf>
    <x:xf numFmtId="0" fontId="0" fillId="14" borderId="2" xfId="0" applyNumberFormat="1" applyFont="1" applyFill="1" applyBorder="1"/>
    <x:xf numFmtId="0" fontId="5" fillId="14" borderId="2" xfId="0" applyNumberFormat="1" applyFont="1" applyFill="1" applyBorder="1"/>
    <x:xf numFmtId="0" fontId="5" fillId="14" borderId="16" xfId="0" applyNumberFormat="1" applyFont="1" applyFill="1" applyBorder="1"/>
    <x:xf numFmtId="0" fontId="5" fillId="14" borderId="17" xfId="0" applyNumberFormat="1" applyFont="1" applyFill="1" applyBorder="1"/>
    <x:xf numFmtId="0" fontId="5" fillId="14" borderId="18" xfId="0" applyNumberFormat="1" applyFont="1" applyFill="1" applyBorder="1"/>
    <x:xf numFmtId="0" fontId="5" fillId="14" borderId="19" xfId="0" applyNumberFormat="1" applyFont="1" applyFill="1" applyBorder="1"/>
    <x:xf numFmtId="0" fontId="5" fillId="14" borderId="20" xfId="0" applyNumberFormat="1" applyFont="1" applyFill="1" applyBorder="1"/>
    <x:xf numFmtId="0" fontId="5" fillId="14" borderId="21" xfId="0" applyNumberFormat="1" applyFont="1" applyFill="1" applyBorder="1"/>
    <x:xf numFmtId="0" fontId="5" fillId="14" borderId="22" xfId="0" applyNumberFormat="1" applyFont="1" applyFill="1" applyBorder="1"/>
    <x:xf numFmtId="0" fontId="5" fillId="14" borderId="23" xfId="0" applyNumberFormat="1" applyFont="1" applyFill="1" applyBorder="1"/>
    <x:xf numFmtId="0" fontId="5" fillId="14" borderId="16" xfId="0" applyNumberFormat="1" applyFont="1" applyFill="1" applyBorder="1" applyAlignment="1">
      <x:alignment horizontal="center"/>
    </x:xf>
    <x:xf numFmtId="0" fontId="5" fillId="14" borderId="17" xfId="0" applyNumberFormat="1" applyFont="1" applyFill="1" applyBorder="1" applyAlignment="1">
      <x:alignment horizontal="center"/>
    </x:xf>
    <x:xf numFmtId="0" fontId="5" fillId="14" borderId="18" xfId="0" applyNumberFormat="1" applyFont="1" applyFill="1" applyBorder="1" applyAlignment="1">
      <x:alignment horizontal="center"/>
    </x:xf>
    <x:xf numFmtId="0" fontId="5" fillId="14" borderId="19" xfId="0" applyNumberFormat="1" applyFont="1" applyFill="1" applyBorder="1" applyAlignment="1">
      <x:alignment horizontal="center"/>
    </x:xf>
    <x:xf numFmtId="0" fontId="5" fillId="14" borderId="2" xfId="0" applyNumberFormat="1" applyFont="1" applyFill="1" applyBorder="1" applyAlignment="1">
      <x:alignment horizontal="center"/>
    </x:xf>
    <x:xf numFmtId="0" fontId="5" fillId="14" borderId="20" xfId="0" applyNumberFormat="1" applyFont="1" applyFill="1" applyBorder="1" applyAlignment="1">
      <x:alignment horizontal="center"/>
    </x:xf>
    <x:xf numFmtId="0" fontId="5" fillId="14" borderId="21" xfId="0" applyNumberFormat="1" applyFont="1" applyFill="1" applyBorder="1" applyAlignment="1">
      <x:alignment horizontal="center"/>
    </x:xf>
    <x:xf numFmtId="0" fontId="5" fillId="14" borderId="22" xfId="0" applyNumberFormat="1" applyFont="1" applyFill="1" applyBorder="1" applyAlignment="1">
      <x:alignment horizontal="center"/>
    </x:xf>
    <x:xf numFmtId="0" fontId="5" fillId="14" borderId="23" xfId="0" applyNumberFormat="1" applyFont="1" applyFill="1" applyBorder="1" applyAlignment="1">
      <x:alignment horizontal="center"/>
    </x:xf>
    <x:xf numFmtId="0" fontId="5" fillId="14" borderId="16" xfId="0" applyNumberFormat="1" applyFont="1" applyFill="1" applyBorder="1" applyAlignment="1">
      <x:alignment horizontal="center" vertical="center"/>
    </x:xf>
    <x:xf numFmtId="0" fontId="5" fillId="14" borderId="17" xfId="0" applyNumberFormat="1" applyFont="1" applyFill="1" applyBorder="1" applyAlignment="1">
      <x:alignment horizontal="center" vertical="center"/>
    </x:xf>
    <x:xf numFmtId="0" fontId="5" fillId="14" borderId="18" xfId="0" applyNumberFormat="1" applyFont="1" applyFill="1" applyBorder="1" applyAlignment="1">
      <x:alignment horizontal="center" vertical="center"/>
    </x:xf>
    <x:xf numFmtId="0" fontId="5" fillId="14" borderId="19" xfId="0" applyNumberFormat="1" applyFont="1" applyFill="1" applyBorder="1" applyAlignment="1">
      <x:alignment horizontal="center" vertical="center"/>
    </x:xf>
    <x:xf numFmtId="0" fontId="5" fillId="14" borderId="2" xfId="0" applyNumberFormat="1" applyFont="1" applyFill="1" applyBorder="1" applyAlignment="1">
      <x:alignment horizontal="center" vertical="center"/>
    </x:xf>
    <x:xf numFmtId="0" fontId="5" fillId="14" borderId="20" xfId="0" applyNumberFormat="1" applyFont="1" applyFill="1" applyBorder="1" applyAlignment="1">
      <x:alignment horizontal="center" vertical="center"/>
    </x:xf>
    <x:xf numFmtId="0" fontId="5" fillId="14" borderId="21" xfId="0" applyNumberFormat="1" applyFont="1" applyFill="1" applyBorder="1" applyAlignment="1">
      <x:alignment horizontal="center" vertical="center"/>
    </x:xf>
    <x:xf numFmtId="0" fontId="5" fillId="14" borderId="22" xfId="0" applyNumberFormat="1" applyFont="1" applyFill="1" applyBorder="1" applyAlignment="1">
      <x:alignment horizontal="center" vertical="center"/>
    </x:xf>
    <x:xf numFmtId="0" fontId="5" fillId="14" borderId="23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wrapText="1"/>
    </x:xf>
    <x:xf numFmtId="0" fontId="0" fillId="15" borderId="2" xfId="0" applyNumberFormat="1" applyFont="1" applyFill="1" applyBorder="1"/>
    <x:xf numFmtId="0" fontId="13" fillId="15" borderId="2" xfId="0" applyNumberFormat="1" applyFont="1" applyFill="1" applyBorder="1"/>
    <x:xf numFmtId="0" fontId="13" fillId="15" borderId="2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0" fontId="12" fillId="11" borderId="6" xfId="0" applyNumberFormat="1" applyFont="1" applyFill="1" applyBorder="1" applyAlignment="1">
      <x:alignment vertical="center"/>
    </x:xf>
    <x:xf numFmtId="200" fontId="12" fillId="11" borderId="7" xfId="0" applyNumberFormat="1" applyFont="1" applyFill="1" applyBorder="1" applyAlignment="1">
      <x:alignment vertical="center"/>
    </x:xf>
    <x:xf numFmtId="201" fontId="12" fillId="11" borderId="6" xfId="0" applyNumberFormat="1" applyFont="1" applyFill="1" applyBorder="1" applyAlignment="1">
      <x:alignment vertical="center"/>
    </x:xf>
    <x:xf numFmtId="201" fontId="12" fillId="11" borderId="7" xfId="0" applyNumberFormat="1" applyFont="1" applyFill="1" applyBorder="1" applyAlignment="1">
      <x:alignment vertical="center"/>
    </x:xf>
    <x:xf numFmtId="203" fontId="12" fillId="11" borderId="6" xfId="0" applyNumberFormat="1" applyFont="1" applyFill="1" applyBorder="1" applyAlignment="1">
      <x:alignment vertical="center"/>
    </x:xf>
    <x:xf numFmtId="203" fontId="12" fillId="11" borderId="7" xfId="0" applyNumberFormat="1" applyFont="1" applyFill="1" applyBorder="1" applyAlignment="1">
      <x:alignment vertical="center"/>
    </x:xf>
    <x:xf numFmtId="164" fontId="12" fillId="11" borderId="6" xfId="0" applyNumberFormat="1" applyFont="1" applyFill="1" applyBorder="1" applyAlignment="1">
      <x:alignment vertical="center"/>
    </x:xf>
    <x:xf numFmtId="164" fontId="12" fillId="11" borderId="7" xfId="0" applyNumberFormat="1" applyFont="1" applyFill="1" applyBorder="1" applyAlignment="1">
      <x:alignment vertical="center"/>
    </x:xf>
    <x:xf numFmtId="203" fontId="0" fillId="11" borderId="0" xfId="0" applyNumberFormat="1" applyFont="1" applyFill="1" applyBorder="1"/>
    <x:xf numFmtId="203" fontId="0" fillId="11" borderId="2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2" xfId="0" applyNumberFormat="1" applyFont="1" applyFill="1" applyBorder="1" applyAlignment="1">
      <x:alignment horizontal="center"/>
    </x:xf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horizontal="center"/>
    </x:xf>
    <x:xf numFmtId="0" fontId="14" fillId="11" borderId="0" xfId="0" applyNumberFormat="1" applyFont="1" applyFill="1" applyBorder="1" applyAlignment="1">
      <x:alignment horizontal="center" vertical="center"/>
    </x:xf>
    <x:xf numFmtId="0" fontId="14" fillId="11" borderId="2" xfId="0" applyNumberFormat="1" applyFont="1" applyFill="1" applyBorder="1"/>
    <x:xf numFmtId="0" fontId="14" fillId="11" borderId="2" xfId="0" applyNumberFormat="1" applyFont="1" applyFill="1" applyBorder="1" applyAlignment="1">
      <x:alignment horizontal="center"/>
    </x:xf>
    <x:xf numFmtId="0" fontId="14" fillId="11" borderId="2" xfId="0" applyNumberFormat="1" applyFont="1" applyFill="1" applyBorder="1" applyAlignment="1">
      <x:alignment horizontal="center" vertical="center"/>
    </x:xf>
    <x:xf numFmtId="203" fontId="14" fillId="11" borderId="0" xfId="0" applyNumberFormat="1" applyFont="1" applyFill="1" applyBorder="1" applyAlignment="1">
      <x:alignment horizontal="center" vertical="center"/>
    </x:xf>
    <x:xf numFmtId="203" fontId="14" fillId="11" borderId="2" xfId="0" applyNumberFormat="1" applyFont="1" applyFill="1" applyBorder="1" applyAlignment="1">
      <x:alignment horizontal="center" vertical="center"/>
    </x:xf>
    <x:xf numFmtId="164" fontId="14" fillId="11" borderId="0" xfId="0" applyNumberFormat="1" applyFont="1" applyFill="1" applyBorder="1" applyAlignment="1">
      <x:alignment horizontal="center" vertical="center"/>
    </x:xf>
    <x:xf numFmtId="164" fontId="14" fillId="11" borderId="2" xfId="0" applyNumberFormat="1" applyFont="1" applyFill="1" applyBorder="1" applyAlignment="1">
      <x:alignment horizontal="center" vertical="center"/>
    </x:xf>
    <x:xf numFmtId="202" fontId="14" fillId="11" borderId="0" xfId="0" applyNumberFormat="1" applyFont="1" applyFill="1" applyBorder="1" applyAlignment="1">
      <x:alignment horizontal="center" vertical="center"/>
    </x:xf>
    <x:xf numFmtId="202" fontId="14" fillId="11" borderId="2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/>
    <x:xf numFmtId="164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10" fillId="13" borderId="0" xfId="0" applyNumberFormat="1" applyFont="1" applyFill="1" applyBorder="1" applyAlignment="1">
      <x:alignment horizontal="center"/>
    </x:xf>
    <x:xf numFmtId="0" fontId="10" fillId="13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bottom"/>
    </x:xf>
    <x:xf numFmtId="0" fontId="0" fillId="0" borderId="24" xfId="0" applyNumberFormat="1" applyFont="1" applyFill="1" applyBorder="1" applyAlignment="1">
      <x:alignment horizontal="center" vertical="bottom"/>
    </x:xf>
    <x:xf numFmtId="0" fontId="0" fillId="0" borderId="25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 vertical="bottom"/>
    </x:xf>
    <x:xf numFmtId="0" fontId="0" fillId="0" borderId="25" xfId="0" applyNumberFormat="1" applyFont="1" applyFill="1" applyBorder="1" applyAlignment="1">
      <x:alignment horizontal="center" vertical="bottom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 applyAlignment="1">
      <x:alignment vertical="top" wrapText="1"/>
    </x:xf>
    <x:xf numFmtId="0" fontId="15" fillId="11" borderId="2" xfId="0" applyNumberFormat="1" applyFont="1" applyFill="1" applyBorder="1"/>
    <x:xf numFmtId="0" fontId="15" fillId="11" borderId="2" xfId="0" applyNumberFormat="1" applyFont="1" applyFill="1" applyBorder="1" applyAlignment="1">
      <x:alignment wrapText="1"/>
    </x:xf>
    <x:xf numFmtId="0" fontId="15" fillId="11" borderId="2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wrapText="1"/>
    </x:xf>
    <x:xf numFmtId="0" fontId="16" fillId="11" borderId="0" xfId="0" applyNumberFormat="1" applyFont="1" applyFill="1" applyBorder="1" applyAlignment="1">
      <x:alignment horizontal="center" wrapText="1"/>
    </x:xf>
    <x:xf numFmtId="0" fontId="16" fillId="11" borderId="0" xfId="0" applyNumberFormat="1" applyFont="1" applyFill="1" applyBorder="1" applyAlignment="1">
      <x:alignment horizontal="center" vertical="center" wrapText="1"/>
    </x:xf>
    <x:xf numFmtId="0" fontId="16" fillId="11" borderId="2" xfId="0" applyNumberFormat="1" applyFont="1" applyFill="1" applyBorder="1"/>
    <x:xf numFmtId="0" fontId="16" fillId="11" borderId="2" xfId="0" applyNumberFormat="1" applyFont="1" applyFill="1" applyBorder="1" applyAlignment="1">
      <x:alignment wrapText="1"/>
    </x:xf>
    <x:xf numFmtId="0" fontId="16" fillId="11" borderId="2" xfId="0" applyNumberFormat="1" applyFont="1" applyFill="1" applyBorder="1" applyAlignment="1">
      <x:alignment horizontal="center" wrapText="1"/>
    </x:xf>
    <x:xf numFmtId="0" fontId="16" fillId="11" borderId="2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/>
    <x:xf numFmtId="0" fontId="17" fillId="12" borderId="26" xfId="0" applyNumberFormat="1" applyFont="1" applyFill="1" applyBorder="1"/>
    <x:xf numFmtId="0" fontId="17" fillId="12" borderId="27" xfId="0" applyNumberFormat="1" applyFont="1" applyFill="1" applyBorder="1"/>
    <x:xf numFmtId="0" fontId="17" fillId="12" borderId="28" xfId="0" applyNumberFormat="1" applyFont="1" applyFill="1" applyBorder="1"/>
    <x:xf numFmtId="0" fontId="17" fillId="12" borderId="29" xfId="0" applyNumberFormat="1" applyFont="1" applyFill="1" applyBorder="1"/>
    <x:xf numFmtId="0" fontId="17" fillId="12" borderId="30" xfId="0" applyNumberFormat="1" applyFont="1" applyFill="1" applyBorder="1"/>
    <x:xf numFmtId="0" fontId="17" fillId="12" borderId="31" xfId="0" applyNumberFormat="1" applyFont="1" applyFill="1" applyBorder="1"/>
    <x:xf numFmtId="0" fontId="17" fillId="12" borderId="32" xfId="0" applyNumberFormat="1" applyFont="1" applyFill="1" applyBorder="1"/>
    <x:xf numFmtId="0" fontId="17" fillId="12" borderId="33" xfId="0" applyNumberFormat="1" applyFont="1" applyFill="1" applyBorder="1"/>
    <x:xf numFmtId="0" fontId="17" fillId="12" borderId="26" xfId="0" applyNumberFormat="1" applyFont="1" applyFill="1" applyBorder="1" applyAlignment="1">
      <x:alignment wrapText="1"/>
    </x:xf>
    <x:xf numFmtId="0" fontId="17" fillId="12" borderId="27" xfId="0" applyNumberFormat="1" applyFont="1" applyFill="1" applyBorder="1" applyAlignment="1">
      <x:alignment wrapText="1"/>
    </x:xf>
    <x:xf numFmtId="0" fontId="17" fillId="12" borderId="28" xfId="0" applyNumberFormat="1" applyFont="1" applyFill="1" applyBorder="1" applyAlignment="1">
      <x:alignment wrapText="1"/>
    </x:xf>
    <x:xf numFmtId="0" fontId="17" fillId="12" borderId="29" xfId="0" applyNumberFormat="1" applyFont="1" applyFill="1" applyBorder="1" applyAlignment="1">
      <x:alignment wrapText="1"/>
    </x:xf>
    <x:xf numFmtId="0" fontId="17" fillId="12" borderId="0" xfId="0" applyNumberFormat="1" applyFont="1" applyFill="1" applyBorder="1" applyAlignment="1">
      <x:alignment wrapText="1"/>
    </x:xf>
    <x:xf numFmtId="0" fontId="17" fillId="12" borderId="30" xfId="0" applyNumberFormat="1" applyFont="1" applyFill="1" applyBorder="1" applyAlignment="1">
      <x:alignment wrapText="1"/>
    </x:xf>
    <x:xf numFmtId="0" fontId="17" fillId="12" borderId="31" xfId="0" applyNumberFormat="1" applyFont="1" applyFill="1" applyBorder="1" applyAlignment="1">
      <x:alignment wrapText="1"/>
    </x:xf>
    <x:xf numFmtId="0" fontId="17" fillId="12" borderId="32" xfId="0" applyNumberFormat="1" applyFont="1" applyFill="1" applyBorder="1" applyAlignment="1">
      <x:alignment wrapText="1"/>
    </x:xf>
    <x:xf numFmtId="0" fontId="17" fillId="12" borderId="33" xfId="0" applyNumberFormat="1" applyFont="1" applyFill="1" applyBorder="1" applyAlignment="1">
      <x:alignment wrapText="1"/>
    </x:xf>
    <x:xf numFmtId="0" fontId="17" fillId="12" borderId="26" xfId="0" applyNumberFormat="1" applyFont="1" applyFill="1" applyBorder="1" applyAlignment="1">
      <x:alignment horizontal="center" wrapText="1"/>
    </x:xf>
    <x:xf numFmtId="0" fontId="17" fillId="12" borderId="27" xfId="0" applyNumberFormat="1" applyFont="1" applyFill="1" applyBorder="1" applyAlignment="1">
      <x:alignment horizontal="center" wrapText="1"/>
    </x:xf>
    <x:xf numFmtId="0" fontId="17" fillId="12" borderId="28" xfId="0" applyNumberFormat="1" applyFont="1" applyFill="1" applyBorder="1" applyAlignment="1">
      <x:alignment horizontal="center" wrapText="1"/>
    </x:xf>
    <x:xf numFmtId="0" fontId="17" fillId="12" borderId="29" xfId="0" applyNumberFormat="1" applyFont="1" applyFill="1" applyBorder="1" applyAlignment="1">
      <x:alignment horizontal="center" wrapText="1"/>
    </x:xf>
    <x:xf numFmtId="0" fontId="17" fillId="12" borderId="0" xfId="0" applyNumberFormat="1" applyFont="1" applyFill="1" applyBorder="1" applyAlignment="1">
      <x:alignment horizontal="center" wrapText="1"/>
    </x:xf>
    <x:xf numFmtId="0" fontId="17" fillId="12" borderId="30" xfId="0" applyNumberFormat="1" applyFont="1" applyFill="1" applyBorder="1" applyAlignment="1">
      <x:alignment horizontal="center" wrapText="1"/>
    </x:xf>
    <x:xf numFmtId="0" fontId="17" fillId="12" borderId="31" xfId="0" applyNumberFormat="1" applyFont="1" applyFill="1" applyBorder="1" applyAlignment="1">
      <x:alignment horizontal="center" wrapText="1"/>
    </x:xf>
    <x:xf numFmtId="0" fontId="17" fillId="12" borderId="32" xfId="0" applyNumberFormat="1" applyFont="1" applyFill="1" applyBorder="1" applyAlignment="1">
      <x:alignment horizontal="center" wrapText="1"/>
    </x:xf>
    <x:xf numFmtId="0" fontId="17" fillId="12" borderId="33" xfId="0" applyNumberFormat="1" applyFont="1" applyFill="1" applyBorder="1" applyAlignment="1">
      <x:alignment horizontal="center" wrapText="1"/>
    </x:xf>
    <x:xf numFmtId="0" fontId="17" fillId="12" borderId="26" xfId="0" applyNumberFormat="1" applyFont="1" applyFill="1" applyBorder="1" applyAlignment="1">
      <x:alignment horizontal="center" vertical="center" wrapText="1"/>
    </x:xf>
    <x:xf numFmtId="0" fontId="17" fillId="12" borderId="27" xfId="0" applyNumberFormat="1" applyFont="1" applyFill="1" applyBorder="1" applyAlignment="1">
      <x:alignment horizontal="center" vertical="center" wrapText="1"/>
    </x:xf>
    <x:xf numFmtId="0" fontId="17" fillId="12" borderId="28" xfId="0" applyNumberFormat="1" applyFont="1" applyFill="1" applyBorder="1" applyAlignment="1">
      <x:alignment horizontal="center" vertical="center" wrapText="1"/>
    </x:xf>
    <x:xf numFmtId="0" fontId="17" fillId="12" borderId="29" xfId="0" applyNumberFormat="1" applyFont="1" applyFill="1" applyBorder="1" applyAlignment="1">
      <x:alignment horizontal="center" vertical="center" wrapText="1"/>
    </x:xf>
    <x:xf numFmtId="0" fontId="17" fillId="12" borderId="0" xfId="0" applyNumberFormat="1" applyFont="1" applyFill="1" applyBorder="1" applyAlignment="1">
      <x:alignment horizontal="center" vertical="center" wrapText="1"/>
    </x:xf>
    <x:xf numFmtId="0" fontId="17" fillId="12" borderId="30" xfId="0" applyNumberFormat="1" applyFont="1" applyFill="1" applyBorder="1" applyAlignment="1">
      <x:alignment horizontal="center" vertical="center" wrapText="1"/>
    </x:xf>
    <x:xf numFmtId="0" fontId="17" fillId="12" borderId="31" xfId="0" applyNumberFormat="1" applyFont="1" applyFill="1" applyBorder="1" applyAlignment="1">
      <x:alignment horizontal="center" vertical="center" wrapText="1"/>
    </x:xf>
    <x:xf numFmtId="0" fontId="17" fillId="12" borderId="32" xfId="0" applyNumberFormat="1" applyFont="1" applyFill="1" applyBorder="1" applyAlignment="1">
      <x:alignment horizontal="center" vertical="center" wrapText="1"/>
    </x:xf>
    <x:xf numFmtId="0" fontId="17" fillId="12" borderId="33" xfId="0" applyNumberFormat="1" applyFont="1" applyFill="1" applyBorder="1" applyAlignment="1">
      <x:alignment horizontal="center" vertical="center" wrapText="1"/>
    </x:xf>
    <x:xf numFmtId="0" fontId="17" fillId="12" borderId="2" xfId="0" applyNumberFormat="1" applyFont="1" applyFill="1" applyBorder="1"/>
    <x:xf numFmtId="0" fontId="17" fillId="12" borderId="34" xfId="0" applyNumberFormat="1" applyFont="1" applyFill="1" applyBorder="1"/>
    <x:xf numFmtId="0" fontId="17" fillId="12" borderId="35" xfId="0" applyNumberFormat="1" applyFont="1" applyFill="1" applyBorder="1"/>
    <x:xf numFmtId="0" fontId="17" fillId="12" borderId="36" xfId="0" applyNumberFormat="1" applyFont="1" applyFill="1" applyBorder="1"/>
    <x:xf numFmtId="0" fontId="17" fillId="12" borderId="37" xfId="0" applyNumberFormat="1" applyFont="1" applyFill="1" applyBorder="1"/>
    <x:xf numFmtId="0" fontId="17" fillId="12" borderId="38" xfId="0" applyNumberFormat="1" applyFont="1" applyFill="1" applyBorder="1"/>
    <x:xf numFmtId="0" fontId="17" fillId="12" borderId="39" xfId="0" applyNumberFormat="1" applyFont="1" applyFill="1" applyBorder="1"/>
    <x:xf numFmtId="0" fontId="17" fillId="12" borderId="40" xfId="0" applyNumberFormat="1" applyFont="1" applyFill="1" applyBorder="1"/>
    <x:xf numFmtId="0" fontId="17" fillId="12" borderId="41" xfId="0" applyNumberFormat="1" applyFont="1" applyFill="1" applyBorder="1"/>
    <x:xf numFmtId="0" fontId="17" fillId="12" borderId="34" xfId="0" applyNumberFormat="1" applyFont="1" applyFill="1" applyBorder="1" applyAlignment="1">
      <x:alignment wrapText="1"/>
    </x:xf>
    <x:xf numFmtId="0" fontId="17" fillId="12" borderId="35" xfId="0" applyNumberFormat="1" applyFont="1" applyFill="1" applyBorder="1" applyAlignment="1">
      <x:alignment wrapText="1"/>
    </x:xf>
    <x:xf numFmtId="0" fontId="17" fillId="12" borderId="36" xfId="0" applyNumberFormat="1" applyFont="1" applyFill="1" applyBorder="1" applyAlignment="1">
      <x:alignment wrapText="1"/>
    </x:xf>
    <x:xf numFmtId="0" fontId="17" fillId="12" borderId="37" xfId="0" applyNumberFormat="1" applyFont="1" applyFill="1" applyBorder="1" applyAlignment="1">
      <x:alignment wrapText="1"/>
    </x:xf>
    <x:xf numFmtId="0" fontId="17" fillId="12" borderId="2" xfId="0" applyNumberFormat="1" applyFont="1" applyFill="1" applyBorder="1" applyAlignment="1">
      <x:alignment wrapText="1"/>
    </x:xf>
    <x:xf numFmtId="0" fontId="17" fillId="12" borderId="38" xfId="0" applyNumberFormat="1" applyFont="1" applyFill="1" applyBorder="1" applyAlignment="1">
      <x:alignment wrapText="1"/>
    </x:xf>
    <x:xf numFmtId="0" fontId="17" fillId="12" borderId="39" xfId="0" applyNumberFormat="1" applyFont="1" applyFill="1" applyBorder="1" applyAlignment="1">
      <x:alignment wrapText="1"/>
    </x:xf>
    <x:xf numFmtId="0" fontId="17" fillId="12" borderId="40" xfId="0" applyNumberFormat="1" applyFont="1" applyFill="1" applyBorder="1" applyAlignment="1">
      <x:alignment wrapText="1"/>
    </x:xf>
    <x:xf numFmtId="0" fontId="17" fillId="12" borderId="41" xfId="0" applyNumberFormat="1" applyFont="1" applyFill="1" applyBorder="1" applyAlignment="1">
      <x:alignment wrapText="1"/>
    </x:xf>
    <x:xf numFmtId="0" fontId="17" fillId="12" borderId="34" xfId="0" applyNumberFormat="1" applyFont="1" applyFill="1" applyBorder="1" applyAlignment="1">
      <x:alignment horizontal="center" wrapText="1"/>
    </x:xf>
    <x:xf numFmtId="0" fontId="17" fillId="12" borderId="35" xfId="0" applyNumberFormat="1" applyFont="1" applyFill="1" applyBorder="1" applyAlignment="1">
      <x:alignment horizontal="center" wrapText="1"/>
    </x:xf>
    <x:xf numFmtId="0" fontId="17" fillId="12" borderId="36" xfId="0" applyNumberFormat="1" applyFont="1" applyFill="1" applyBorder="1" applyAlignment="1">
      <x:alignment horizontal="center" wrapText="1"/>
    </x:xf>
    <x:xf numFmtId="0" fontId="17" fillId="12" borderId="37" xfId="0" applyNumberFormat="1" applyFont="1" applyFill="1" applyBorder="1" applyAlignment="1">
      <x:alignment horizontal="center" wrapText="1"/>
    </x:xf>
    <x:xf numFmtId="0" fontId="17" fillId="12" borderId="2" xfId="0" applyNumberFormat="1" applyFont="1" applyFill="1" applyBorder="1" applyAlignment="1">
      <x:alignment horizontal="center" wrapText="1"/>
    </x:xf>
    <x:xf numFmtId="0" fontId="17" fillId="12" borderId="38" xfId="0" applyNumberFormat="1" applyFont="1" applyFill="1" applyBorder="1" applyAlignment="1">
      <x:alignment horizontal="center" wrapText="1"/>
    </x:xf>
    <x:xf numFmtId="0" fontId="17" fillId="12" borderId="39" xfId="0" applyNumberFormat="1" applyFont="1" applyFill="1" applyBorder="1" applyAlignment="1">
      <x:alignment horizontal="center" wrapText="1"/>
    </x:xf>
    <x:xf numFmtId="0" fontId="17" fillId="12" borderId="40" xfId="0" applyNumberFormat="1" applyFont="1" applyFill="1" applyBorder="1" applyAlignment="1">
      <x:alignment horizontal="center" wrapText="1"/>
    </x:xf>
    <x:xf numFmtId="0" fontId="17" fillId="12" borderId="41" xfId="0" applyNumberFormat="1" applyFont="1" applyFill="1" applyBorder="1" applyAlignment="1">
      <x:alignment horizontal="center" wrapText="1"/>
    </x:xf>
    <x:xf numFmtId="0" fontId="17" fillId="12" borderId="34" xfId="0" applyNumberFormat="1" applyFont="1" applyFill="1" applyBorder="1" applyAlignment="1">
      <x:alignment horizontal="center" vertical="center" wrapText="1"/>
    </x:xf>
    <x:xf numFmtId="0" fontId="17" fillId="12" borderId="35" xfId="0" applyNumberFormat="1" applyFont="1" applyFill="1" applyBorder="1" applyAlignment="1">
      <x:alignment horizontal="center" vertical="center" wrapText="1"/>
    </x:xf>
    <x:xf numFmtId="0" fontId="17" fillId="12" borderId="36" xfId="0" applyNumberFormat="1" applyFont="1" applyFill="1" applyBorder="1" applyAlignment="1">
      <x:alignment horizontal="center" vertical="center" wrapText="1"/>
    </x:xf>
    <x:xf numFmtId="0" fontId="17" fillId="12" borderId="37" xfId="0" applyNumberFormat="1" applyFont="1" applyFill="1" applyBorder="1" applyAlignment="1">
      <x:alignment horizontal="center" vertical="center" wrapText="1"/>
    </x:xf>
    <x:xf numFmtId="0" fontId="17" fillId="12" borderId="2" xfId="0" applyNumberFormat="1" applyFont="1" applyFill="1" applyBorder="1" applyAlignment="1">
      <x:alignment horizontal="center" vertical="center" wrapText="1"/>
    </x:xf>
    <x:xf numFmtId="0" fontId="17" fillId="12" borderId="38" xfId="0" applyNumberFormat="1" applyFont="1" applyFill="1" applyBorder="1" applyAlignment="1">
      <x:alignment horizontal="center" vertical="center" wrapText="1"/>
    </x:xf>
    <x:xf numFmtId="0" fontId="17" fillId="12" borderId="39" xfId="0" applyNumberFormat="1" applyFont="1" applyFill="1" applyBorder="1" applyAlignment="1">
      <x:alignment horizontal="center" vertical="center" wrapText="1"/>
    </x:xf>
    <x:xf numFmtId="0" fontId="17" fillId="12" borderId="40" xfId="0" applyNumberFormat="1" applyFont="1" applyFill="1" applyBorder="1" applyAlignment="1">
      <x:alignment horizontal="center" vertical="center" wrapText="1"/>
    </x:xf>
    <x:xf numFmtId="0" fontId="17" fillId="12" borderId="41" xfId="0" applyNumberFormat="1" applyFont="1" applyFill="1" applyBorder="1" applyAlignment="1">
      <x:alignment horizontal="center" vertical="center" wrapText="1"/>
    </x:xf>
    <x:xf numFmtId="0" fontId="17" fillId="15" borderId="0" xfId="0" applyNumberFormat="1" applyFont="1" applyFill="1" applyBorder="1"/>
    <x:xf numFmtId="0" fontId="17" fillId="15" borderId="26" xfId="0" applyNumberFormat="1" applyFont="1" applyFill="1" applyBorder="1"/>
    <x:xf numFmtId="0" fontId="17" fillId="15" borderId="27" xfId="0" applyNumberFormat="1" applyFont="1" applyFill="1" applyBorder="1"/>
    <x:xf numFmtId="0" fontId="17" fillId="15" borderId="28" xfId="0" applyNumberFormat="1" applyFont="1" applyFill="1" applyBorder="1"/>
    <x:xf numFmtId="0" fontId="17" fillId="15" borderId="29" xfId="0" applyNumberFormat="1" applyFont="1" applyFill="1" applyBorder="1"/>
    <x:xf numFmtId="0" fontId="17" fillId="15" borderId="30" xfId="0" applyNumberFormat="1" applyFont="1" applyFill="1" applyBorder="1"/>
    <x:xf numFmtId="0" fontId="17" fillId="15" borderId="31" xfId="0" applyNumberFormat="1" applyFont="1" applyFill="1" applyBorder="1"/>
    <x:xf numFmtId="0" fontId="17" fillId="15" borderId="32" xfId="0" applyNumberFormat="1" applyFont="1" applyFill="1" applyBorder="1"/>
    <x:xf numFmtId="0" fontId="17" fillId="15" borderId="33" xfId="0" applyNumberFormat="1" applyFont="1" applyFill="1" applyBorder="1"/>
    <x:xf numFmtId="0" fontId="17" fillId="15" borderId="26" xfId="0" applyNumberFormat="1" applyFont="1" applyFill="1" applyBorder="1" applyAlignment="1">
      <x:alignment wrapText="1"/>
    </x:xf>
    <x:xf numFmtId="0" fontId="17" fillId="15" borderId="27" xfId="0" applyNumberFormat="1" applyFont="1" applyFill="1" applyBorder="1" applyAlignment="1">
      <x:alignment wrapText="1"/>
    </x:xf>
    <x:xf numFmtId="0" fontId="17" fillId="15" borderId="28" xfId="0" applyNumberFormat="1" applyFont="1" applyFill="1" applyBorder="1" applyAlignment="1">
      <x:alignment wrapText="1"/>
    </x:xf>
    <x:xf numFmtId="0" fontId="17" fillId="15" borderId="29" xfId="0" applyNumberFormat="1" applyFont="1" applyFill="1" applyBorder="1" applyAlignment="1">
      <x:alignment wrapText="1"/>
    </x:xf>
    <x:xf numFmtId="0" fontId="17" fillId="15" borderId="0" xfId="0" applyNumberFormat="1" applyFont="1" applyFill="1" applyBorder="1" applyAlignment="1">
      <x:alignment wrapText="1"/>
    </x:xf>
    <x:xf numFmtId="0" fontId="17" fillId="15" borderId="30" xfId="0" applyNumberFormat="1" applyFont="1" applyFill="1" applyBorder="1" applyAlignment="1">
      <x:alignment wrapText="1"/>
    </x:xf>
    <x:xf numFmtId="0" fontId="17" fillId="15" borderId="31" xfId="0" applyNumberFormat="1" applyFont="1" applyFill="1" applyBorder="1" applyAlignment="1">
      <x:alignment wrapText="1"/>
    </x:xf>
    <x:xf numFmtId="0" fontId="17" fillId="15" borderId="32" xfId="0" applyNumberFormat="1" applyFont="1" applyFill="1" applyBorder="1" applyAlignment="1">
      <x:alignment wrapText="1"/>
    </x:xf>
    <x:xf numFmtId="0" fontId="17" fillId="15" borderId="33" xfId="0" applyNumberFormat="1" applyFont="1" applyFill="1" applyBorder="1" applyAlignment="1">
      <x:alignment wrapText="1"/>
    </x:xf>
    <x:xf numFmtId="0" fontId="17" fillId="15" borderId="26" xfId="0" applyNumberFormat="1" applyFont="1" applyFill="1" applyBorder="1" applyAlignment="1">
      <x:alignment horizontal="center" wrapText="1"/>
    </x:xf>
    <x:xf numFmtId="0" fontId="17" fillId="15" borderId="27" xfId="0" applyNumberFormat="1" applyFont="1" applyFill="1" applyBorder="1" applyAlignment="1">
      <x:alignment horizontal="center" wrapText="1"/>
    </x:xf>
    <x:xf numFmtId="0" fontId="17" fillId="15" borderId="28" xfId="0" applyNumberFormat="1" applyFont="1" applyFill="1" applyBorder="1" applyAlignment="1">
      <x:alignment horizontal="center" wrapText="1"/>
    </x:xf>
    <x:xf numFmtId="0" fontId="17" fillId="15" borderId="29" xfId="0" applyNumberFormat="1" applyFont="1" applyFill="1" applyBorder="1" applyAlignment="1">
      <x:alignment horizontal="center" wrapText="1"/>
    </x:xf>
    <x:xf numFmtId="0" fontId="17" fillId="15" borderId="0" xfId="0" applyNumberFormat="1" applyFont="1" applyFill="1" applyBorder="1" applyAlignment="1">
      <x:alignment horizontal="center" wrapText="1"/>
    </x:xf>
    <x:xf numFmtId="0" fontId="17" fillId="15" borderId="30" xfId="0" applyNumberFormat="1" applyFont="1" applyFill="1" applyBorder="1" applyAlignment="1">
      <x:alignment horizontal="center" wrapText="1"/>
    </x:xf>
    <x:xf numFmtId="0" fontId="17" fillId="15" borderId="31" xfId="0" applyNumberFormat="1" applyFont="1" applyFill="1" applyBorder="1" applyAlignment="1">
      <x:alignment horizontal="center" wrapText="1"/>
    </x:xf>
    <x:xf numFmtId="0" fontId="17" fillId="15" borderId="32" xfId="0" applyNumberFormat="1" applyFont="1" applyFill="1" applyBorder="1" applyAlignment="1">
      <x:alignment horizontal="center" wrapText="1"/>
    </x:xf>
    <x:xf numFmtId="0" fontId="17" fillId="15" borderId="33" xfId="0" applyNumberFormat="1" applyFont="1" applyFill="1" applyBorder="1" applyAlignment="1">
      <x:alignment horizontal="center" wrapText="1"/>
    </x:xf>
    <x:xf numFmtId="0" fontId="17" fillId="15" borderId="26" xfId="0" applyNumberFormat="1" applyFont="1" applyFill="1" applyBorder="1" applyAlignment="1">
      <x:alignment horizontal="center" vertical="center" wrapText="1"/>
    </x:xf>
    <x:xf numFmtId="0" fontId="17" fillId="15" borderId="27" xfId="0" applyNumberFormat="1" applyFont="1" applyFill="1" applyBorder="1" applyAlignment="1">
      <x:alignment horizontal="center" vertical="center" wrapText="1"/>
    </x:xf>
    <x:xf numFmtId="0" fontId="17" fillId="15" borderId="28" xfId="0" applyNumberFormat="1" applyFont="1" applyFill="1" applyBorder="1" applyAlignment="1">
      <x:alignment horizontal="center" vertical="center" wrapText="1"/>
    </x:xf>
    <x:xf numFmtId="0" fontId="17" fillId="15" borderId="29" xfId="0" applyNumberFormat="1" applyFont="1" applyFill="1" applyBorder="1" applyAlignment="1">
      <x:alignment horizontal="center" vertical="center" wrapText="1"/>
    </x:xf>
    <x:xf numFmtId="0" fontId="17" fillId="15" borderId="0" xfId="0" applyNumberFormat="1" applyFont="1" applyFill="1" applyBorder="1" applyAlignment="1">
      <x:alignment horizontal="center" vertical="center" wrapText="1"/>
    </x:xf>
    <x:xf numFmtId="0" fontId="17" fillId="15" borderId="30" xfId="0" applyNumberFormat="1" applyFont="1" applyFill="1" applyBorder="1" applyAlignment="1">
      <x:alignment horizontal="center" vertical="center" wrapText="1"/>
    </x:xf>
    <x:xf numFmtId="0" fontId="17" fillId="15" borderId="31" xfId="0" applyNumberFormat="1" applyFont="1" applyFill="1" applyBorder="1" applyAlignment="1">
      <x:alignment horizontal="center" vertical="center" wrapText="1"/>
    </x:xf>
    <x:xf numFmtId="0" fontId="17" fillId="15" borderId="32" xfId="0" applyNumberFormat="1" applyFont="1" applyFill="1" applyBorder="1" applyAlignment="1">
      <x:alignment horizontal="center" vertical="center" wrapText="1"/>
    </x:xf>
    <x:xf numFmtId="0" fontId="17" fillId="15" borderId="33" xfId="0" applyNumberFormat="1" applyFont="1" applyFill="1" applyBorder="1" applyAlignment="1">
      <x:alignment horizontal="center" vertical="center" wrapText="1"/>
    </x:xf>
    <x:xf numFmtId="0" fontId="17" fillId="15" borderId="2" xfId="0" applyNumberFormat="1" applyFont="1" applyFill="1" applyBorder="1"/>
    <x:xf numFmtId="0" fontId="17" fillId="15" borderId="34" xfId="0" applyNumberFormat="1" applyFont="1" applyFill="1" applyBorder="1"/>
    <x:xf numFmtId="0" fontId="17" fillId="15" borderId="35" xfId="0" applyNumberFormat="1" applyFont="1" applyFill="1" applyBorder="1"/>
    <x:xf numFmtId="0" fontId="17" fillId="15" borderId="36" xfId="0" applyNumberFormat="1" applyFont="1" applyFill="1" applyBorder="1"/>
    <x:xf numFmtId="0" fontId="17" fillId="15" borderId="37" xfId="0" applyNumberFormat="1" applyFont="1" applyFill="1" applyBorder="1"/>
    <x:xf numFmtId="0" fontId="17" fillId="15" borderId="38" xfId="0" applyNumberFormat="1" applyFont="1" applyFill="1" applyBorder="1"/>
    <x:xf numFmtId="0" fontId="17" fillId="15" borderId="39" xfId="0" applyNumberFormat="1" applyFont="1" applyFill="1" applyBorder="1"/>
    <x:xf numFmtId="0" fontId="17" fillId="15" borderId="40" xfId="0" applyNumberFormat="1" applyFont="1" applyFill="1" applyBorder="1"/>
    <x:xf numFmtId="0" fontId="17" fillId="15" borderId="41" xfId="0" applyNumberFormat="1" applyFont="1" applyFill="1" applyBorder="1"/>
    <x:xf numFmtId="0" fontId="17" fillId="15" borderId="34" xfId="0" applyNumberFormat="1" applyFont="1" applyFill="1" applyBorder="1" applyAlignment="1">
      <x:alignment wrapText="1"/>
    </x:xf>
    <x:xf numFmtId="0" fontId="17" fillId="15" borderId="35" xfId="0" applyNumberFormat="1" applyFont="1" applyFill="1" applyBorder="1" applyAlignment="1">
      <x:alignment wrapText="1"/>
    </x:xf>
    <x:xf numFmtId="0" fontId="17" fillId="15" borderId="36" xfId="0" applyNumberFormat="1" applyFont="1" applyFill="1" applyBorder="1" applyAlignment="1">
      <x:alignment wrapText="1"/>
    </x:xf>
    <x:xf numFmtId="0" fontId="17" fillId="15" borderId="37" xfId="0" applyNumberFormat="1" applyFont="1" applyFill="1" applyBorder="1" applyAlignment="1">
      <x:alignment wrapText="1"/>
    </x:xf>
    <x:xf numFmtId="0" fontId="17" fillId="15" borderId="2" xfId="0" applyNumberFormat="1" applyFont="1" applyFill="1" applyBorder="1" applyAlignment="1">
      <x:alignment wrapText="1"/>
    </x:xf>
    <x:xf numFmtId="0" fontId="17" fillId="15" borderId="38" xfId="0" applyNumberFormat="1" applyFont="1" applyFill="1" applyBorder="1" applyAlignment="1">
      <x:alignment wrapText="1"/>
    </x:xf>
    <x:xf numFmtId="0" fontId="17" fillId="15" borderId="39" xfId="0" applyNumberFormat="1" applyFont="1" applyFill="1" applyBorder="1" applyAlignment="1">
      <x:alignment wrapText="1"/>
    </x:xf>
    <x:xf numFmtId="0" fontId="17" fillId="15" borderId="40" xfId="0" applyNumberFormat="1" applyFont="1" applyFill="1" applyBorder="1" applyAlignment="1">
      <x:alignment wrapText="1"/>
    </x:xf>
    <x:xf numFmtId="0" fontId="17" fillId="15" borderId="41" xfId="0" applyNumberFormat="1" applyFont="1" applyFill="1" applyBorder="1" applyAlignment="1">
      <x:alignment wrapText="1"/>
    </x:xf>
    <x:xf numFmtId="0" fontId="17" fillId="15" borderId="34" xfId="0" applyNumberFormat="1" applyFont="1" applyFill="1" applyBorder="1" applyAlignment="1">
      <x:alignment horizontal="center" wrapText="1"/>
    </x:xf>
    <x:xf numFmtId="0" fontId="17" fillId="15" borderId="35" xfId="0" applyNumberFormat="1" applyFont="1" applyFill="1" applyBorder="1" applyAlignment="1">
      <x:alignment horizontal="center" wrapText="1"/>
    </x:xf>
    <x:xf numFmtId="0" fontId="17" fillId="15" borderId="36" xfId="0" applyNumberFormat="1" applyFont="1" applyFill="1" applyBorder="1" applyAlignment="1">
      <x:alignment horizontal="center" wrapText="1"/>
    </x:xf>
    <x:xf numFmtId="0" fontId="17" fillId="15" borderId="37" xfId="0" applyNumberFormat="1" applyFont="1" applyFill="1" applyBorder="1" applyAlignment="1">
      <x:alignment horizontal="center" wrapText="1"/>
    </x:xf>
    <x:xf numFmtId="0" fontId="17" fillId="15" borderId="2" xfId="0" applyNumberFormat="1" applyFont="1" applyFill="1" applyBorder="1" applyAlignment="1">
      <x:alignment horizontal="center" wrapText="1"/>
    </x:xf>
    <x:xf numFmtId="0" fontId="17" fillId="15" borderId="38" xfId="0" applyNumberFormat="1" applyFont="1" applyFill="1" applyBorder="1" applyAlignment="1">
      <x:alignment horizontal="center" wrapText="1"/>
    </x:xf>
    <x:xf numFmtId="0" fontId="17" fillId="15" borderId="39" xfId="0" applyNumberFormat="1" applyFont="1" applyFill="1" applyBorder="1" applyAlignment="1">
      <x:alignment horizontal="center" wrapText="1"/>
    </x:xf>
    <x:xf numFmtId="0" fontId="17" fillId="15" borderId="40" xfId="0" applyNumberFormat="1" applyFont="1" applyFill="1" applyBorder="1" applyAlignment="1">
      <x:alignment horizontal="center" wrapText="1"/>
    </x:xf>
    <x:xf numFmtId="0" fontId="17" fillId="15" borderId="41" xfId="0" applyNumberFormat="1" applyFont="1" applyFill="1" applyBorder="1" applyAlignment="1">
      <x:alignment horizontal="center" wrapText="1"/>
    </x:xf>
    <x:xf numFmtId="0" fontId="17" fillId="15" borderId="34" xfId="0" applyNumberFormat="1" applyFont="1" applyFill="1" applyBorder="1" applyAlignment="1">
      <x:alignment horizontal="center" vertical="center" wrapText="1"/>
    </x:xf>
    <x:xf numFmtId="0" fontId="17" fillId="15" borderId="35" xfId="0" applyNumberFormat="1" applyFont="1" applyFill="1" applyBorder="1" applyAlignment="1">
      <x:alignment horizontal="center" vertical="center" wrapText="1"/>
    </x:xf>
    <x:xf numFmtId="0" fontId="17" fillId="15" borderId="36" xfId="0" applyNumberFormat="1" applyFont="1" applyFill="1" applyBorder="1" applyAlignment="1">
      <x:alignment horizontal="center" vertical="center" wrapText="1"/>
    </x:xf>
    <x:xf numFmtId="0" fontId="17" fillId="15" borderId="37" xfId="0" applyNumberFormat="1" applyFont="1" applyFill="1" applyBorder="1" applyAlignment="1">
      <x:alignment horizontal="center" vertical="center" wrapText="1"/>
    </x:xf>
    <x:xf numFmtId="0" fontId="17" fillId="15" borderId="2" xfId="0" applyNumberFormat="1" applyFont="1" applyFill="1" applyBorder="1" applyAlignment="1">
      <x:alignment horizontal="center" vertical="center" wrapText="1"/>
    </x:xf>
    <x:xf numFmtId="0" fontId="17" fillId="15" borderId="38" xfId="0" applyNumberFormat="1" applyFont="1" applyFill="1" applyBorder="1" applyAlignment="1">
      <x:alignment horizontal="center" vertical="center" wrapText="1"/>
    </x:xf>
    <x:xf numFmtId="0" fontId="17" fillId="15" borderId="39" xfId="0" applyNumberFormat="1" applyFont="1" applyFill="1" applyBorder="1" applyAlignment="1">
      <x:alignment horizontal="center" vertical="center" wrapText="1"/>
    </x:xf>
    <x:xf numFmtId="0" fontId="17" fillId="15" borderId="40" xfId="0" applyNumberFormat="1" applyFont="1" applyFill="1" applyBorder="1" applyAlignment="1">
      <x:alignment horizontal="center" vertical="center" wrapText="1"/>
    </x:xf>
    <x:xf numFmtId="0" fontId="17" fillId="15" borderId="4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7" fillId="16" borderId="0" xfId="0" applyNumberFormat="1" applyFont="1" applyFill="1" applyBorder="1"/>
    <x:xf numFmtId="0" fontId="17" fillId="16" borderId="26" xfId="0" applyNumberFormat="1" applyFont="1" applyFill="1" applyBorder="1"/>
    <x:xf numFmtId="0" fontId="17" fillId="16" borderId="27" xfId="0" applyNumberFormat="1" applyFont="1" applyFill="1" applyBorder="1"/>
    <x:xf numFmtId="0" fontId="17" fillId="16" borderId="28" xfId="0" applyNumberFormat="1" applyFont="1" applyFill="1" applyBorder="1"/>
    <x:xf numFmtId="0" fontId="17" fillId="16" borderId="29" xfId="0" applyNumberFormat="1" applyFont="1" applyFill="1" applyBorder="1"/>
    <x:xf numFmtId="0" fontId="17" fillId="16" borderId="30" xfId="0" applyNumberFormat="1" applyFont="1" applyFill="1" applyBorder="1"/>
    <x:xf numFmtId="0" fontId="17" fillId="16" borderId="31" xfId="0" applyNumberFormat="1" applyFont="1" applyFill="1" applyBorder="1"/>
    <x:xf numFmtId="0" fontId="17" fillId="16" borderId="32" xfId="0" applyNumberFormat="1" applyFont="1" applyFill="1" applyBorder="1"/>
    <x:xf numFmtId="0" fontId="17" fillId="16" borderId="33" xfId="0" applyNumberFormat="1" applyFont="1" applyFill="1" applyBorder="1"/>
    <x:xf numFmtId="0" fontId="17" fillId="16" borderId="26" xfId="0" applyNumberFormat="1" applyFont="1" applyFill="1" applyBorder="1" applyAlignment="1">
      <x:alignment wrapText="1"/>
    </x:xf>
    <x:xf numFmtId="0" fontId="17" fillId="16" borderId="27" xfId="0" applyNumberFormat="1" applyFont="1" applyFill="1" applyBorder="1" applyAlignment="1">
      <x:alignment wrapText="1"/>
    </x:xf>
    <x:xf numFmtId="0" fontId="17" fillId="16" borderId="28" xfId="0" applyNumberFormat="1" applyFont="1" applyFill="1" applyBorder="1" applyAlignment="1">
      <x:alignment wrapText="1"/>
    </x:xf>
    <x:xf numFmtId="0" fontId="17" fillId="16" borderId="29" xfId="0" applyNumberFormat="1" applyFont="1" applyFill="1" applyBorder="1" applyAlignment="1">
      <x:alignment wrapText="1"/>
    </x:xf>
    <x:xf numFmtId="0" fontId="17" fillId="16" borderId="0" xfId="0" applyNumberFormat="1" applyFont="1" applyFill="1" applyBorder="1" applyAlignment="1">
      <x:alignment wrapText="1"/>
    </x:xf>
    <x:xf numFmtId="0" fontId="17" fillId="16" borderId="30" xfId="0" applyNumberFormat="1" applyFont="1" applyFill="1" applyBorder="1" applyAlignment="1">
      <x:alignment wrapText="1"/>
    </x:xf>
    <x:xf numFmtId="0" fontId="17" fillId="16" borderId="31" xfId="0" applyNumberFormat="1" applyFont="1" applyFill="1" applyBorder="1" applyAlignment="1">
      <x:alignment wrapText="1"/>
    </x:xf>
    <x:xf numFmtId="0" fontId="17" fillId="16" borderId="32" xfId="0" applyNumberFormat="1" applyFont="1" applyFill="1" applyBorder="1" applyAlignment="1">
      <x:alignment wrapText="1"/>
    </x:xf>
    <x:xf numFmtId="0" fontId="17" fillId="16" borderId="33" xfId="0" applyNumberFormat="1" applyFont="1" applyFill="1" applyBorder="1" applyAlignment="1">
      <x:alignment wrapText="1"/>
    </x:xf>
    <x:xf numFmtId="0" fontId="17" fillId="16" borderId="26" xfId="0" applyNumberFormat="1" applyFont="1" applyFill="1" applyBorder="1" applyAlignment="1">
      <x:alignment horizontal="center" wrapText="1"/>
    </x:xf>
    <x:xf numFmtId="0" fontId="17" fillId="16" borderId="27" xfId="0" applyNumberFormat="1" applyFont="1" applyFill="1" applyBorder="1" applyAlignment="1">
      <x:alignment horizontal="center" wrapText="1"/>
    </x:xf>
    <x:xf numFmtId="0" fontId="17" fillId="16" borderId="28" xfId="0" applyNumberFormat="1" applyFont="1" applyFill="1" applyBorder="1" applyAlignment="1">
      <x:alignment horizontal="center" wrapText="1"/>
    </x:xf>
    <x:xf numFmtId="0" fontId="17" fillId="16" borderId="29" xfId="0" applyNumberFormat="1" applyFont="1" applyFill="1" applyBorder="1" applyAlignment="1">
      <x:alignment horizontal="center" wrapText="1"/>
    </x:xf>
    <x:xf numFmtId="0" fontId="17" fillId="16" borderId="0" xfId="0" applyNumberFormat="1" applyFont="1" applyFill="1" applyBorder="1" applyAlignment="1">
      <x:alignment horizontal="center" wrapText="1"/>
    </x:xf>
    <x:xf numFmtId="0" fontId="17" fillId="16" borderId="30" xfId="0" applyNumberFormat="1" applyFont="1" applyFill="1" applyBorder="1" applyAlignment="1">
      <x:alignment horizontal="center" wrapText="1"/>
    </x:xf>
    <x:xf numFmtId="0" fontId="17" fillId="16" borderId="31" xfId="0" applyNumberFormat="1" applyFont="1" applyFill="1" applyBorder="1" applyAlignment="1">
      <x:alignment horizontal="center" wrapText="1"/>
    </x:xf>
    <x:xf numFmtId="0" fontId="17" fillId="16" borderId="32" xfId="0" applyNumberFormat="1" applyFont="1" applyFill="1" applyBorder="1" applyAlignment="1">
      <x:alignment horizontal="center" wrapText="1"/>
    </x:xf>
    <x:xf numFmtId="0" fontId="17" fillId="16" borderId="33" xfId="0" applyNumberFormat="1" applyFont="1" applyFill="1" applyBorder="1" applyAlignment="1">
      <x:alignment horizontal="center" wrapText="1"/>
    </x:xf>
    <x:xf numFmtId="0" fontId="17" fillId="16" borderId="26" xfId="0" applyNumberFormat="1" applyFont="1" applyFill="1" applyBorder="1" applyAlignment="1">
      <x:alignment horizontal="center" vertical="center" wrapText="1"/>
    </x:xf>
    <x:xf numFmtId="0" fontId="17" fillId="16" borderId="27" xfId="0" applyNumberFormat="1" applyFont="1" applyFill="1" applyBorder="1" applyAlignment="1">
      <x:alignment horizontal="center" vertical="center" wrapText="1"/>
    </x:xf>
    <x:xf numFmtId="0" fontId="17" fillId="16" borderId="28" xfId="0" applyNumberFormat="1" applyFont="1" applyFill="1" applyBorder="1" applyAlignment="1">
      <x:alignment horizontal="center" vertical="center" wrapText="1"/>
    </x:xf>
    <x:xf numFmtId="0" fontId="17" fillId="16" borderId="29" xfId="0" applyNumberFormat="1" applyFont="1" applyFill="1" applyBorder="1" applyAlignment="1">
      <x:alignment horizontal="center" vertical="center" wrapText="1"/>
    </x:xf>
    <x:xf numFmtId="0" fontId="17" fillId="16" borderId="0" xfId="0" applyNumberFormat="1" applyFont="1" applyFill="1" applyBorder="1" applyAlignment="1">
      <x:alignment horizontal="center" vertical="center" wrapText="1"/>
    </x:xf>
    <x:xf numFmtId="0" fontId="17" fillId="16" borderId="30" xfId="0" applyNumberFormat="1" applyFont="1" applyFill="1" applyBorder="1" applyAlignment="1">
      <x:alignment horizontal="center" vertical="center" wrapText="1"/>
    </x:xf>
    <x:xf numFmtId="0" fontId="17" fillId="16" borderId="31" xfId="0" applyNumberFormat="1" applyFont="1" applyFill="1" applyBorder="1" applyAlignment="1">
      <x:alignment horizontal="center" vertical="center" wrapText="1"/>
    </x:xf>
    <x:xf numFmtId="0" fontId="17" fillId="16" borderId="32" xfId="0" applyNumberFormat="1" applyFont="1" applyFill="1" applyBorder="1" applyAlignment="1">
      <x:alignment horizontal="center" vertical="center" wrapText="1"/>
    </x:xf>
    <x:xf numFmtId="0" fontId="17" fillId="16" borderId="33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/>
    <x:xf numFmtId="0" fontId="17" fillId="16" borderId="2" xfId="0" applyNumberFormat="1" applyFont="1" applyFill="1" applyBorder="1"/>
    <x:xf numFmtId="0" fontId="17" fillId="16" borderId="34" xfId="0" applyNumberFormat="1" applyFont="1" applyFill="1" applyBorder="1"/>
    <x:xf numFmtId="0" fontId="17" fillId="16" borderId="35" xfId="0" applyNumberFormat="1" applyFont="1" applyFill="1" applyBorder="1"/>
    <x:xf numFmtId="0" fontId="17" fillId="16" borderId="36" xfId="0" applyNumberFormat="1" applyFont="1" applyFill="1" applyBorder="1"/>
    <x:xf numFmtId="0" fontId="17" fillId="16" borderId="37" xfId="0" applyNumberFormat="1" applyFont="1" applyFill="1" applyBorder="1"/>
    <x:xf numFmtId="0" fontId="17" fillId="16" borderId="38" xfId="0" applyNumberFormat="1" applyFont="1" applyFill="1" applyBorder="1"/>
    <x:xf numFmtId="0" fontId="17" fillId="16" borderId="39" xfId="0" applyNumberFormat="1" applyFont="1" applyFill="1" applyBorder="1"/>
    <x:xf numFmtId="0" fontId="17" fillId="16" borderId="40" xfId="0" applyNumberFormat="1" applyFont="1" applyFill="1" applyBorder="1"/>
    <x:xf numFmtId="0" fontId="17" fillId="16" borderId="41" xfId="0" applyNumberFormat="1" applyFont="1" applyFill="1" applyBorder="1"/>
    <x:xf numFmtId="0" fontId="17" fillId="16" borderId="34" xfId="0" applyNumberFormat="1" applyFont="1" applyFill="1" applyBorder="1" applyAlignment="1">
      <x:alignment wrapText="1"/>
    </x:xf>
    <x:xf numFmtId="0" fontId="17" fillId="16" borderId="35" xfId="0" applyNumberFormat="1" applyFont="1" applyFill="1" applyBorder="1" applyAlignment="1">
      <x:alignment wrapText="1"/>
    </x:xf>
    <x:xf numFmtId="0" fontId="17" fillId="16" borderId="36" xfId="0" applyNumberFormat="1" applyFont="1" applyFill="1" applyBorder="1" applyAlignment="1">
      <x:alignment wrapText="1"/>
    </x:xf>
    <x:xf numFmtId="0" fontId="17" fillId="16" borderId="37" xfId="0" applyNumberFormat="1" applyFont="1" applyFill="1" applyBorder="1" applyAlignment="1">
      <x:alignment wrapText="1"/>
    </x:xf>
    <x:xf numFmtId="0" fontId="17" fillId="16" borderId="2" xfId="0" applyNumberFormat="1" applyFont="1" applyFill="1" applyBorder="1" applyAlignment="1">
      <x:alignment wrapText="1"/>
    </x:xf>
    <x:xf numFmtId="0" fontId="17" fillId="16" borderId="38" xfId="0" applyNumberFormat="1" applyFont="1" applyFill="1" applyBorder="1" applyAlignment="1">
      <x:alignment wrapText="1"/>
    </x:xf>
    <x:xf numFmtId="0" fontId="17" fillId="16" borderId="39" xfId="0" applyNumberFormat="1" applyFont="1" applyFill="1" applyBorder="1" applyAlignment="1">
      <x:alignment wrapText="1"/>
    </x:xf>
    <x:xf numFmtId="0" fontId="17" fillId="16" borderId="40" xfId="0" applyNumberFormat="1" applyFont="1" applyFill="1" applyBorder="1" applyAlignment="1">
      <x:alignment wrapText="1"/>
    </x:xf>
    <x:xf numFmtId="0" fontId="17" fillId="16" borderId="41" xfId="0" applyNumberFormat="1" applyFont="1" applyFill="1" applyBorder="1" applyAlignment="1">
      <x:alignment wrapText="1"/>
    </x:xf>
    <x:xf numFmtId="0" fontId="17" fillId="16" borderId="34" xfId="0" applyNumberFormat="1" applyFont="1" applyFill="1" applyBorder="1" applyAlignment="1">
      <x:alignment horizontal="center" wrapText="1"/>
    </x:xf>
    <x:xf numFmtId="0" fontId="17" fillId="16" borderId="35" xfId="0" applyNumberFormat="1" applyFont="1" applyFill="1" applyBorder="1" applyAlignment="1">
      <x:alignment horizontal="center" wrapText="1"/>
    </x:xf>
    <x:xf numFmtId="0" fontId="17" fillId="16" borderId="36" xfId="0" applyNumberFormat="1" applyFont="1" applyFill="1" applyBorder="1" applyAlignment="1">
      <x:alignment horizontal="center" wrapText="1"/>
    </x:xf>
    <x:xf numFmtId="0" fontId="17" fillId="16" borderId="37" xfId="0" applyNumberFormat="1" applyFont="1" applyFill="1" applyBorder="1" applyAlignment="1">
      <x:alignment horizontal="center" wrapText="1"/>
    </x:xf>
    <x:xf numFmtId="0" fontId="17" fillId="16" borderId="2" xfId="0" applyNumberFormat="1" applyFont="1" applyFill="1" applyBorder="1" applyAlignment="1">
      <x:alignment horizontal="center" wrapText="1"/>
    </x:xf>
    <x:xf numFmtId="0" fontId="17" fillId="16" borderId="38" xfId="0" applyNumberFormat="1" applyFont="1" applyFill="1" applyBorder="1" applyAlignment="1">
      <x:alignment horizontal="center" wrapText="1"/>
    </x:xf>
    <x:xf numFmtId="0" fontId="17" fillId="16" borderId="39" xfId="0" applyNumberFormat="1" applyFont="1" applyFill="1" applyBorder="1" applyAlignment="1">
      <x:alignment horizontal="center" wrapText="1"/>
    </x:xf>
    <x:xf numFmtId="0" fontId="17" fillId="16" borderId="40" xfId="0" applyNumberFormat="1" applyFont="1" applyFill="1" applyBorder="1" applyAlignment="1">
      <x:alignment horizontal="center" wrapText="1"/>
    </x:xf>
    <x:xf numFmtId="0" fontId="17" fillId="16" borderId="41" xfId="0" applyNumberFormat="1" applyFont="1" applyFill="1" applyBorder="1" applyAlignment="1">
      <x:alignment horizontal="center" wrapText="1"/>
    </x:xf>
    <x:xf numFmtId="0" fontId="17" fillId="16" borderId="34" xfId="0" applyNumberFormat="1" applyFont="1" applyFill="1" applyBorder="1" applyAlignment="1">
      <x:alignment horizontal="center" vertical="center" wrapText="1"/>
    </x:xf>
    <x:xf numFmtId="0" fontId="17" fillId="16" borderId="35" xfId="0" applyNumberFormat="1" applyFont="1" applyFill="1" applyBorder="1" applyAlignment="1">
      <x:alignment horizontal="center" vertical="center" wrapText="1"/>
    </x:xf>
    <x:xf numFmtId="0" fontId="17" fillId="16" borderId="36" xfId="0" applyNumberFormat="1" applyFont="1" applyFill="1" applyBorder="1" applyAlignment="1">
      <x:alignment horizontal="center" vertical="center" wrapText="1"/>
    </x:xf>
    <x:xf numFmtId="0" fontId="17" fillId="16" borderId="37" xfId="0" applyNumberFormat="1" applyFont="1" applyFill="1" applyBorder="1" applyAlignment="1">
      <x:alignment horizontal="center" vertical="center" wrapText="1"/>
    </x:xf>
    <x:xf numFmtId="0" fontId="17" fillId="16" borderId="2" xfId="0" applyNumberFormat="1" applyFont="1" applyFill="1" applyBorder="1" applyAlignment="1">
      <x:alignment horizontal="center" vertical="center" wrapText="1"/>
    </x:xf>
    <x:xf numFmtId="0" fontId="17" fillId="16" borderId="38" xfId="0" applyNumberFormat="1" applyFont="1" applyFill="1" applyBorder="1" applyAlignment="1">
      <x:alignment horizontal="center" vertical="center" wrapText="1"/>
    </x:xf>
    <x:xf numFmtId="0" fontId="17" fillId="16" borderId="39" xfId="0" applyNumberFormat="1" applyFont="1" applyFill="1" applyBorder="1" applyAlignment="1">
      <x:alignment horizontal="center" vertical="center" wrapText="1"/>
    </x:xf>
    <x:xf numFmtId="0" fontId="17" fillId="16" borderId="40" xfId="0" applyNumberFormat="1" applyFont="1" applyFill="1" applyBorder="1" applyAlignment="1">
      <x:alignment horizontal="center" vertical="center" wrapText="1"/>
    </x:xf>
    <x:xf numFmtId="0" fontId="17" fillId="16" borderId="41" xfId="0" applyNumberFormat="1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/>
    <x:xf numFmtId="0" fontId="17" fillId="13" borderId="26" xfId="0" applyNumberFormat="1" applyFont="1" applyFill="1" applyBorder="1"/>
    <x:xf numFmtId="0" fontId="17" fillId="13" borderId="27" xfId="0" applyNumberFormat="1" applyFont="1" applyFill="1" applyBorder="1"/>
    <x:xf numFmtId="0" fontId="17" fillId="13" borderId="28" xfId="0" applyNumberFormat="1" applyFont="1" applyFill="1" applyBorder="1"/>
    <x:xf numFmtId="0" fontId="17" fillId="13" borderId="29" xfId="0" applyNumberFormat="1" applyFont="1" applyFill="1" applyBorder="1"/>
    <x:xf numFmtId="0" fontId="17" fillId="13" borderId="30" xfId="0" applyNumberFormat="1" applyFont="1" applyFill="1" applyBorder="1"/>
    <x:xf numFmtId="0" fontId="17" fillId="13" borderId="31" xfId="0" applyNumberFormat="1" applyFont="1" applyFill="1" applyBorder="1"/>
    <x:xf numFmtId="0" fontId="17" fillId="13" borderId="32" xfId="0" applyNumberFormat="1" applyFont="1" applyFill="1" applyBorder="1"/>
    <x:xf numFmtId="0" fontId="17" fillId="13" borderId="33" xfId="0" applyNumberFormat="1" applyFont="1" applyFill="1" applyBorder="1"/>
    <x:xf numFmtId="0" fontId="17" fillId="13" borderId="26" xfId="0" applyNumberFormat="1" applyFont="1" applyFill="1" applyBorder="1" applyAlignment="1">
      <x:alignment wrapText="1"/>
    </x:xf>
    <x:xf numFmtId="0" fontId="17" fillId="13" borderId="27" xfId="0" applyNumberFormat="1" applyFont="1" applyFill="1" applyBorder="1" applyAlignment="1">
      <x:alignment wrapText="1"/>
    </x:xf>
    <x:xf numFmtId="0" fontId="17" fillId="13" borderId="28" xfId="0" applyNumberFormat="1" applyFont="1" applyFill="1" applyBorder="1" applyAlignment="1">
      <x:alignment wrapText="1"/>
    </x:xf>
    <x:xf numFmtId="0" fontId="17" fillId="13" borderId="29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wrapText="1"/>
    </x:xf>
    <x:xf numFmtId="0" fontId="17" fillId="13" borderId="30" xfId="0" applyNumberFormat="1" applyFont="1" applyFill="1" applyBorder="1" applyAlignment="1">
      <x:alignment wrapText="1"/>
    </x:xf>
    <x:xf numFmtId="0" fontId="17" fillId="13" borderId="31" xfId="0" applyNumberFormat="1" applyFont="1" applyFill="1" applyBorder="1" applyAlignment="1">
      <x:alignment wrapText="1"/>
    </x:xf>
    <x:xf numFmtId="0" fontId="17" fillId="13" borderId="32" xfId="0" applyNumberFormat="1" applyFont="1" applyFill="1" applyBorder="1" applyAlignment="1">
      <x:alignment wrapText="1"/>
    </x:xf>
    <x:xf numFmtId="0" fontId="17" fillId="13" borderId="33" xfId="0" applyNumberFormat="1" applyFont="1" applyFill="1" applyBorder="1" applyAlignment="1">
      <x:alignment wrapText="1"/>
    </x:xf>
    <x:xf numFmtId="0" fontId="17" fillId="13" borderId="26" xfId="0" applyNumberFormat="1" applyFont="1" applyFill="1" applyBorder="1" applyAlignment="1">
      <x:alignment horizontal="center" wrapText="1"/>
    </x:xf>
    <x:xf numFmtId="0" fontId="17" fillId="13" borderId="27" xfId="0" applyNumberFormat="1" applyFont="1" applyFill="1" applyBorder="1" applyAlignment="1">
      <x:alignment horizontal="center" wrapText="1"/>
    </x:xf>
    <x:xf numFmtId="0" fontId="17" fillId="13" borderId="28" xfId="0" applyNumberFormat="1" applyFont="1" applyFill="1" applyBorder="1" applyAlignment="1">
      <x:alignment horizontal="center" wrapText="1"/>
    </x:xf>
    <x:xf numFmtId="0" fontId="17" fillId="13" borderId="29" xfId="0" applyNumberFormat="1" applyFont="1" applyFill="1" applyBorder="1" applyAlignment="1">
      <x:alignment horizontal="center" wrapText="1"/>
    </x:xf>
    <x:xf numFmtId="0" fontId="17" fillId="13" borderId="0" xfId="0" applyNumberFormat="1" applyFont="1" applyFill="1" applyBorder="1" applyAlignment="1">
      <x:alignment horizontal="center" wrapText="1"/>
    </x:xf>
    <x:xf numFmtId="0" fontId="17" fillId="13" borderId="30" xfId="0" applyNumberFormat="1" applyFont="1" applyFill="1" applyBorder="1" applyAlignment="1">
      <x:alignment horizontal="center" wrapText="1"/>
    </x:xf>
    <x:xf numFmtId="0" fontId="17" fillId="13" borderId="31" xfId="0" applyNumberFormat="1" applyFont="1" applyFill="1" applyBorder="1" applyAlignment="1">
      <x:alignment horizontal="center" wrapText="1"/>
    </x:xf>
    <x:xf numFmtId="0" fontId="17" fillId="13" borderId="32" xfId="0" applyNumberFormat="1" applyFont="1" applyFill="1" applyBorder="1" applyAlignment="1">
      <x:alignment horizontal="center" wrapText="1"/>
    </x:xf>
    <x:xf numFmtId="0" fontId="17" fillId="13" borderId="33" xfId="0" applyNumberFormat="1" applyFont="1" applyFill="1" applyBorder="1" applyAlignment="1">
      <x:alignment horizontal="center" wrapText="1"/>
    </x:xf>
    <x:xf numFmtId="0" fontId="17" fillId="13" borderId="26" xfId="0" applyNumberFormat="1" applyFont="1" applyFill="1" applyBorder="1" applyAlignment="1">
      <x:alignment horizontal="center" vertical="center" wrapText="1"/>
    </x:xf>
    <x:xf numFmtId="0" fontId="17" fillId="13" borderId="27" xfId="0" applyNumberFormat="1" applyFont="1" applyFill="1" applyBorder="1" applyAlignment="1">
      <x:alignment horizontal="center" vertical="center" wrapText="1"/>
    </x:xf>
    <x:xf numFmtId="0" fontId="17" fillId="13" borderId="28" xfId="0" applyNumberFormat="1" applyFont="1" applyFill="1" applyBorder="1" applyAlignment="1">
      <x:alignment horizontal="center" vertical="center" wrapText="1"/>
    </x:xf>
    <x:xf numFmtId="0" fontId="17" fillId="13" borderId="29" xfId="0" applyNumberFormat="1" applyFont="1" applyFill="1" applyBorder="1" applyAlignment="1">
      <x:alignment horizontal="center" vertical="center" wrapText="1"/>
    </x:xf>
    <x:xf numFmtId="0" fontId="17" fillId="13" borderId="0" xfId="0" applyNumberFormat="1" applyFont="1" applyFill="1" applyBorder="1" applyAlignment="1">
      <x:alignment horizontal="center" vertical="center" wrapText="1"/>
    </x:xf>
    <x:xf numFmtId="0" fontId="17" fillId="13" borderId="30" xfId="0" applyNumberFormat="1" applyFont="1" applyFill="1" applyBorder="1" applyAlignment="1">
      <x:alignment horizontal="center" vertical="center" wrapText="1"/>
    </x:xf>
    <x:xf numFmtId="0" fontId="17" fillId="13" borderId="31" xfId="0" applyNumberFormat="1" applyFont="1" applyFill="1" applyBorder="1" applyAlignment="1">
      <x:alignment horizontal="center" vertical="center" wrapText="1"/>
    </x:xf>
    <x:xf numFmtId="0" fontId="17" fillId="13" borderId="32" xfId="0" applyNumberFormat="1" applyFont="1" applyFill="1" applyBorder="1" applyAlignment="1">
      <x:alignment horizontal="center" vertical="center" wrapText="1"/>
    </x:xf>
    <x:xf numFmtId="0" fontId="17" fillId="13" borderId="33" xfId="0" applyNumberFormat="1" applyFont="1" applyFill="1" applyBorder="1" applyAlignment="1">
      <x:alignment horizontal="center" vertical="center" wrapText="1"/>
    </x:xf>
    <x:xf numFmtId="0" fontId="17" fillId="13" borderId="2" xfId="0" applyNumberFormat="1" applyFont="1" applyFill="1" applyBorder="1"/>
    <x:xf numFmtId="0" fontId="17" fillId="13" borderId="34" xfId="0" applyNumberFormat="1" applyFont="1" applyFill="1" applyBorder="1"/>
    <x:xf numFmtId="0" fontId="17" fillId="13" borderId="35" xfId="0" applyNumberFormat="1" applyFont="1" applyFill="1" applyBorder="1"/>
    <x:xf numFmtId="0" fontId="17" fillId="13" borderId="36" xfId="0" applyNumberFormat="1" applyFont="1" applyFill="1" applyBorder="1"/>
    <x:xf numFmtId="0" fontId="17" fillId="13" borderId="37" xfId="0" applyNumberFormat="1" applyFont="1" applyFill="1" applyBorder="1"/>
    <x:xf numFmtId="0" fontId="17" fillId="13" borderId="38" xfId="0" applyNumberFormat="1" applyFont="1" applyFill="1" applyBorder="1"/>
    <x:xf numFmtId="0" fontId="17" fillId="13" borderId="39" xfId="0" applyNumberFormat="1" applyFont="1" applyFill="1" applyBorder="1"/>
    <x:xf numFmtId="0" fontId="17" fillId="13" borderId="40" xfId="0" applyNumberFormat="1" applyFont="1" applyFill="1" applyBorder="1"/>
    <x:xf numFmtId="0" fontId="17" fillId="13" borderId="41" xfId="0" applyNumberFormat="1" applyFont="1" applyFill="1" applyBorder="1"/>
    <x:xf numFmtId="0" fontId="17" fillId="13" borderId="34" xfId="0" applyNumberFormat="1" applyFont="1" applyFill="1" applyBorder="1" applyAlignment="1">
      <x:alignment wrapText="1"/>
    </x:xf>
    <x:xf numFmtId="0" fontId="17" fillId="13" borderId="35" xfId="0" applyNumberFormat="1" applyFont="1" applyFill="1" applyBorder="1" applyAlignment="1">
      <x:alignment wrapText="1"/>
    </x:xf>
    <x:xf numFmtId="0" fontId="17" fillId="13" borderId="36" xfId="0" applyNumberFormat="1" applyFont="1" applyFill="1" applyBorder="1" applyAlignment="1">
      <x:alignment wrapText="1"/>
    </x:xf>
    <x:xf numFmtId="0" fontId="17" fillId="13" borderId="37" xfId="0" applyNumberFormat="1" applyFont="1" applyFill="1" applyBorder="1" applyAlignment="1">
      <x:alignment wrapText="1"/>
    </x:xf>
    <x:xf numFmtId="0" fontId="17" fillId="13" borderId="2" xfId="0" applyNumberFormat="1" applyFont="1" applyFill="1" applyBorder="1" applyAlignment="1">
      <x:alignment wrapText="1"/>
    </x:xf>
    <x:xf numFmtId="0" fontId="17" fillId="13" borderId="38" xfId="0" applyNumberFormat="1" applyFont="1" applyFill="1" applyBorder="1" applyAlignment="1">
      <x:alignment wrapText="1"/>
    </x:xf>
    <x:xf numFmtId="0" fontId="17" fillId="13" borderId="39" xfId="0" applyNumberFormat="1" applyFont="1" applyFill="1" applyBorder="1" applyAlignment="1">
      <x:alignment wrapText="1"/>
    </x:xf>
    <x:xf numFmtId="0" fontId="17" fillId="13" borderId="40" xfId="0" applyNumberFormat="1" applyFont="1" applyFill="1" applyBorder="1" applyAlignment="1">
      <x:alignment wrapText="1"/>
    </x:xf>
    <x:xf numFmtId="0" fontId="17" fillId="13" borderId="41" xfId="0" applyNumberFormat="1" applyFont="1" applyFill="1" applyBorder="1" applyAlignment="1">
      <x:alignment wrapText="1"/>
    </x:xf>
    <x:xf numFmtId="0" fontId="17" fillId="13" borderId="34" xfId="0" applyNumberFormat="1" applyFont="1" applyFill="1" applyBorder="1" applyAlignment="1">
      <x:alignment horizontal="center" wrapText="1"/>
    </x:xf>
    <x:xf numFmtId="0" fontId="17" fillId="13" borderId="35" xfId="0" applyNumberFormat="1" applyFont="1" applyFill="1" applyBorder="1" applyAlignment="1">
      <x:alignment horizontal="center" wrapText="1"/>
    </x:xf>
    <x:xf numFmtId="0" fontId="17" fillId="13" borderId="36" xfId="0" applyNumberFormat="1" applyFont="1" applyFill="1" applyBorder="1" applyAlignment="1">
      <x:alignment horizontal="center" wrapText="1"/>
    </x:xf>
    <x:xf numFmtId="0" fontId="17" fillId="13" borderId="37" xfId="0" applyNumberFormat="1" applyFont="1" applyFill="1" applyBorder="1" applyAlignment="1">
      <x:alignment horizontal="center" wrapText="1"/>
    </x:xf>
    <x:xf numFmtId="0" fontId="17" fillId="13" borderId="2" xfId="0" applyNumberFormat="1" applyFont="1" applyFill="1" applyBorder="1" applyAlignment="1">
      <x:alignment horizontal="center" wrapText="1"/>
    </x:xf>
    <x:xf numFmtId="0" fontId="17" fillId="13" borderId="38" xfId="0" applyNumberFormat="1" applyFont="1" applyFill="1" applyBorder="1" applyAlignment="1">
      <x:alignment horizontal="center" wrapText="1"/>
    </x:xf>
    <x:xf numFmtId="0" fontId="17" fillId="13" borderId="39" xfId="0" applyNumberFormat="1" applyFont="1" applyFill="1" applyBorder="1" applyAlignment="1">
      <x:alignment horizontal="center" wrapText="1"/>
    </x:xf>
    <x:xf numFmtId="0" fontId="17" fillId="13" borderId="40" xfId="0" applyNumberFormat="1" applyFont="1" applyFill="1" applyBorder="1" applyAlignment="1">
      <x:alignment horizontal="center" wrapText="1"/>
    </x:xf>
    <x:xf numFmtId="0" fontId="17" fillId="13" borderId="41" xfId="0" applyNumberFormat="1" applyFont="1" applyFill="1" applyBorder="1" applyAlignment="1">
      <x:alignment horizontal="center" wrapText="1"/>
    </x:xf>
    <x:xf numFmtId="0" fontId="17" fillId="13" borderId="34" xfId="0" applyNumberFormat="1" applyFont="1" applyFill="1" applyBorder="1" applyAlignment="1">
      <x:alignment horizontal="center" vertical="center" wrapText="1"/>
    </x:xf>
    <x:xf numFmtId="0" fontId="17" fillId="13" borderId="35" xfId="0" applyNumberFormat="1" applyFont="1" applyFill="1" applyBorder="1" applyAlignment="1">
      <x:alignment horizontal="center" vertical="center" wrapText="1"/>
    </x:xf>
    <x:xf numFmtId="0" fontId="17" fillId="13" borderId="36" xfId="0" applyNumberFormat="1" applyFont="1" applyFill="1" applyBorder="1" applyAlignment="1">
      <x:alignment horizontal="center" vertical="center" wrapText="1"/>
    </x:xf>
    <x:xf numFmtId="0" fontId="17" fillId="13" borderId="37" xfId="0" applyNumberFormat="1" applyFont="1" applyFill="1" applyBorder="1" applyAlignment="1">
      <x:alignment horizontal="center" vertical="center" wrapText="1"/>
    </x:xf>
    <x:xf numFmtId="0" fontId="17" fillId="13" borderId="2" xfId="0" applyNumberFormat="1" applyFont="1" applyFill="1" applyBorder="1" applyAlignment="1">
      <x:alignment horizontal="center" vertical="center" wrapText="1"/>
    </x:xf>
    <x:xf numFmtId="0" fontId="17" fillId="13" borderId="38" xfId="0" applyNumberFormat="1" applyFont="1" applyFill="1" applyBorder="1" applyAlignment="1">
      <x:alignment horizontal="center" vertical="center" wrapText="1"/>
    </x:xf>
    <x:xf numFmtId="0" fontId="17" fillId="13" borderId="39" xfId="0" applyNumberFormat="1" applyFont="1" applyFill="1" applyBorder="1" applyAlignment="1">
      <x:alignment horizontal="center" vertical="center" wrapText="1"/>
    </x:xf>
    <x:xf numFmtId="0" fontId="17" fillId="13" borderId="40" xfId="0" applyNumberFormat="1" applyFont="1" applyFill="1" applyBorder="1" applyAlignment="1">
      <x:alignment horizontal="center" vertical="center" wrapText="1"/>
    </x:xf>
    <x:xf numFmtId="0" fontId="17" fillId="13" borderId="41" xfId="0" applyNumberFormat="1" applyFont="1" applyFill="1" applyBorder="1" applyAlignment="1">
      <x:alignment horizontal="center" vertical="center" wrapText="1"/>
    </x:xf>
    <x:xf numFmtId="0" fontId="13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0">
    <x:dxf>
      <x:font>
        <x:b/>
      </x:font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9f235075d48ed" /><Relationship Type="http://schemas.openxmlformats.org/officeDocument/2006/relationships/theme" Target="/xl/theme/theme1.xml" Id="R00805e616b594573" /><Relationship Type="http://schemas.openxmlformats.org/officeDocument/2006/relationships/sharedStrings" Target="/xl/sharedStrings.xml" Id="R1e5cb01bfa8248dc" /><Relationship Type="http://schemas.openxmlformats.org/officeDocument/2006/relationships/worksheet" Target="/xl/worksheets/sheet1.xml" Id="R2a095c80411245b2" /><Relationship Type="http://schemas.openxmlformats.org/officeDocument/2006/relationships/worksheet" Target="/xl/worksheets/sheet2.xml" Id="Rc678f822f60c4c5f" /><Relationship Type="http://schemas.openxmlformats.org/officeDocument/2006/relationships/worksheet" Target="/xl/worksheets/sheet3.xml" Id="R228cdd5f76354908" /><Relationship Type="http://schemas.openxmlformats.org/officeDocument/2006/relationships/worksheet" Target="/xl/worksheets/sheet4.xml" Id="R5dc204ae53c6400e" /><Relationship Type="http://schemas.openxmlformats.org/officeDocument/2006/relationships/worksheet" Target="/xl/worksheets/sheet5.xml" Id="R878c997bccea4761" /><Relationship Type="http://schemas.openxmlformats.org/officeDocument/2006/relationships/worksheet" Target="/xl/worksheets/sheet6.xml" Id="R5b13448fb24c4010" /><Relationship Type="http://schemas.openxmlformats.org/officeDocument/2006/relationships/worksheet" Target="/xl/worksheets/sheet7.xml" Id="R7c52bdea80e94135" /><Relationship Type="http://schemas.openxmlformats.org/officeDocument/2006/relationships/worksheet" Target="/xl/worksheets/sheet8.xml" Id="Raabe739b1cca43d1" /><Relationship Type="http://schemas.openxmlformats.org/officeDocument/2006/relationships/worksheet" Target="/xl/worksheets/sheet9.xml" Id="R8e0e2efcdf9b458f" /><Relationship Type="http://schemas.openxmlformats.org/officeDocument/2006/relationships/worksheet" Target="/xl/worksheets/sheet10.xml" Id="R3f9067406a6c4ae9" /><Relationship Type="http://schemas.openxmlformats.org/officeDocument/2006/relationships/worksheet" Target="/xl/worksheets/sheet11.xml" Id="Rb203b01a6d054072" /><Relationship Type="http://schemas.openxmlformats.org/officeDocument/2006/relationships/worksheet" Target="/xl/worksheets/sheet12.xml" Id="R9aac416d77c24256" /><Relationship Type="http://schemas.openxmlformats.org/officeDocument/2006/relationships/worksheet" Target="/xl/worksheets/sheet13.xml" Id="R517341af3b014c53" /><Relationship Type="http://schemas.openxmlformats.org/officeDocument/2006/relationships/worksheet" Target="/xl/worksheets/sheet14.xml" Id="R3cabdddf358248b6" /><Relationship Type="http://schemas.openxmlformats.org/officeDocument/2006/relationships/worksheet" Target="/xl/worksheets/sheet15.xml" Id="R173eb33c40234162" /><Relationship Type="http://schemas.openxmlformats.org/officeDocument/2006/relationships/worksheet" Target="/xl/worksheets/sheet16.xml" Id="R39f07bd293f643d9" /><Relationship Type="http://schemas.openxmlformats.org/officeDocument/2006/relationships/worksheet" Target="/xl/worksheets/sheet17.xml" Id="R2ebdd41189af43c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2e700ec1af4bc2" /><Relationship Type="http://schemas.openxmlformats.org/officeDocument/2006/relationships/chart" Target="/xl/drawings/charts/chart2.xml" Id="R3960247c24444c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Tareas por estado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'10_Dashboard_Tareas'!$J$4:$J$10</c:f>
              <c:strCache>
                <c:ptCount val="0"/>
              </c:strCache>
            </c:strRef>
          </c:cat>
          <c:val>
            <c:numRef>
              <c:f>'10_Dashboard_Tareas'!$K$4:$K$10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Pérdidas por causa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'10_Dashboard_Tareas'!$J$14:$J$25</c:f>
              <c:strCache>
                <c:ptCount val="0"/>
              </c:strCache>
            </c:strRef>
          </c:cat>
          <c:val>
            <c:numRef>
              <c:f>'10_Dashboard_Tareas'!$K$14:$K$25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2e700ec1af4bc2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60247c24444c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RegistroTareas" displayName="tblRegistroTareas" ref="A4:BA504" headerRowCount="1" totalsRowCount="0" totalsRowShown="0">
  <x:tableColumns count="53">
    <x:tableColumn id="1" name="ID Tarea"/>
    <x:tableColumn id="2" name="Fecha"/>
    <x:tableColumn id="3" name="Hora entrega orden"/>
    <x:tableColumn id="4" name="Obra"/>
    <x:tableColumn id="5" name="Orden"/>
    <x:tableColumn id="6" name="ID Sector"/>
    <x:tableColumn id="7" name="Código fuente"/>
    <x:tableColumn id="8" name="Manzana"/>
    <x:tableColumn id="9" name="Pasaje"/>
    <x:tableColumn id="10" name="Nodo inicial"/>
    <x:tableColumn id="11" name="Nodo final"/>
    <x:tableColumn id="12" name="Tramo"/>
    <x:tableColumn id="13" name="Diámetro"/>
    <x:tableColumn id="14" name="Cód. actividad"/>
    <x:tableColumn id="15" name="Actividad"/>
    <x:tableColumn id="16" name="Unidad"/>
    <x:tableColumn id="17" name="Cant. planificada"/>
    <x:tableColumn id="18" name="Rend. objetivo/día"/>
    <x:tableColumn id="19" name="Inicio plan"/>
    <x:tableColumn id="20" name="Fin plan"/>
    <x:tableColumn id="21" name="Hs plan"/>
    <x:tableColumn id="22" name="Cuadrilla"/>
    <x:tableColumn id="23" name="Personas plan"/>
    <x:tableColumn id="24" name="Equipo plan"/>
    <x:tableColumn id="25" name="Responsable"/>
    <x:tableColumn id="26" name="Material / Insumo"/>
    <x:tableColumn id="27" name="Restricción / Seguridad"/>
    <x:tableColumn id="28" name="Estado"/>
    <x:tableColumn id="29" name="Inicio real"/>
    <x:tableColumn id="30" name="Fin real"/>
    <x:tableColumn id="31" name="Hs reales"/>
    <x:tableColumn id="32" name="Min perdidos"/>
    <x:tableColumn id="33" name="Hs productivas"/>
    <x:tableColumn id="34" name="Cant. real"/>
    <x:tableColumn id="35" name="Personal real"/>
    <x:tableColumn id="36" name="Equipo real"/>
    <x:tableColumn id="37" name="HH plan"/>
    <x:tableColumn id="38" name="HH real"/>
    <x:tableColumn id="39" name="Cumplimiento cant."/>
    <x:tableColumn id="40" name="Rend. real/h"/>
    <x:tableColumn id="41" name="HH/unidad"/>
    <x:tableColumn id="42" name="Utilización tiempo"/>
    <x:tableColumn id="43" name="Índice productividad"/>
    <x:tableColumn id="44" name="Desvío Hs"/>
    <x:tableColumn id="45" name="Motivo desvío"/>
    <x:tableColumn id="46" name="Observaciones"/>
    <x:tableColumn id="47" name="Acción correctiva"/>
    <x:tableColumn id="48" name="Responsable acción"/>
    <x:tableColumn id="49" name="Fecha compromiso"/>
    <x:tableColumn id="50" name="Foto / Referencia"/>
    <x:tableColumn id="51" name="Estado acción"/>
    <x:tableColumn id="52" name="FechaHora carga"/>
    <x:tableColumn id="53" name="FechaHora cier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radas" displayName="tblParadas" ref="A4:H304" headerRowCount="1" totalsRowCount="0" totalsRowShown="0">
  <x:tableColumns count="8">
    <x:tableColumn id="1" name="ID Tarea"/>
    <x:tableColumn id="2" name="Fecha"/>
    <x:tableColumn id="3" name="Hora inicio"/>
    <x:tableColumn id="4" name="Hora fin"/>
    <x:tableColumn id="5" name="Minutos"/>
    <x:tableColumn id="6" name="Causa"/>
    <x:tableColumn id="7" name="Observación"/>
    <x:tableColumn id="8" name="Responsable / Ár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9ac6864675e54e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.xml" Id="R3df84ee6c7744df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.xml" Id="R0d2f281776254e8c" /></Relationships>
</file>

<file path=xl/worksheets/sheet1.xml><?xml version="1.0" encoding="utf-8"?>
<x:worksheet xmlns:x="http://schemas.openxmlformats.org/spreadsheetml/2006/main">
  <x:sheetFormatPr defaultColWidth="8.75" defaultRowHeight="13.899999618530273"/>
  <x:cols>
    <x:col min="1" max="1" width="29" customWidth="1"/>
    <x:col min="2" max="2" width="40" customWidth="1"/>
    <x:col min="4" max="4" width="15" customWidth="1"/>
    <x:col min="5" max="5" width="42" customWidth="1"/>
    <x:col min="6" max="6" width="10" customWidth="1"/>
    <x:col min="7" max="7" width="18" customWidth="1"/>
    <x:col min="8" max="8" width="30" customWidth="1"/>
    <x:col min="10" max="10" width="18" customWidth="1"/>
    <x:col min="11" max="11" width="22" customWidth="1"/>
  </x:cols>
  <x:sheetData>
    <x:row r="1" ht="19.149999618530273">
      <x:c r="A1" s="49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</x:row>
    <x:row r="3">
      <x:c r="A3" s="1" t="s">
        <x:v>1</x:v>
      </x:c>
      <x:c r="B3" s="1" t="s">
        <x:v>2</x:v>
      </x:c>
      <x:c r="D3" s="23" t="s">
        <x:v>3</x:v>
      </x:c>
      <x:c r="E3" s="23" t="s">
        <x:v>4</x:v>
      </x:c>
      <x:c r="F3" s="23" t="s">
        <x:v>5</x:v>
      </x:c>
      <x:c r="G3" s="23" t="s">
        <x:v>6</x:v>
      </x:c>
      <x:c r="H3" s="5" t="s">
        <x:v>7</x:v>
      </x:c>
      <x:c r="J3" t="s">
        <x:v>8</x:v>
      </x:c>
      <x:c r="K3" t="s">
        <x:v>9</x:v>
      </x:c>
    </x:row>
    <x:row r="4">
      <x:c r="A4" s="2" t="s">
        <x:v>10</x:v>
      </x:c>
      <x:c r="B4" s="3" t="s">
        <x:v>11</x:v>
      </x:c>
      <x:c r="D4" s="24" t="s">
        <x:v>12</x:v>
      </x:c>
      <x:c r="E4" s="24" t="s">
        <x:v>13</x:v>
      </x:c>
      <x:c r="F4" s="24" t="s">
        <x:v>14</x:v>
      </x:c>
      <x:c r="G4" s="25">
        <x:v>80</x:v>
      </x:c>
      <x:c r="H4" t="s">
        <x:v>15</x:v>
      </x:c>
      <x:c r="J4" t="s">
        <x:v>16</x:v>
      </x:c>
      <x:c r="K4" t="s">
        <x:v>17</x:v>
      </x:c>
    </x:row>
    <x:row r="5">
      <x:c r="A5" s="2" t="s">
        <x:v>18</x:v>
      </x:c>
      <x:c r="B5" s="3" t="s">
        <x:v>19</x:v>
      </x:c>
      <x:c r="D5" s="24" t="s">
        <x:v>20</x:v>
      </x:c>
      <x:c r="E5" s="24" t="s">
        <x:v>21</x:v>
      </x:c>
      <x:c r="F5" s="24" t="s">
        <x:v>14</x:v>
      </x:c>
      <x:c r="G5" s="25">
        <x:v>70</x:v>
      </x:c>
      <x:c r="H5" t="s">
        <x:v>22</x:v>
      </x:c>
      <x:c r="J5" t="s">
        <x:v>23</x:v>
      </x:c>
      <x:c r="K5" t="s">
        <x:v>24</x:v>
      </x:c>
    </x:row>
    <x:row r="6">
      <x:c r="A6" s="2" t="s">
        <x:v>25</x:v>
      </x:c>
      <x:c r="B6" s="3" t="s">
        <x:v>26</x:v>
      </x:c>
      <x:c r="D6" s="24" t="s">
        <x:v>27</x:v>
      </x:c>
      <x:c r="E6" s="24" t="s">
        <x:v>28</x:v>
      </x:c>
      <x:c r="F6" s="24" t="s">
        <x:v>14</x:v>
      </x:c>
      <x:c r="G6" s="25">
        <x:v>80</x:v>
      </x:c>
      <x:c r="H6" t="s">
        <x:v>29</x:v>
      </x:c>
      <x:c r="J6" t="s">
        <x:v>30</x:v>
      </x:c>
      <x:c r="K6" t="s">
        <x:v>31</x:v>
      </x:c>
    </x:row>
    <x:row r="7">
      <x:c r="A7" s="2" t="s">
        <x:v>32</x:v>
      </x:c>
      <x:c r="B7" s="3" t="s">
        <x:v>33</x:v>
      </x:c>
      <x:c r="D7" s="24" t="s">
        <x:v>34</x:v>
      </x:c>
      <x:c r="E7" s="24" t="s">
        <x:v>35</x:v>
      </x:c>
      <x:c r="F7" s="24" t="s">
        <x:v>14</x:v>
      </x:c>
      <x:c r="G7" s="25">
        <x:v>80</x:v>
      </x:c>
      <x:c r="H7" t="s">
        <x:v>36</x:v>
      </x:c>
      <x:c r="J7" t="s">
        <x:v>37</x:v>
      </x:c>
      <x:c r="K7" t="s">
        <x:v>38</x:v>
      </x:c>
    </x:row>
    <x:row r="8">
      <x:c r="A8" s="2" t="s">
        <x:v>39</x:v>
      </x:c>
      <x:c r="B8" s="3" t="s">
        <x:v>40</x:v>
      </x:c>
      <x:c r="D8" s="24" t="s">
        <x:v>41</x:v>
      </x:c>
      <x:c r="E8" s="24" t="s">
        <x:v>42</x:v>
      </x:c>
      <x:c r="F8" s="24" t="s">
        <x:v>14</x:v>
      </x:c>
      <x:c r="G8" s="25">
        <x:v>65</x:v>
      </x:c>
      <x:c r="H8" t="s">
        <x:v>43</x:v>
      </x:c>
      <x:c r="J8" t="s">
        <x:v>44</x:v>
      </x:c>
      <x:c r="K8" t="s">
        <x:v>45</x:v>
      </x:c>
    </x:row>
    <x:row r="9">
      <x:c r="A9" s="2" t="s">
        <x:v>46</x:v>
      </x:c>
      <x:c r="B9" s="3" t="s">
        <x:v>47</x:v>
      </x:c>
      <x:c r="D9" s="24" t="s">
        <x:v>48</x:v>
      </x:c>
      <x:c r="E9" s="24" t="s">
        <x:v>49</x:v>
      </x:c>
      <x:c r="F9" s="24" t="s">
        <x:v>14</x:v>
      </x:c>
      <x:c r="G9" s="25">
        <x:v>70</x:v>
      </x:c>
      <x:c r="H9" t="s">
        <x:v>22</x:v>
      </x:c>
      <x:c r="J9" t="s">
        <x:v>50</x:v>
      </x:c>
      <x:c r="K9" t="s">
        <x:v>51</x:v>
      </x:c>
    </x:row>
    <x:row r="10">
      <x:c r="A10" s="2" t="s">
        <x:v>52</x:v>
      </x:c>
      <x:c r="B10" s="3" t="s">
        <x:v>53</x:v>
      </x:c>
      <x:c r="D10" s="24" t="s">
        <x:v>54</x:v>
      </x:c>
      <x:c r="E10" s="24" t="s">
        <x:v>55</x:v>
      </x:c>
      <x:c r="F10" s="24" t="s">
        <x:v>14</x:v>
      </x:c>
      <x:c r="G10" s="25">
        <x:v>70</x:v>
      </x:c>
      <x:c r="H10" t="s">
        <x:v>56</x:v>
      </x:c>
      <x:c r="J10" t="s">
        <x:v>57</x:v>
      </x:c>
      <x:c r="K10" t="s">
        <x:v>58</x:v>
      </x:c>
    </x:row>
    <x:row r="11">
      <x:c r="A11" s="2" t="s">
        <x:v>59</x:v>
      </x:c>
      <x:c r="B11" s="3" t="s">
        <x:v>60</x:v>
      </x:c>
      <x:c r="D11" s="24" t="s">
        <x:v>61</x:v>
      </x:c>
      <x:c r="E11" s="24" t="s">
        <x:v>62</x:v>
      </x:c>
      <x:c r="F11" s="24" t="s">
        <x:v>14</x:v>
      </x:c>
      <x:c r="G11" s="25">
        <x:v>80</x:v>
      </x:c>
      <x:c r="H11" t="s">
        <x:v>56</x:v>
      </x:c>
      <x:c r="K11" t="s">
        <x:v>63</x:v>
      </x:c>
    </x:row>
    <x:row r="12">
      <x:c r="A12" s="2" t="s">
        <x:v>64</x:v>
      </x:c>
      <x:c r="B12" s="3" t="s">
        <x:v>65</x:v>
      </x:c>
      <x:c r="D12" s="24" t="s">
        <x:v>66</x:v>
      </x:c>
      <x:c r="E12" s="24" t="s">
        <x:v>67</x:v>
      </x:c>
      <x:c r="F12" s="24" t="s">
        <x:v>14</x:v>
      </x:c>
      <x:c r="G12" s="25">
        <x:v>80</x:v>
      </x:c>
      <x:c r="H12" t="s">
        <x:v>56</x:v>
      </x:c>
      <x:c r="K12" t="s">
        <x:v>68</x:v>
      </x:c>
    </x:row>
    <x:row r="13">
      <x:c r="A13" s="2" t="s">
        <x:v>69</x:v>
      </x:c>
      <x:c r="B13" s="4">
        <x:v>7.25</x:v>
      </x:c>
      <x:c r="D13" s="24" t="s">
        <x:v>70</x:v>
      </x:c>
      <x:c r="E13" s="24" t="s">
        <x:v>71</x:v>
      </x:c>
      <x:c r="F13" s="24" t="s">
        <x:v>72</x:v>
      </x:c>
      <x:c r="G13" s="25">
        <x:v>4</x:v>
      </x:c>
      <x:c r="H13" t="s">
        <x:v>73</x:v>
      </x:c>
      <x:c r="K13" t="s">
        <x:v>74</x:v>
      </x:c>
    </x:row>
    <x:row r="14">
      <x:c r="A14" s="2" t="s">
        <x:v>75</x:v>
      </x:c>
      <x:c r="B14" s="3" t="s">
        <x:v>76</x:v>
      </x:c>
      <x:c r="D14" s="24" t="s">
        <x:v>77</x:v>
      </x:c>
      <x:c r="E14" s="24" t="s">
        <x:v>78</x:v>
      </x:c>
      <x:c r="F14" s="24" t="s">
        <x:v>72</x:v>
      </x:c>
      <x:c r="G14" s="25">
        <x:v>3</x:v>
      </x:c>
      <x:c r="H14" t="s">
        <x:v>73</x:v>
      </x:c>
      <x:c r="K14" t="s">
        <x:v>79</x:v>
      </x:c>
    </x:row>
    <x:row r="15">
      <x:c r="A15" s="2" t="s">
        <x:v>80</x:v>
      </x:c>
      <x:c r="B15" s="3" t="s">
        <x:v>81</x:v>
      </x:c>
      <x:c r="D15" s="24" t="s">
        <x:v>82</x:v>
      </x:c>
      <x:c r="E15" s="24" t="s">
        <x:v>83</x:v>
      </x:c>
      <x:c r="F15" s="24" t="s">
        <x:v>84</x:v>
      </x:c>
      <x:c r="G15" s="25">
        <x:v>1</x:v>
      </x:c>
      <x:c r="H15" t="s">
        <x:v>85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5" defaultRowHeight="13.899999618530273"/>
  <x:cols>
    <x:col min="1" max="1" width="23" customWidth="1"/>
    <x:col min="2" max="2" width="14" customWidth="1"/>
    <x:col min="3" max="4" width="15" customWidth="1"/>
    <x:col min="5" max="6" width="13" customWidth="1"/>
    <x:col min="7" max="7" width="17" customWidth="1"/>
    <x:col min="8" max="8" width="14" customWidth="1"/>
    <x:col min="9" max="9" width="12" customWidth="1"/>
    <x:col min="10" max="10" width="38" customWidth="1"/>
    <x:col min="12" max="12" width="24" customWidth="1"/>
    <x:col min="13" max="13" width="23" customWidth="1"/>
  </x:cols>
  <x:sheetData>
    <x:row r="1" ht="19.149999618530273">
      <x:c r="A1" s="47" t="s">
        <x:v>86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14.449999809265137">
      <x:c r="A2" s="48" t="s">
        <x:v>87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>
      <x:c r="A4" s="46" t="s">
        <x:v>88</x:v>
      </x:c>
      <x:c r="B4" s="46" t="s">
        <x:v>89</x:v>
      </x:c>
      <x:c r="C4" s="46" t="s">
        <x:v>90</x:v>
      </x:c>
      <x:c r="D4" s="46" t="s">
        <x:v>91</x:v>
      </x:c>
      <x:c r="E4" s="46" t="s">
        <x:v>92</x:v>
      </x:c>
      <x:c r="F4" s="46" t="s">
        <x:v>93</x:v>
      </x:c>
      <x:c r="G4" s="46" t="s">
        <x:v>94</x:v>
      </x:c>
      <x:c r="H4" s="46" t="s">
        <x:v>95</x:v>
      </x:c>
      <x:c r="I4" s="46" t="s">
        <x:v>96</x:v>
      </x:c>
      <x:c r="J4" s="46" t="s">
        <x:v>97</x:v>
      </x:c>
      <x:c r="L4" s="1" t="s">
        <x:v>98</x:v>
      </x:c>
      <x:c r="M4" s="1" t="s">
        <x:v>99</x:v>
      </x:c>
    </x:row>
    <x:row r="5">
      <x:c r="A5" s="3" t="s">
        <x:v>100</x:v>
      </x:c>
      <x:c r="B5" s="17">
        <x:v>1</x:v>
      </x:c>
      <x:c r="C5" s="17" t="s">
        <x:v>101</x:v>
      </x:c>
      <x:c r="D5" s="3" t="s">
        <x:v>102</x:v>
      </x:c>
      <x:c r="E5" s="3" t="s">
        <x:v>103</x:v>
      </x:c>
      <x:c r="F5" s="3" t="s">
        <x:v>104</x:v>
      </x:c>
      <x:c r="G5" s="3" t="s">
        <x:v>105</x:v>
      </x:c>
      <x:c r="H5" s="17">
        <x:v>76</x:v>
      </x:c>
      <x:c r="I5" s="20" t="s">
        <x:v>106</x:v>
      </x:c>
      <x:c r="L5" t="s">
        <x:v>107</x:v>
      </x:c>
      <x:c r="M5">
        <x:v>43</x:v>
      </x:c>
    </x:row>
    <x:row r="6">
      <x:c r="A6" s="3" t="s">
        <x:v>108</x:v>
      </x:c>
      <x:c r="B6" s="17">
        <x:v>2</x:v>
      </x:c>
      <x:c r="C6" s="17" t="s">
        <x:v>101</x:v>
      </x:c>
      <x:c r="D6" s="3" t="s">
        <x:v>109</x:v>
      </x:c>
      <x:c r="E6" s="3" t="s">
        <x:v>104</x:v>
      </x:c>
      <x:c r="F6" s="3" t="s">
        <x:v>110</x:v>
      </x:c>
      <x:c r="G6" s="3" t="s">
        <x:v>111</x:v>
      </x:c>
      <x:c r="H6" s="17">
        <x:v>106</x:v>
      </x:c>
      <x:c r="I6" s="20" t="s">
        <x:v>106</x:v>
      </x:c>
      <x:c r="L6" t="s">
        <x:v>112</x:v>
      </x:c>
      <x:c r="M6">
        <x:v>4199</x:v>
      </x:c>
    </x:row>
    <x:row r="7">
      <x:c r="A7" s="3" t="s">
        <x:v>113</x:v>
      </x:c>
      <x:c r="B7" s="17">
        <x:v>3</x:v>
      </x:c>
      <x:c r="C7" s="17" t="s">
        <x:v>101</x:v>
      </x:c>
      <x:c r="D7" s="3" t="s">
        <x:v>114</x:v>
      </x:c>
      <x:c r="E7" s="3" t="s">
        <x:v>110</x:v>
      </x:c>
      <x:c r="F7" s="3" t="s">
        <x:v>115</x:v>
      </x:c>
      <x:c r="G7" s="3" t="s">
        <x:v>116</x:v>
      </x:c>
      <x:c r="H7" s="17">
        <x:v>92</x:v>
      </x:c>
      <x:c r="I7" s="19" t="s">
        <x:v>106</x:v>
      </x:c>
      <x:c r="L7" t="s">
        <x:v>117</x:v>
      </x:c>
      <x:c r="M7">
        <x:v>4200</x:v>
      </x:c>
    </x:row>
    <x:row r="8">
      <x:c r="A8" s="3" t="s">
        <x:v>118</x:v>
      </x:c>
      <x:c r="B8" s="17">
        <x:v>4</x:v>
      </x:c>
      <x:c r="C8" s="17" t="s">
        <x:v>101</x:v>
      </x:c>
      <x:c r="D8" s="3" t="s">
        <x:v>119</x:v>
      </x:c>
      <x:c r="E8" s="3" t="s">
        <x:v>115</x:v>
      </x:c>
      <x:c r="F8" s="3" t="s">
        <x:v>120</x:v>
      </x:c>
      <x:c r="G8" s="3" t="s">
        <x:v>121</x:v>
      </x:c>
      <x:c r="H8" s="17">
        <x:v>96</x:v>
      </x:c>
      <x:c r="I8" s="19" t="s">
        <x:v>122</x:v>
      </x:c>
      <x:c r="L8" t="s">
        <x:v>123</x:v>
      </x:c>
      <x:c r="M8" s="7">
        <x:v>-1</x:v>
      </x:c>
    </x:row>
    <x:row r="9">
      <x:c r="A9" s="3" t="s">
        <x:v>124</x:v>
      </x:c>
      <x:c r="B9" s="17">
        <x:v>5</x:v>
      </x:c>
      <x:c r="C9" s="17" t="s">
        <x:v>101</x:v>
      </x:c>
      <x:c r="D9" s="3" t="s">
        <x:v>119</x:v>
      </x:c>
      <x:c r="E9" s="3" t="s">
        <x:v>120</x:v>
      </x:c>
      <x:c r="F9" s="3" t="s">
        <x:v>103</x:v>
      </x:c>
      <x:c r="G9" s="3" t="s">
        <x:v>125</x:v>
      </x:c>
      <x:c r="H9" s="17">
        <x:v>15</x:v>
      </x:c>
      <x:c r="I9" s="19" t="s">
        <x:v>122</x:v>
      </x:c>
      <x:c r="L9" t="s">
        <x:v>126</x:v>
      </x:c>
      <x:c r="M9" t="s">
        <x:v>127</x:v>
      </x:c>
    </x:row>
    <x:row r="10">
      <x:c r="A10" s="3" t="s">
        <x:v>128</x:v>
      </x:c>
      <x:c r="B10" s="17">
        <x:v>6</x:v>
      </x:c>
      <x:c r="C10" s="17" t="s">
        <x:v>129</x:v>
      </x:c>
      <x:c r="D10" s="3" t="s">
        <x:v>109</x:v>
      </x:c>
      <x:c r="E10" s="3" t="s">
        <x:v>110</x:v>
      </x:c>
      <x:c r="F10" s="3" t="s">
        <x:v>130</x:v>
      </x:c>
      <x:c r="G10" s="3" t="s">
        <x:v>131</x:v>
      </x:c>
      <x:c r="H10" s="17">
        <x:v>100</x:v>
      </x:c>
      <x:c r="I10" s="19" t="s">
        <x:v>106</x:v>
      </x:c>
    </x:row>
    <x:row r="11">
      <x:c r="A11" s="3" t="s">
        <x:v>132</x:v>
      </x:c>
      <x:c r="B11" s="17">
        <x:v>7</x:v>
      </x:c>
      <x:c r="C11" s="17" t="s">
        <x:v>129</x:v>
      </x:c>
      <x:c r="D11" s="3" t="s">
        <x:v>133</x:v>
      </x:c>
      <x:c r="E11" s="3" t="s">
        <x:v>130</x:v>
      </x:c>
      <x:c r="F11" s="3" t="s">
        <x:v>134</x:v>
      </x:c>
      <x:c r="G11" s="3" t="s">
        <x:v>135</x:v>
      </x:c>
      <x:c r="H11" s="17">
        <x:v>102</x:v>
      </x:c>
      <x:c r="I11" s="19" t="s">
        <x:v>106</x:v>
      </x:c>
    </x:row>
    <x:row r="12">
      <x:c r="A12" s="3" t="s">
        <x:v>136</x:v>
      </x:c>
      <x:c r="B12" s="17">
        <x:v>8</x:v>
      </x:c>
      <x:c r="C12" s="17" t="s">
        <x:v>129</x:v>
      </x:c>
      <x:c r="D12" s="3" t="s">
        <x:v>119</x:v>
      </x:c>
      <x:c r="E12" s="3" t="s">
        <x:v>137</x:v>
      </x:c>
      <x:c r="F12" s="3" t="s">
        <x:v>134</x:v>
      </x:c>
      <x:c r="G12" s="3" t="s">
        <x:v>138</x:v>
      </x:c>
      <x:c r="H12" s="17">
        <x:v>97</x:v>
      </x:c>
      <x:c r="I12" s="19" t="s">
        <x:v>122</x:v>
      </x:c>
    </x:row>
    <x:row r="13">
      <x:c r="A13" s="3" t="s">
        <x:v>139</x:v>
      </x:c>
      <x:c r="B13" s="17">
        <x:v>9</x:v>
      </x:c>
      <x:c r="C13" s="17" t="s">
        <x:v>129</x:v>
      </x:c>
      <x:c r="D13" s="3" t="s">
        <x:v>119</x:v>
      </x:c>
      <x:c r="E13" s="3" t="s">
        <x:v>134</x:v>
      </x:c>
      <x:c r="F13" s="3" t="s">
        <x:v>115</x:v>
      </x:c>
      <x:c r="G13" s="3" t="s">
        <x:v>140</x:v>
      </x:c>
      <x:c r="H13" s="17">
        <x:v>2</x:v>
      </x:c>
      <x:c r="I13" s="19" t="s">
        <x:v>122</x:v>
      </x:c>
    </x:row>
    <x:row r="14">
      <x:c r="A14" s="3" t="s">
        <x:v>141</x:v>
      </x:c>
      <x:c r="B14" s="17">
        <x:v>10</x:v>
      </x:c>
      <x:c r="C14" s="17" t="s">
        <x:v>142</x:v>
      </x:c>
      <x:c r="D14" s="3" t="s">
        <x:v>109</x:v>
      </x:c>
      <x:c r="E14" s="3" t="s">
        <x:v>130</x:v>
      </x:c>
      <x:c r="F14" s="3" t="s">
        <x:v>143</x:v>
      </x:c>
      <x:c r="G14" s="3" t="s">
        <x:v>144</x:v>
      </x:c>
      <x:c r="H14" s="17">
        <x:v>82</x:v>
      </x:c>
      <x:c r="I14" s="19" t="s">
        <x:v>106</x:v>
      </x:c>
    </x:row>
    <x:row r="15">
      <x:c r="A15" s="3" t="s">
        <x:v>145</x:v>
      </x:c>
      <x:c r="B15" s="17">
        <x:v>11</x:v>
      </x:c>
      <x:c r="C15" s="17" t="s">
        <x:v>142</x:v>
      </x:c>
      <x:c r="D15" s="3" t="s">
        <x:v>146</x:v>
      </x:c>
      <x:c r="E15" s="3" t="s">
        <x:v>143</x:v>
      </x:c>
      <x:c r="F15" s="3" t="s">
        <x:v>147</x:v>
      </x:c>
      <x:c r="G15" s="3" t="s">
        <x:v>148</x:v>
      </x:c>
      <x:c r="H15" s="17">
        <x:v>117</x:v>
      </x:c>
      <x:c r="I15" s="19" t="s">
        <x:v>122</x:v>
      </x:c>
    </x:row>
    <x:row r="16">
      <x:c r="A16" s="3" t="s">
        <x:v>149</x:v>
      </x:c>
      <x:c r="B16" s="17">
        <x:v>12</x:v>
      </x:c>
      <x:c r="C16" s="17" t="s">
        <x:v>142</x:v>
      </x:c>
      <x:c r="D16" s="3" t="s">
        <x:v>119</x:v>
      </x:c>
      <x:c r="E16" s="3" t="s">
        <x:v>147</x:v>
      </x:c>
      <x:c r="F16" s="3" t="s">
        <x:v>137</x:v>
      </x:c>
      <x:c r="G16" s="3" t="s">
        <x:v>150</x:v>
      </x:c>
      <x:c r="H16" s="17">
        <x:v>77</x:v>
      </x:c>
      <x:c r="I16" s="19" t="s">
        <x:v>122</x:v>
      </x:c>
    </x:row>
    <x:row r="17">
      <x:c r="A17" s="3" t="s">
        <x:v>151</x:v>
      </x:c>
      <x:c r="B17" s="17">
        <x:v>13</x:v>
      </x:c>
      <x:c r="C17" s="17" t="s">
        <x:v>152</x:v>
      </x:c>
      <x:c r="D17" s="3" t="s">
        <x:v>109</x:v>
      </x:c>
      <x:c r="E17" s="3" t="s">
        <x:v>143</x:v>
      </x:c>
      <x:c r="F17" s="3" t="s">
        <x:v>153</x:v>
      </x:c>
      <x:c r="G17" s="3" t="s">
        <x:v>154</x:v>
      </x:c>
      <x:c r="H17" s="17">
        <x:v>81</x:v>
      </x:c>
      <x:c r="I17" s="19" t="s">
        <x:v>106</x:v>
      </x:c>
    </x:row>
    <x:row r="18">
      <x:c r="A18" s="3" t="s">
        <x:v>155</x:v>
      </x:c>
      <x:c r="B18" s="17">
        <x:v>14</x:v>
      </x:c>
      <x:c r="C18" s="17" t="s">
        <x:v>152</x:v>
      </x:c>
      <x:c r="D18" s="3" t="s">
        <x:v>156</x:v>
      </x:c>
      <x:c r="E18" s="3" t="s">
        <x:v>153</x:v>
      </x:c>
      <x:c r="F18" s="3" t="s">
        <x:v>157</x:v>
      </x:c>
      <x:c r="G18" s="3" t="s">
        <x:v>158</x:v>
      </x:c>
      <x:c r="H18" s="17">
        <x:v>113</x:v>
      </x:c>
      <x:c r="I18" s="19" t="s">
        <x:v>106</x:v>
      </x:c>
    </x:row>
    <x:row r="19">
      <x:c r="A19" s="3" t="s">
        <x:v>159</x:v>
      </x:c>
      <x:c r="B19" s="17">
        <x:v>15</x:v>
      </x:c>
      <x:c r="C19" s="17" t="s">
        <x:v>152</x:v>
      </x:c>
      <x:c r="D19" s="3" t="s">
        <x:v>119</x:v>
      </x:c>
      <x:c r="E19" s="3" t="s">
        <x:v>157</x:v>
      </x:c>
      <x:c r="F19" s="3" t="s">
        <x:v>147</x:v>
      </x:c>
      <x:c r="G19" s="3" t="s">
        <x:v>160</x:v>
      </x:c>
      <x:c r="H19" s="17">
        <x:v>88</x:v>
      </x:c>
      <x:c r="I19" s="19" t="s">
        <x:v>122</x:v>
      </x:c>
    </x:row>
    <x:row r="20">
      <x:c r="A20" s="3" t="s">
        <x:v>161</x:v>
      </x:c>
      <x:c r="B20" s="17">
        <x:v>16</x:v>
      </x:c>
      <x:c r="C20" s="17" t="s">
        <x:v>162</x:v>
      </x:c>
      <x:c r="D20" s="3" t="s">
        <x:v>102</x:v>
      </x:c>
      <x:c r="E20" s="3" t="s">
        <x:v>163</x:v>
      </x:c>
      <x:c r="F20" s="3" t="s">
        <x:v>164</x:v>
      </x:c>
      <x:c r="G20" s="3" t="s">
        <x:v>165</x:v>
      </x:c>
      <x:c r="H20" s="17">
        <x:v>78</x:v>
      </x:c>
      <x:c r="I20" s="19" t="s">
        <x:v>106</x:v>
      </x:c>
    </x:row>
    <x:row r="21">
      <x:c r="A21" s="3" t="s">
        <x:v>166</x:v>
      </x:c>
      <x:c r="B21" s="17">
        <x:v>17</x:v>
      </x:c>
      <x:c r="C21" s="17" t="s">
        <x:v>162</x:v>
      </x:c>
      <x:c r="D21" s="3" t="s">
        <x:v>102</x:v>
      </x:c>
      <x:c r="E21" s="3" t="s">
        <x:v>164</x:v>
      </x:c>
      <x:c r="F21" s="3" t="s">
        <x:v>120</x:v>
      </x:c>
      <x:c r="G21" s="3" t="s">
        <x:v>167</x:v>
      </x:c>
      <x:c r="H21" s="17">
        <x:v>8</x:v>
      </x:c>
      <x:c r="I21" s="19" t="s">
        <x:v>122</x:v>
      </x:c>
    </x:row>
    <x:row r="22">
      <x:c r="A22" s="3" t="s">
        <x:v>168</x:v>
      </x:c>
      <x:c r="B22" s="17">
        <x:v>18</x:v>
      </x:c>
      <x:c r="C22" s="17" t="s">
        <x:v>162</x:v>
      </x:c>
      <x:c r="D22" s="3" t="s">
        <x:v>133</x:v>
      </x:c>
      <x:c r="E22" s="3" t="s">
        <x:v>137</x:v>
      </x:c>
      <x:c r="F22" s="3" t="s">
        <x:v>169</x:v>
      </x:c>
      <x:c r="G22" s="3" t="s">
        <x:v>170</x:v>
      </x:c>
      <x:c r="H22" s="17">
        <x:v>98</x:v>
      </x:c>
      <x:c r="I22" s="19" t="s">
        <x:v>106</x:v>
      </x:c>
    </x:row>
    <x:row r="23">
      <x:c r="A23" s="3" t="s">
        <x:v>171</x:v>
      </x:c>
      <x:c r="B23" s="17">
        <x:v>19</x:v>
      </x:c>
      <x:c r="C23" s="17" t="s">
        <x:v>162</x:v>
      </x:c>
      <x:c r="D23" s="3" t="s">
        <x:v>172</x:v>
      </x:c>
      <x:c r="E23" s="3" t="s">
        <x:v>169</x:v>
      </x:c>
      <x:c r="F23" s="3" t="s">
        <x:v>163</x:v>
      </x:c>
      <x:c r="G23" s="3" t="s">
        <x:v>173</x:v>
      </x:c>
      <x:c r="H23" s="17">
        <x:v>200</x:v>
      </x:c>
      <x:c r="I23" s="19" t="s">
        <x:v>106</x:v>
      </x:c>
    </x:row>
    <x:row r="24">
      <x:c r="A24" s="3" t="s">
        <x:v>174</x:v>
      </x:c>
      <x:c r="B24" s="17">
        <x:v>20</x:v>
      </x:c>
      <x:c r="C24" s="17" t="s">
        <x:v>175</x:v>
      </x:c>
      <x:c r="D24" s="3" t="s">
        <x:v>176</x:v>
      </x:c>
      <x:c r="E24" s="3" t="s">
        <x:v>157</x:v>
      </x:c>
      <x:c r="F24" s="3" t="s">
        <x:v>177</x:v>
      </x:c>
      <x:c r="G24" s="3" t="s">
        <x:v>178</x:v>
      </x:c>
      <x:c r="H24" s="17">
        <x:v>24</x:v>
      </x:c>
      <x:c r="I24" s="19" t="s">
        <x:v>122</x:v>
      </x:c>
    </x:row>
    <x:row r="25">
      <x:c r="A25" s="3" t="s">
        <x:v>179</x:v>
      </x:c>
      <x:c r="B25" s="17">
        <x:v>21</x:v>
      </x:c>
      <x:c r="C25" s="17" t="s">
        <x:v>175</x:v>
      </x:c>
      <x:c r="D25" s="3" t="s">
        <x:v>172</x:v>
      </x:c>
      <x:c r="E25" s="3" t="s">
        <x:v>177</x:v>
      </x:c>
      <x:c r="F25" s="3" t="s">
        <x:v>180</x:v>
      </x:c>
      <x:c r="G25" s="3" t="s">
        <x:v>181</x:v>
      </x:c>
      <x:c r="H25" s="17">
        <x:v>92</x:v>
      </x:c>
      <x:c r="I25" s="19" t="s">
        <x:v>106</x:v>
      </x:c>
    </x:row>
    <x:row r="26">
      <x:c r="A26" s="3" t="s">
        <x:v>182</x:v>
      </x:c>
      <x:c r="B26" s="17">
        <x:v>22</x:v>
      </x:c>
      <x:c r="C26" s="17" t="s">
        <x:v>175</x:v>
      </x:c>
      <x:c r="D26" s="3" t="s">
        <x:v>172</x:v>
      </x:c>
      <x:c r="E26" s="3" t="s">
        <x:v>180</x:v>
      </x:c>
      <x:c r="F26" s="3" t="s">
        <x:v>169</x:v>
      </x:c>
      <x:c r="G26" s="3" t="s">
        <x:v>183</x:v>
      </x:c>
      <x:c r="H26" s="17">
        <x:v>182</x:v>
      </x:c>
      <x:c r="I26" s="19" t="s">
        <x:v>106</x:v>
      </x:c>
    </x:row>
    <x:row r="27">
      <x:c r="A27" s="3" t="s">
        <x:v>184</x:v>
      </x:c>
      <x:c r="B27" s="17">
        <x:v>23</x:v>
      </x:c>
      <x:c r="C27" s="17" t="s">
        <x:v>185</x:v>
      </x:c>
      <x:c r="D27" s="3" t="s">
        <x:v>119</x:v>
      </x:c>
      <x:c r="E27" s="3" t="s">
        <x:v>177</x:v>
      </x:c>
      <x:c r="F27" s="3" t="s">
        <x:v>186</x:v>
      </x:c>
      <x:c r="G27" s="3" t="s">
        <x:v>187</x:v>
      </x:c>
      <x:c r="H27" s="17">
        <x:v>245</x:v>
      </x:c>
      <x:c r="I27" s="19" t="s">
        <x:v>122</x:v>
      </x:c>
    </x:row>
    <x:row r="28">
      <x:c r="A28" s="3" t="s">
        <x:v>188</x:v>
      </x:c>
      <x:c r="B28" s="17">
        <x:v>24</x:v>
      </x:c>
      <x:c r="C28" s="17" t="s">
        <x:v>185</x:v>
      </x:c>
      <x:c r="D28" s="3" t="s">
        <x:v>119</x:v>
      </x:c>
      <x:c r="E28" s="3" t="s">
        <x:v>189</x:v>
      </x:c>
      <x:c r="F28" s="3" t="s">
        <x:v>186</x:v>
      </x:c>
      <x:c r="G28" s="3" t="s">
        <x:v>190</x:v>
      </x:c>
      <x:c r="H28" s="17">
        <x:v>7</x:v>
      </x:c>
      <x:c r="I28" s="19" t="s">
        <x:v>106</x:v>
      </x:c>
    </x:row>
    <x:row r="29">
      <x:c r="A29" s="3" t="s">
        <x:v>191</x:v>
      </x:c>
      <x:c r="B29" s="17">
        <x:v>25</x:v>
      </x:c>
      <x:c r="C29" s="17" t="s">
        <x:v>185</x:v>
      </x:c>
      <x:c r="D29" s="3" t="s">
        <x:v>119</x:v>
      </x:c>
      <x:c r="E29" s="3" t="s">
        <x:v>186</x:v>
      </x:c>
      <x:c r="F29" s="3" t="s">
        <x:v>192</x:v>
      </x:c>
      <x:c r="G29" s="3" t="s">
        <x:v>193</x:v>
      </x:c>
      <x:c r="H29" s="17">
        <x:v>81</x:v>
      </x:c>
      <x:c r="I29" s="19" t="s">
        <x:v>122</x:v>
      </x:c>
    </x:row>
    <x:row r="30">
      <x:c r="A30" s="3" t="s">
        <x:v>194</x:v>
      </x:c>
      <x:c r="B30" s="17">
        <x:v>26</x:v>
      </x:c>
      <x:c r="C30" s="17" t="s">
        <x:v>185</x:v>
      </x:c>
      <x:c r="D30" s="3" t="s">
        <x:v>119</x:v>
      </x:c>
      <x:c r="E30" s="3" t="s">
        <x:v>192</x:v>
      </x:c>
      <x:c r="F30" s="3" t="s">
        <x:v>195</x:v>
      </x:c>
      <x:c r="G30" s="3" t="s">
        <x:v>196</x:v>
      </x:c>
      <x:c r="H30" s="17">
        <x:v>10</x:v>
      </x:c>
      <x:c r="I30" s="19" t="s">
        <x:v>122</x:v>
      </x:c>
    </x:row>
    <x:row r="31">
      <x:c r="A31" s="3" t="s">
        <x:v>197</x:v>
      </x:c>
      <x:c r="B31" s="17">
        <x:v>27</x:v>
      </x:c>
      <x:c r="C31" s="17" t="s">
        <x:v>185</x:v>
      </x:c>
      <x:c r="D31" s="3" t="s">
        <x:v>119</x:v>
      </x:c>
      <x:c r="E31" s="3" t="s">
        <x:v>195</x:v>
      </x:c>
      <x:c r="F31" s="3" t="s">
        <x:v>180</x:v>
      </x:c>
      <x:c r="G31" s="3" t="s">
        <x:v>198</x:v>
      </x:c>
      <x:c r="H31" s="17">
        <x:v>210</x:v>
      </x:c>
      <x:c r="I31" s="19" t="s">
        <x:v>106</x:v>
      </x:c>
      <x:c r="J31" t="s">
        <x:v>199</x:v>
      </x:c>
    </x:row>
    <x:row r="32">
      <x:c r="A32" s="3" t="s">
        <x:v>200</x:v>
      </x:c>
      <x:c r="B32" s="17">
        <x:v>27</x:v>
      </x:c>
      <x:c r="C32" s="17" t="s">
        <x:v>201</x:v>
      </x:c>
      <x:c r="D32" s="3"/>
      <x:c r="E32" s="3" t="s">
        <x:v>189</x:v>
      </x:c>
      <x:c r="F32" s="3" t="s">
        <x:v>202</x:v>
      </x:c>
      <x:c r="G32" s="3" t="s">
        <x:v>203</x:v>
      </x:c>
      <x:c r="H32" s="17">
        <x:v>136</x:v>
      </x:c>
      <x:c r="I32" s="19" t="s">
        <x:v>106</x:v>
      </x:c>
      <x:c r="J32" t="s">
        <x:v>199</x:v>
      </x:c>
    </x:row>
    <x:row r="33">
      <x:c r="A33" s="3" t="s">
        <x:v>204</x:v>
      </x:c>
      <x:c r="B33" s="17">
        <x:v>28</x:v>
      </x:c>
      <x:c r="C33" s="17" t="s">
        <x:v>201</x:v>
      </x:c>
      <x:c r="D33" s="3"/>
      <x:c r="E33" s="3" t="s">
        <x:v>202</x:v>
      </x:c>
      <x:c r="F33" s="3" t="s">
        <x:v>205</x:v>
      </x:c>
      <x:c r="G33" s="3" t="s">
        <x:v>206</x:v>
      </x:c>
      <x:c r="H33" s="17">
        <x:v>110</x:v>
      </x:c>
      <x:c r="I33" s="19" t="s">
        <x:v>106</x:v>
      </x:c>
    </x:row>
    <x:row r="34">
      <x:c r="A34" s="3" t="s">
        <x:v>207</x:v>
      </x:c>
      <x:c r="B34" s="17">
        <x:v>29</x:v>
      </x:c>
      <x:c r="C34" s="17" t="s">
        <x:v>201</x:v>
      </x:c>
      <x:c r="D34" s="3"/>
      <x:c r="E34" s="3" t="s">
        <x:v>205</x:v>
      </x:c>
      <x:c r="F34" s="3" t="s">
        <x:v>192</x:v>
      </x:c>
      <x:c r="G34" s="3" t="s">
        <x:v>208</x:v>
      </x:c>
      <x:c r="H34" s="17">
        <x:v>140</x:v>
      </x:c>
      <x:c r="I34" s="19" t="s">
        <x:v>106</x:v>
      </x:c>
    </x:row>
    <x:row r="35">
      <x:c r="A35" s="3" t="s">
        <x:v>209</x:v>
      </x:c>
      <x:c r="B35" s="17">
        <x:v>30</x:v>
      </x:c>
      <x:c r="C35" s="17" t="s">
        <x:v>210</x:v>
      </x:c>
      <x:c r="D35" s="3"/>
      <x:c r="E35" s="3" t="s">
        <x:v>211</x:v>
      </x:c>
      <x:c r="F35" s="3" t="s">
        <x:v>180</x:v>
      </x:c>
      <x:c r="G35" s="3" t="s">
        <x:v>212</x:v>
      </x:c>
      <x:c r="H35" s="17">
        <x:v>80</x:v>
      </x:c>
      <x:c r="I35" s="19" t="s">
        <x:v>106</x:v>
      </x:c>
    </x:row>
    <x:row r="36">
      <x:c r="A36" s="3" t="s">
        <x:v>213</x:v>
      </x:c>
      <x:c r="B36" s="17">
        <x:v>31</x:v>
      </x:c>
      <x:c r="C36" s="17" t="s">
        <x:v>210</x:v>
      </x:c>
      <x:c r="D36" s="3"/>
      <x:c r="E36" s="3" t="s">
        <x:v>195</x:v>
      </x:c>
      <x:c r="F36" s="3" t="s">
        <x:v>214</x:v>
      </x:c>
      <x:c r="G36" s="3" t="s">
        <x:v>215</x:v>
      </x:c>
      <x:c r="H36" s="17">
        <x:v>91</x:v>
      </x:c>
      <x:c r="I36" s="19" t="s">
        <x:v>122</x:v>
      </x:c>
    </x:row>
    <x:row r="37">
      <x:c r="A37" s="3" t="s">
        <x:v>216</x:v>
      </x:c>
      <x:c r="B37" s="17">
        <x:v>32</x:v>
      </x:c>
      <x:c r="C37" s="17" t="s">
        <x:v>210</x:v>
      </x:c>
      <x:c r="D37" s="3"/>
      <x:c r="E37" s="3" t="s">
        <x:v>214</x:v>
      </x:c>
      <x:c r="F37" s="3" t="s">
        <x:v>217</x:v>
      </x:c>
      <x:c r="G37" s="3" t="s">
        <x:v>218</x:v>
      </x:c>
      <x:c r="H37" s="17">
        <x:v>10</x:v>
      </x:c>
      <x:c r="I37" s="19" t="s">
        <x:v>122</x:v>
      </x:c>
    </x:row>
    <x:row r="38">
      <x:c r="A38" s="3" t="s">
        <x:v>219</x:v>
      </x:c>
      <x:c r="B38" s="17">
        <x:v>33</x:v>
      </x:c>
      <x:c r="C38" s="17" t="s">
        <x:v>210</x:v>
      </x:c>
      <x:c r="D38" s="3"/>
      <x:c r="E38" s="3" t="s">
        <x:v>217</x:v>
      </x:c>
      <x:c r="F38" s="3" t="s">
        <x:v>211</x:v>
      </x:c>
      <x:c r="G38" s="3" t="s">
        <x:v>220</x:v>
      </x:c>
      <x:c r="H38" s="17">
        <x:v>188</x:v>
      </x:c>
      <x:c r="I38" s="19" t="s">
        <x:v>106</x:v>
      </x:c>
    </x:row>
    <x:row r="39">
      <x:c r="A39" s="3" t="s">
        <x:v>221</x:v>
      </x:c>
      <x:c r="B39" s="17">
        <x:v>34</x:v>
      </x:c>
      <x:c r="C39" s="17" t="s">
        <x:v>222</x:v>
      </x:c>
      <x:c r="D39" s="3"/>
      <x:c r="E39" s="3" t="s">
        <x:v>205</x:v>
      </x:c>
      <x:c r="F39" s="3" t="s">
        <x:v>223</x:v>
      </x:c>
      <x:c r="G39" s="3" t="s">
        <x:v>224</x:v>
      </x:c>
      <x:c r="H39" s="17">
        <x:v>118</x:v>
      </x:c>
      <x:c r="I39" s="19" t="s">
        <x:v>106</x:v>
      </x:c>
    </x:row>
    <x:row r="40">
      <x:c r="A40" s="3" t="s">
        <x:v>225</x:v>
      </x:c>
      <x:c r="B40" s="17">
        <x:v>35</x:v>
      </x:c>
      <x:c r="C40" s="17" t="s">
        <x:v>222</x:v>
      </x:c>
      <x:c r="D40" s="3"/>
      <x:c r="E40" s="3" t="s">
        <x:v>223</x:v>
      </x:c>
      <x:c r="F40" s="3" t="s">
        <x:v>214</x:v>
      </x:c>
      <x:c r="G40" s="3" t="s">
        <x:v>226</x:v>
      </x:c>
      <x:c r="H40" s="17">
        <x:v>167</x:v>
      </x:c>
      <x:c r="I40" s="19" t="s">
        <x:v>106</x:v>
      </x:c>
    </x:row>
    <x:row r="41">
      <x:c r="A41" s="3" t="s">
        <x:v>227</x:v>
      </x:c>
      <x:c r="B41" s="17">
        <x:v>36</x:v>
      </x:c>
      <x:c r="C41" s="17" t="s">
        <x:v>228</x:v>
      </x:c>
      <x:c r="D41" s="3"/>
      <x:c r="E41" s="3" t="s">
        <x:v>229</x:v>
      </x:c>
      <x:c r="F41" s="3" t="s">
        <x:v>211</x:v>
      </x:c>
      <x:c r="G41" s="3" t="s">
        <x:v>230</x:v>
      </x:c>
      <x:c r="H41" s="17">
        <x:v>64</x:v>
      </x:c>
      <x:c r="I41" s="19" t="s">
        <x:v>106</x:v>
      </x:c>
    </x:row>
    <x:row r="42">
      <x:c r="A42" s="3" t="s">
        <x:v>231</x:v>
      </x:c>
      <x:c r="B42" s="17">
        <x:v>37</x:v>
      </x:c>
      <x:c r="C42" s="17" t="s">
        <x:v>228</x:v>
      </x:c>
      <x:c r="D42" s="3"/>
      <x:c r="E42" s="3" t="s">
        <x:v>217</x:v>
      </x:c>
      <x:c r="F42" s="3" t="s">
        <x:v>232</x:v>
      </x:c>
      <x:c r="G42" s="3" t="s">
        <x:v>233</x:v>
      </x:c>
      <x:c r="H42" s="17">
        <x:v>55</x:v>
      </x:c>
      <x:c r="I42" s="19" t="s">
        <x:v>122</x:v>
      </x:c>
    </x:row>
    <x:row r="43">
      <x:c r="A43" s="3" t="s">
        <x:v>234</x:v>
      </x:c>
      <x:c r="B43" s="17">
        <x:v>38</x:v>
      </x:c>
      <x:c r="C43" s="17" t="s">
        <x:v>228</x:v>
      </x:c>
      <x:c r="D43" s="3"/>
      <x:c r="E43" s="3" t="s">
        <x:v>232</x:v>
      </x:c>
      <x:c r="F43" s="3" t="s">
        <x:v>229</x:v>
      </x:c>
      <x:c r="G43" s="3" t="s">
        <x:v>235</x:v>
      </x:c>
      <x:c r="H43" s="17">
        <x:v>190</x:v>
      </x:c>
      <x:c r="I43" s="19" t="s">
        <x:v>106</x:v>
      </x:c>
    </x:row>
    <x:row r="44">
      <x:c r="A44" s="3" t="s">
        <x:v>236</x:v>
      </x:c>
      <x:c r="B44" s="17">
        <x:v>39</x:v>
      </x:c>
      <x:c r="C44" s="17" t="s">
        <x:v>237</x:v>
      </x:c>
      <x:c r="D44" s="3"/>
      <x:c r="E44" s="3" t="s">
        <x:v>223</x:v>
      </x:c>
      <x:c r="F44" s="3" t="s">
        <x:v>238</x:v>
      </x:c>
      <x:c r="G44" s="3" t="s">
        <x:v>239</x:v>
      </x:c>
      <x:c r="H44" s="17">
        <x:v>82</x:v>
      </x:c>
      <x:c r="I44" s="19" t="s">
        <x:v>106</x:v>
      </x:c>
    </x:row>
    <x:row r="45">
      <x:c r="A45" s="3" t="s">
        <x:v>240</x:v>
      </x:c>
      <x:c r="B45" s="17">
        <x:v>40</x:v>
      </x:c>
      <x:c r="C45" s="17" t="s">
        <x:v>237</x:v>
      </x:c>
      <x:c r="D45" s="3"/>
      <x:c r="E45" s="3" t="s">
        <x:v>238</x:v>
      </x:c>
      <x:c r="F45" s="3" t="s">
        <x:v>232</x:v>
      </x:c>
      <x:c r="G45" s="3" t="s">
        <x:v>241</x:v>
      </x:c>
      <x:c r="H45" s="17">
        <x:v>165</x:v>
      </x:c>
      <x:c r="I45" s="19" t="s">
        <x:v>106</x:v>
      </x:c>
    </x:row>
    <x:row r="46">
      <x:c r="A46" s="3" t="s">
        <x:v>242</x:v>
      </x:c>
      <x:c r="B46" s="17">
        <x:v>41</x:v>
      </x:c>
      <x:c r="C46" s="17" t="s">
        <x:v>243</x:v>
      </x:c>
      <x:c r="D46" s="3"/>
      <x:c r="E46" s="3" t="s">
        <x:v>232</x:v>
      </x:c>
      <x:c r="F46" s="3" t="s">
        <x:v>244</x:v>
      </x:c>
      <x:c r="G46" s="3" t="s">
        <x:v>245</x:v>
      </x:c>
      <x:c r="H46" s="17">
        <x:v>40</x:v>
      </x:c>
      <x:c r="I46" s="19" t="s">
        <x:v>122</x:v>
      </x:c>
    </x:row>
    <x:row r="47">
      <x:c r="A47" s="3" t="s">
        <x:v>246</x:v>
      </x:c>
      <x:c r="B47" s="17">
        <x:v>42</x:v>
      </x:c>
      <x:c r="C47" s="17" t="s">
        <x:v>247</x:v>
      </x:c>
      <x:c r="D47" s="3"/>
      <x:c r="E47" s="3" t="s">
        <x:v>164</x:v>
      </x:c>
      <x:c r="F47" s="3" t="s">
        <x:v>248</x:v>
      </x:c>
      <x:c r="G47" s="3" t="s">
        <x:v>249</x:v>
      </x:c>
      <x:c r="H47" s="17">
        <x:v>84</x:v>
      </x:c>
      <x:c r="I47" s="19" t="s">
        <x:v>122</x:v>
      </x:c>
    </x:row>
  </x:sheetData>
  <x:mergeCells>
    <x:mergeCell ref="A1:J1"/>
    <x:mergeCell ref="A2:J2"/>
  </x:mergeCells>
  <x:dataValidations count="1">
    <x:dataValidation type="list" sqref="I5:I47">
      <x:formula1>"Ø75,Ø110"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5" defaultRowHeight="13.899999618530273"/>
  <x:cols>
    <x:col min="1" max="1" width="14" customWidth="1"/>
    <x:col min="2" max="2" width="22" customWidth="1"/>
    <x:col min="3" max="7" width="18" customWidth="1"/>
    <x:col min="8" max="8" width="28.125" customWidth="1"/>
    <x:col min="9" max="9" width="22" customWidth="1"/>
    <x:col min="10" max="10" width="32" customWidth="1"/>
  </x:cols>
  <x:sheetData>
    <x:row r="1" ht="19.149999618530273">
      <x:c r="A1" s="47" t="s">
        <x:v>250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14.449999809265137">
      <x:c r="A2" s="48" t="s">
        <x:v>251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4">
      <x:c r="A4" s="46" t="s">
        <x:v>252</x:v>
      </x:c>
      <x:c r="B4" s="46" t="s">
        <x:v>253</x:v>
      </x:c>
      <x:c r="C4" s="46" t="s">
        <x:v>254</x:v>
      </x:c>
      <x:c r="D4" s="46" t="s">
        <x:v>255</x:v>
      </x:c>
      <x:c r="E4" s="46" t="s">
        <x:v>256</x:v>
      </x:c>
      <x:c r="F4" s="46" t="s">
        <x:v>257</x:v>
      </x:c>
      <x:c r="G4" s="46" t="s">
        <x:v>258</x:v>
      </x:c>
      <x:c r="H4" s="46" t="s">
        <x:v>259</x:v>
      </x:c>
      <x:c r="I4" s="46" t="s">
        <x:v>260</x:v>
      </x:c>
      <x:c r="J4" s="46" t="s">
        <x:v>97</x:v>
      </x:c>
    </x:row>
    <x:row r="5">
      <x:c r="A5" s="3" t="s">
        <x:v>261</x:v>
      </x:c>
      <x:c r="B5" s="6" t="s">
        <x:v>262</x:v>
      </x:c>
      <x:c r="C5" s="19" t="s">
        <x:v>263</x:v>
      </x:c>
      <x:c r="D5" s="6" t="s">
        <x:v>264</x:v>
      </x:c>
      <x:c r="E5" s="19" t="s">
        <x:v>265</x:v>
      </x:c>
      <x:c r="F5" s="6"/>
      <x:c r="G5" s="6"/>
      <x:c r="H5" s="6" t="s">
        <x:v>266</x:v>
      </x:c>
      <x:c r="I5" s="6"/>
      <x:c r="J5" s="6"/>
    </x:row>
    <x:row r="6">
      <x:c r="A6" s="3" t="s">
        <x:v>267</x:v>
      </x:c>
      <x:c r="B6" s="6" t="s">
        <x:v>262</x:v>
      </x:c>
      <x:c r="C6" s="19" t="s">
        <x:v>268</x:v>
      </x:c>
      <x:c r="D6" s="6" t="s">
        <x:v>269</x:v>
      </x:c>
      <x:c r="E6" s="19"/>
      <x:c r="F6" s="6"/>
      <x:c r="G6" s="6"/>
      <x:c r="H6" s="6" t="s">
        <x:v>270</x:v>
      </x:c>
      <x:c r="I6" s="6"/>
      <x:c r="J6" s="6"/>
    </x:row>
    <x:row r="7">
      <x:c r="A7" s="3" t="s">
        <x:v>271</x:v>
      </x:c>
      <x:c r="B7" s="6" t="s">
        <x:v>262</x:v>
      </x:c>
      <x:c r="C7" s="19" t="s">
        <x:v>272</x:v>
      </x:c>
      <x:c r="D7" s="6" t="s">
        <x:v>273</x:v>
      </x:c>
      <x:c r="E7" s="19" t="s">
        <x:v>274</x:v>
      </x:c>
      <x:c r="F7" s="19"/>
      <x:c r="G7" s="6"/>
      <x:c r="H7" s="6" t="s">
        <x:v>275</x:v>
      </x:c>
      <x:c r="I7" s="6"/>
      <x:c r="J7" s="6"/>
    </x:row>
    <x:row r="8">
      <x:c r="A8" s="3" t="s">
        <x:v>276</x:v>
      </x:c>
      <x:c r="B8" s="6"/>
      <x:c r="C8" s="19"/>
      <x:c r="D8" s="6"/>
      <x:c r="E8" s="6"/>
      <x:c r="F8" s="6"/>
      <x:c r="G8" s="6"/>
      <x:c r="H8" s="6"/>
      <x:c r="I8" s="6"/>
      <x:c r="J8" s="6"/>
    </x:row>
    <x:row r="9">
      <x:c r="A9" s="3" t="s">
        <x:v>277</x:v>
      </x:c>
      <x:c r="B9" s="6"/>
      <x:c r="C9" s="6"/>
      <x:c r="D9" s="6"/>
      <x:c r="E9" s="6"/>
      <x:c r="F9" s="6"/>
      <x:c r="G9" s="6"/>
      <x:c r="H9" s="6"/>
      <x:c r="I9" s="6"/>
      <x:c r="J9" s="6"/>
    </x:row>
    <x:row r="10">
      <x:c r="A10" s="3" t="s">
        <x:v>278</x:v>
      </x:c>
      <x:c r="B10" s="6"/>
      <x:c r="C10" s="6"/>
      <x:c r="D10" s="6"/>
      <x:c r="E10" s="6"/>
      <x:c r="F10" s="6"/>
      <x:c r="G10" s="6"/>
      <x:c r="H10" s="6"/>
      <x:c r="I10" s="6"/>
      <x:c r="J10" s="6"/>
    </x:row>
    <x:row r="11">
      <x:c r="A11" s="3" t="s">
        <x:v>279</x:v>
      </x:c>
      <x:c r="B11" s="6"/>
      <x:c r="C11" s="6"/>
      <x:c r="D11" s="6"/>
      <x:c r="E11" s="6"/>
      <x:c r="F11" s="6"/>
      <x:c r="G11" s="6"/>
      <x:c r="H11" s="6"/>
      <x:c r="I11" s="6"/>
      <x:c r="J11" s="6"/>
    </x:row>
    <x:row r="12">
      <x:c r="A12" s="3" t="s">
        <x:v>280</x:v>
      </x:c>
      <x:c r="B12" s="6"/>
      <x:c r="C12" s="6"/>
      <x:c r="D12" s="6"/>
      <x:c r="E12" s="6"/>
      <x:c r="F12" s="6"/>
      <x:c r="G12" s="6"/>
      <x:c r="H12" s="6"/>
      <x:c r="I12" s="6"/>
      <x:c r="J12" s="6"/>
    </x:row>
    <x:row r="13">
      <x:c r="A13" s="3" t="s">
        <x:v>281</x:v>
      </x:c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3" t="s">
        <x:v>282</x:v>
      </x:c>
      <x:c r="B14" s="6"/>
      <x:c r="C14" s="6"/>
      <x:c r="D14" s="6"/>
      <x:c r="E14" s="6"/>
      <x:c r="F14" s="6"/>
      <x:c r="G14" s="6"/>
      <x:c r="H14" s="6"/>
      <x:c r="I14" s="6"/>
      <x:c r="J14" s="6"/>
    </x:row>
    <x:row r="17">
      <x:c r="C17" s="21" t="s">
        <x:v>272</x:v>
      </x:c>
      <x:c r="D17" t="s">
        <x:v>283</x:v>
      </x:c>
    </x:row>
    <x:row r="18">
      <x:c r="C18" s="21" t="s">
        <x:v>268</x:v>
      </x:c>
      <x:c r="D18" t="s">
        <x:v>284</x:v>
      </x:c>
      <x:c r="E18" t="s">
        <x:v>285</x:v>
      </x:c>
    </x:row>
    <x:row r="19">
      <x:c r="C19" s="21" t="s">
        <x:v>263</x:v>
      </x:c>
      <x:c r="D19" t="s">
        <x:v>284</x:v>
      </x:c>
      <x:c r="E19" t="s">
        <x:v>286</x:v>
      </x:c>
    </x:row>
    <x:row r="20">
      <x:c r="C20" s="21" t="s">
        <x:v>265</x:v>
      </x:c>
      <x:c r="D20" t="s">
        <x:v>287</x:v>
      </x:c>
      <x:c r="E20" t="s">
        <x:v>288</x:v>
      </x:c>
    </x:row>
    <x:row r="21">
      <x:c r="C21" s="21" t="s">
        <x:v>273</x:v>
      </x:c>
      <x:c r="D21" t="s">
        <x:v>287</x:v>
      </x:c>
      <x:c r="E21" t="s">
        <x:v>288</x:v>
      </x:c>
    </x:row>
    <x:row r="22">
      <x:c r="C22" s="21" t="s">
        <x:v>264</x:v>
      </x:c>
      <x:c r="D22" t="s">
        <x:v>287</x:v>
      </x:c>
      <x:c r="E22" t="s">
        <x:v>289</x:v>
      </x:c>
      <x:c r="F22" t="s">
        <x:v>290</x:v>
      </x:c>
      <x:c r="G22" t="s">
        <x:v>291</x:v>
      </x:c>
    </x:row>
    <x:row r="23">
      <x:c r="C23" s="21" t="s">
        <x:v>274</x:v>
      </x:c>
      <x:c r="D23" t="s">
        <x:v>287</x:v>
      </x:c>
      <x:c r="E23" t="s">
        <x:v>288</x:v>
      </x:c>
    </x:row>
    <x:row r="24">
      <x:c r="C24" s="21" t="s">
        <x:v>269</x:v>
      </x:c>
      <x:c r="D24" t="s">
        <x:v>287</x:v>
      </x:c>
      <x:c r="E24" t="s">
        <x:v>289</x:v>
      </x:c>
      <x:c r="F24" t="s">
        <x:v>290</x:v>
      </x:c>
      <x:c r="G24" t="s">
        <x:v>291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75" defaultRowHeight="14.25"/>
  <x:cols>
    <x:col min="1" max="1" width="16" customWidth="1"/>
    <x:col min="2" max="2" width="12" customWidth="1"/>
    <x:col min="3" max="3" width="8" style="37" customWidth="1"/>
    <x:col min="4" max="4" width="23" customWidth="1"/>
    <x:col min="5" max="5" width="10" customWidth="1"/>
    <x:col min="6" max="6" width="14" style="41" customWidth="1"/>
    <x:col min="7" max="7" width="14" customWidth="1"/>
    <x:col min="8" max="9" width="12" customWidth="1"/>
    <x:col min="10" max="10" width="16" customWidth="1"/>
    <x:col min="11" max="11" width="10" customWidth="1"/>
    <x:col min="12" max="12" width="14" customWidth="1"/>
    <x:col min="13" max="13" width="38" customWidth="1"/>
    <x:col min="14" max="14" width="9" customWidth="1"/>
    <x:col min="15" max="15" width="15" customWidth="1"/>
    <x:col min="16" max="16" width="17" customWidth="1"/>
    <x:col min="17" max="18" width="12" customWidth="1"/>
    <x:col min="19" max="19" width="10" customWidth="1"/>
    <x:col min="20" max="20" width="12" customWidth="1"/>
    <x:col min="21" max="21" width="9" customWidth="1"/>
    <x:col min="22" max="22" width="22" customWidth="1"/>
    <x:col min="23" max="23" width="18" customWidth="1"/>
    <x:col min="24" max="25" width="25" customWidth="1"/>
    <x:col min="26" max="26" width="10" customWidth="1"/>
    <x:col min="27" max="27" width="15" customWidth="1"/>
    <x:col min="28" max="30" width="12" customWidth="1"/>
    <x:col min="31" max="33" width="11" customWidth="1"/>
    <x:col min="34" max="34" width="15" customWidth="1"/>
    <x:col min="35" max="37" width="12" customWidth="1"/>
    <x:col min="38" max="38" width="16" customWidth="1"/>
    <x:col min="39" max="39" width="20" customWidth="1"/>
    <x:col min="40" max="40" width="34" customWidth="1"/>
  </x:cols>
  <x:sheetData>
    <x:row r="1" ht="19.149999618530273">
      <x:c r="A1" s="47" t="s">
        <x:v>292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  <x:c r="X1" s="47"/>
      <x:c r="Y1" s="47"/>
      <x:c r="Z1" s="47"/>
      <x:c r="AA1" s="47"/>
      <x:c r="AB1" s="47"/>
      <x:c r="AC1" s="47"/>
      <x:c r="AD1" s="47"/>
      <x:c r="AE1" s="47"/>
      <x:c r="AF1" s="47"/>
      <x:c r="AG1" s="47"/>
      <x:c r="AH1" s="47"/>
      <x:c r="AI1" s="47"/>
      <x:c r="AJ1" s="47"/>
      <x:c r="AK1" s="47"/>
      <x:c r="AL1" s="47"/>
      <x:c r="AM1" s="47"/>
      <x:c r="AN1" s="47"/>
    </x:row>
    <x:row r="2" ht="14.449999809265137">
      <x:c r="A2" s="48" t="s">
        <x:v>293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  <x:c r="AA2" s="48"/>
      <x:c r="AB2" s="48"/>
      <x:c r="AC2" s="48"/>
      <x:c r="AD2" s="48"/>
      <x:c r="AE2" s="48"/>
      <x:c r="AF2" s="48"/>
      <x:c r="AG2" s="48"/>
      <x:c r="AH2" s="48"/>
      <x:c r="AI2" s="48"/>
      <x:c r="AJ2" s="48"/>
      <x:c r="AK2" s="48"/>
      <x:c r="AL2" s="48"/>
      <x:c r="AM2" s="48"/>
      <x:c r="AN2" s="48"/>
    </x:row>
    <x:row r="4" ht="33">
      <x:c r="A4" s="8" t="s">
        <x:v>294</x:v>
      </x:c>
      <x:c r="B4" s="8" t="s">
        <x:v>295</x:v>
      </x:c>
      <x:c r="C4" s="38" t="s">
        <x:v>296</x:v>
      </x:c>
      <x:c r="D4" s="8" t="s">
        <x:v>88</x:v>
      </x:c>
      <x:c r="E4" s="8" t="s">
        <x:v>3</x:v>
      </x:c>
      <x:c r="F4" s="38" t="s">
        <x:v>90</x:v>
      </x:c>
      <x:c r="G4" s="8" t="s">
        <x:v>91</x:v>
      </x:c>
      <x:c r="H4" s="8" t="s">
        <x:v>92</x:v>
      </x:c>
      <x:c r="I4" s="8" t="s">
        <x:v>93</x:v>
      </x:c>
      <x:c r="J4" s="8" t="s">
        <x:v>94</x:v>
      </x:c>
      <x:c r="K4" s="8" t="s">
        <x:v>96</x:v>
      </x:c>
      <x:c r="L4" s="8" t="s">
        <x:v>297</x:v>
      </x:c>
      <x:c r="M4" s="8" t="s">
        <x:v>4</x:v>
      </x:c>
      <x:c r="N4" s="8" t="s">
        <x:v>5</x:v>
      </x:c>
      <x:c r="O4" s="8" t="s">
        <x:v>298</x:v>
      </x:c>
      <x:c r="P4" s="8" t="s">
        <x:v>299</x:v>
      </x:c>
      <x:c r="Q4" s="8" t="s">
        <x:v>300</x:v>
      </x:c>
      <x:c r="R4" s="8" t="s">
        <x:v>301</x:v>
      </x:c>
      <x:c r="S4" s="8" t="s">
        <x:v>302</x:v>
      </x:c>
      <x:c r="T4" s="8" t="s">
        <x:v>303</x:v>
      </x:c>
      <x:c r="U4" s="8" t="s">
        <x:v>304</x:v>
      </x:c>
      <x:c r="V4" s="8" t="s">
        <x:v>259</x:v>
      </x:c>
      <x:c r="W4" s="8" t="s">
        <x:v>305</x:v>
      </x:c>
      <x:c r="X4" s="8" t="s">
        <x:v>306</x:v>
      </x:c>
      <x:c r="Y4" s="8" t="s">
        <x:v>307</x:v>
      </x:c>
      <x:c r="Z4" s="8" t="s">
        <x:v>308</x:v>
      </x:c>
      <x:c r="AA4" s="8" t="s">
        <x:v>309</x:v>
      </x:c>
      <x:c r="AB4" s="8" t="s">
        <x:v>310</x:v>
      </x:c>
      <x:c r="AC4" s="8" t="s">
        <x:v>311</x:v>
      </x:c>
      <x:c r="AD4" s="8" t="s">
        <x:v>312</x:v>
      </x:c>
      <x:c r="AE4" s="8" t="s">
        <x:v>313</x:v>
      </x:c>
      <x:c r="AF4" s="8" t="s">
        <x:v>314</x:v>
      </x:c>
      <x:c r="AG4" s="8" t="s">
        <x:v>315</x:v>
      </x:c>
      <x:c r="AH4" s="8" t="s">
        <x:v>316</x:v>
      </x:c>
      <x:c r="AI4" s="8" t="s">
        <x:v>317</x:v>
      </x:c>
      <x:c r="AJ4" s="8" t="s">
        <x:v>318</x:v>
      </x:c>
      <x:c r="AK4" s="8" t="s">
        <x:v>319</x:v>
      </x:c>
      <x:c r="AL4" s="8" t="s">
        <x:v>320</x:v>
      </x:c>
      <x:c r="AM4" s="8" t="s">
        <x:v>321</x:v>
      </x:c>
      <x:c r="AN4" s="8" t="s">
        <x:v>97</x:v>
      </x:c>
    </x:row>
    <x:row r="5">
      <x:c r="A5" s="17" t="str">
        <x:f t="shared" ref="A5:A68" si="0">IF(OR(B5="",C5=""),"",TEXT(B5,"yyyymmdd")&amp;"-"&amp;TEXT(C5,"00"))</x:f>
        <x:v>20260903-01</x:v>
      </x:c>
      <x:c r="B5" s="28">
        <x:v>46268</x:v>
      </x:c>
      <x:c r="C5" s="36">
        <x:v>1</x:v>
      </x:c>
      <x:c r="D5" s="20" t="s">
        <x:v>118</x:v>
      </x:c>
      <x:c r="E5" s="17" t="n">
        <x:f>IF(D5="","",IFERROR(VLOOKUP(D5,'Base Sectores'!$A$5:$J$47,2,FALSE),""))</x:f>
        <x:v>4</x:v>
      </x:c>
      <x:c r="F5" s="39" t="str">
        <x:f>IF(D5="","",IFERROR(VLOOKUP(D5,'Base Sectores'!$A$5:$J$47,3,FALSE),""))</x:f>
        <x:v>MzaA</x:v>
      </x:c>
      <x:c r="G5" s="17" t="str">
        <x:f>IF(D5="","",IFERROR(VLOOKUP(D5,'Base Sectores'!$A$5:$J$47,4,FALSE),""))</x:f>
        <x:v>Pasaje 2</x:v>
      </x:c>
      <x:c r="H5" s="17" t="str">
        <x:f>IF(D5="","",IFERROR(VLOOKUP(D5,'Base Sectores'!$A$5:$J$47,5,FALSE),""))</x:f>
        <x:v>N22</x:v>
      </x:c>
      <x:c r="I5" s="17" t="str">
        <x:f>IF(D5="","",IFERROR(VLOOKUP(D5,'Base Sectores'!$A$5:$J$47,6,FALSE),""))</x:f>
        <x:v>N24</x:v>
      </x:c>
      <x:c r="J5" s="17" t="str">
        <x:f>IF(D5="","",IFERROR(VLOOKUP(D5,'Base Sectores'!$A$5:$J$47,7,FALSE),""))</x:f>
        <x:v>N22-N24</x:v>
      </x:c>
      <x:c r="K5" s="17" t="str">
        <x:f>IF(D5="","",IFERROR(VLOOKUP(D5,'Base Sectores'!$A$5:$J$47,9,FALSE),""))</x:f>
        <x:v>Ø110</x:v>
      </x:c>
      <x:c r="L5" s="20" t="s">
        <x:v>70</x:v>
      </x:c>
      <x:c r="M5" s="3" t="str">
        <x:f>IF(L5="","",IFERROR(VLOOKUP(L5,Configuracion!$D$4:$H$15,2,FALSE),""))</x:f>
        <x:v>Conexiones domiciliarias</x:v>
      </x:c>
      <x:c r="N5" s="3" t="str">
        <x:f>IF(L5="","",IFERROR(VLOOKUP(L5,Configuracion!$D$4:$H$15,3,FALSE),""))</x:f>
        <x:v>un</x:v>
      </x:c>
      <x:c r="O5" s="20">
        <x:v>6</x:v>
      </x:c>
      <x:c r="P5" s="17">
        <x:v>6</x:v>
      </x:c>
      <x:c r="Q5" s="30">
        <x:v>0.31597222222222221</x:v>
      </x:c>
      <x:c r="R5" s="29">
        <x:v>0.35416666666666669</x:v>
      </x:c>
      <x:c r="S5" s="31" t="n">
        <x:f>IF(OR(Q5="",R5=""),"",MOD(R5-Q5,1)*24)</x:f>
        <x:v>0.9166666666666674</x:v>
      </x:c>
      <x:c r="T5" s="20" t="s">
        <x:v>271</x:v>
      </x:c>
      <x:c r="U5" s="19">
        <x:v>3</x:v>
      </x:c>
      <x:c r="V5" s="6" t="s">
        <x:v>322</x:v>
      </x:c>
      <x:c r="W5" s="19" t="s">
        <x:v>262</x:v>
      </x:c>
      <x:c r="X5" s="6" t="s">
        <x:v>323</x:v>
      </x:c>
      <x:c r="Y5" s="6" t="s">
        <x:v>324</x:v>
      </x:c>
      <x:c r="Z5" s="20" t="s">
        <x:v>325</x:v>
      </x:c>
      <x:c r="AA5" s="20" t="s">
        <x:v>30</x:v>
      </x:c>
      <x:c r="AB5" s="20">
        <x:v>6</x:v>
      </x:c>
      <x:c r="AC5" s="27">
        <x:v>0.31597222222222221</x:v>
      </x:c>
      <x:c r="AD5" s="27">
        <x:v>0.35416666666666669</x:v>
      </x:c>
      <x:c r="AE5" s="26" t="n">
        <x:f t="shared" ref="AE5:AE68" si="1">IF(OR(AC5="",AD5=""),"",MOD(AD5-AC5,1)*24)</x:f>
        <x:v>0.9166666666666674</x:v>
      </x:c>
      <x:c r="AF5" s="26" t="n">
        <x:f t="shared" ref="AF5:AF68" si="2">IF(OR(S5="",U5=""),"",S5*U5)</x:f>
        <x:v>2.750000000000002</x:v>
      </x:c>
      <x:c r="AG5" s="26" t="n">
        <x:f t="shared" ref="AG5:AG68" si="3">IF(OR(AE5="",U5=""),"",AE5*U5)</x:f>
        <x:v>2.750000000000002</x:v>
      </x:c>
      <x:c r="AH5" s="11" t="n">
        <x:f t="shared" ref="AH5:AH68" si="4">IFERROR(AB5/O5,0)</x:f>
        <x:v>1</x:v>
      </x:c>
      <x:c r="AI5" s="26" t="n">
        <x:f t="shared" ref="AI5:AI68" si="5">IF(OR(S5="",AE5=""),"",AE5-S5)</x:f>
        <x:v>0</x:v>
      </x:c>
      <x:c r="AJ5" s="4" t="n">
        <x:f t="shared" ref="AJ5:AJ68" si="6">IFERROR(O5/S5,0)</x:f>
        <x:v>6.5454545454545405</x:v>
      </x:c>
      <x:c r="AK5" s="4" t="n">
        <x:f t="shared" ref="AK5:AK68" si="7">IFERROR(AB5/AE5,0)</x:f>
        <x:v>6.5454545454545405</x:v>
      </x:c>
      <x:c r="AL5" s="11" t="n">
        <x:f t="shared" ref="AL5:AL68" si="8">IFERROR(AK5/AJ5,0)</x:f>
        <x:v>1</x:v>
      </x:c>
      <x:c r="AM5" s="6"/>
      <x:c r="AN5" s="6"/>
    </x:row>
    <x:row r="6" ht="13.899999618530273">
      <x:c r="A6" s="17" t="str">
        <x:f t="shared" si="0"/>
        <x:v>20260903-02</x:v>
      </x:c>
      <x:c r="B6" s="28">
        <x:v>46268</x:v>
      </x:c>
      <x:c r="C6" s="36">
        <x:v>2</x:v>
      </x:c>
      <x:c r="D6" s="19" t="s">
        <x:v>139</x:v>
      </x:c>
      <x:c r="E6" s="17" t="n">
        <x:f>IF(D6="","",IFERROR(VLOOKUP(D6,'Base Sectores'!$A$5:$J$47,2,FALSE),""))</x:f>
        <x:v>9</x:v>
      </x:c>
      <x:c r="F6" s="39" t="str">
        <x:f>IF(D6="","",IFERROR(VLOOKUP(D6,'Base Sectores'!$A$5:$J$47,3,FALSE),""))</x:f>
        <x:v>MzaB</x:v>
      </x:c>
      <x:c r="G6" s="17" t="str">
        <x:f>IF(D6="","",IFERROR(VLOOKUP(D6,'Base Sectores'!$A$5:$J$47,4,FALSE),""))</x:f>
        <x:v>Pasaje 2</x:v>
      </x:c>
      <x:c r="H6" s="17" t="str">
        <x:f>IF(D6="","",IFERROR(VLOOKUP(D6,'Base Sectores'!$A$5:$J$47,5,FALSE),""))</x:f>
        <x:v>N21</x:v>
      </x:c>
      <x:c r="I6" s="17" t="str">
        <x:f>IF(D6="","",IFERROR(VLOOKUP(D6,'Base Sectores'!$A$5:$J$47,6,FALSE),""))</x:f>
        <x:v>N22</x:v>
      </x:c>
      <x:c r="J6" s="17" t="str">
        <x:f>IF(D6="","",IFERROR(VLOOKUP(D6,'Base Sectores'!$A$5:$J$47,7,FALSE),""))</x:f>
        <x:v>N21-N22</x:v>
      </x:c>
      <x:c r="K6" s="17" t="str">
        <x:f>IF(D6="","",IFERROR(VLOOKUP(D6,'Base Sectores'!$A$5:$J$47,9,FALSE),""))</x:f>
        <x:v>Ø110</x:v>
      </x:c>
      <x:c r="L6" s="20" t="s">
        <x:v>70</x:v>
      </x:c>
      <x:c r="M6" s="3" t="str">
        <x:f>IF(L6="","",IFERROR(VLOOKUP(L6,Configuracion!$D$4:$H$15,2,FALSE),""))</x:f>
        <x:v>Conexiones domiciliarias</x:v>
      </x:c>
      <x:c r="N6" s="3" t="str">
        <x:f>IF(L6="","",IFERROR(VLOOKUP(L6,Configuracion!$D$4:$H$15,3,FALSE),""))</x:f>
        <x:v>un</x:v>
      </x:c>
      <x:c r="O6" s="20">
        <x:v>5</x:v>
      </x:c>
      <x:c r="P6" s="17" t="n">
        <x:f>IF(L6="","",IFERROR(VLOOKUP(L6,Configuracion!$D$4:$H$15,4,FALSE),0))</x:f>
        <x:v>4</x:v>
      </x:c>
      <x:c r="Q6" s="29">
        <x:v>0.35416666666666669</x:v>
      </x:c>
      <x:c r="R6" s="29">
        <x:v>0.4375</x:v>
      </x:c>
      <x:c r="S6" s="31" t="n">
        <x:f t="shared" ref="S6:S68" si="9">IF(OR(Q6="",R6=""),"",MOD(R6-Q6,1)*24)</x:f>
        <x:v>1.9999999999999996</x:v>
      </x:c>
      <x:c r="T6" s="19" t="s">
        <x:v>271</x:v>
      </x:c>
      <x:c r="U6" s="19">
        <x:v>3</x:v>
      </x:c>
      <x:c r="V6" s="6" t="s">
        <x:v>322</x:v>
      </x:c>
      <x:c r="W6" s="19" t="s">
        <x:v>262</x:v>
      </x:c>
      <x:c r="X6" s="6"/>
      <x:c r="Y6" s="6"/>
      <x:c r="Z6" s="20" t="s">
        <x:v>325</x:v>
      </x:c>
      <x:c r="AA6" s="20" t="s">
        <x:v>30</x:v>
      </x:c>
      <x:c r="AB6" s="20">
        <x:v>5</x:v>
      </x:c>
      <x:c r="AC6" s="29">
        <x:v>0.35416666666666669</x:v>
      </x:c>
      <x:c r="AD6" s="29">
        <x:v>0.4375</x:v>
      </x:c>
      <x:c r="AE6" s="26">
        <x:f t="shared" si="1"/>
        <x:v>1.9999999999999996</x:v>
      </x:c>
      <x:c r="AF6" s="26">
        <x:f t="shared" si="2"/>
        <x:v>5.9999999999999982</x:v>
      </x:c>
      <x:c r="AG6" s="26">
        <x:f t="shared" si="3"/>
        <x:v>5.9999999999999982</x:v>
      </x:c>
      <x:c r="AH6" s="11">
        <x:f t="shared" si="4"/>
        <x:v>1</x:v>
      </x:c>
      <x:c r="AI6" s="4">
        <x:f t="shared" si="5"/>
        <x:v>0</x:v>
      </x:c>
      <x:c r="AJ6" s="4">
        <x:f t="shared" si="6"/>
        <x:v>2.5000000000000004</x:v>
      </x:c>
      <x:c r="AK6" s="4">
        <x:f t="shared" si="7"/>
        <x:v>2.5000000000000004</x:v>
      </x:c>
      <x:c r="AL6" s="11">
        <x:f t="shared" si="8"/>
        <x:v>1</x:v>
      </x:c>
      <x:c r="AM6" s="6"/>
      <x:c r="AN6" s="6"/>
    </x:row>
    <x:row r="7">
      <x:c r="A7" s="3" t="str">
        <x:f t="shared" si="0"/>
      </x:c>
      <x:c r="B7" s="9"/>
      <x:c r="C7" s="36"/>
      <x:c r="D7" s="19" t="s">
        <x:v>132</x:v>
      </x:c>
      <x:c r="E7" s="18" t="n">
        <x:f>IF(D7="","",IFERROR(VLOOKUP(D7,'Base Sectores'!$A$5:$J$47,2,FALSE),""))</x:f>
        <x:v>7</x:v>
      </x:c>
      <x:c r="F7" s="40" t="str">
        <x:f>IF(D7="","",IFERROR(VLOOKUP(D7,'Base Sectores'!$A$5:$J$47,3,FALSE),""))</x:f>
        <x:v>MzaB</x:v>
      </x:c>
      <x:c r="G7" s="18" t="str">
        <x:f>IF(D7="","",IFERROR(VLOOKUP(D7,'Base Sectores'!$A$5:$J$47,4,FALSE),""))</x:f>
        <x:v>Pasaje 5</x:v>
      </x:c>
      <x:c r="H7" s="18" t="str">
        <x:f>IF(D7="","",IFERROR(VLOOKUP(D7,'Base Sectores'!$A$5:$J$47,5,FALSE),""))</x:f>
        <x:v>N28</x:v>
      </x:c>
      <x:c r="I7" s="18" t="str">
        <x:f>IF(D7="","",IFERROR(VLOOKUP(D7,'Base Sectores'!$A$5:$J$47,6,FALSE),""))</x:f>
        <x:v>N21</x:v>
      </x:c>
      <x:c r="J7" s="18" t="str">
        <x:f>IF(D7="","",IFERROR(VLOOKUP(D7,'Base Sectores'!$A$5:$J$47,7,FALSE),""))</x:f>
        <x:v>N28-N21</x:v>
      </x:c>
      <x:c r="K7" s="18" t="str">
        <x:f>IF(D7="","",IFERROR(VLOOKUP(D7,'Base Sectores'!$A$5:$J$47,9,FALSE),""))</x:f>
        <x:v>Ø75</x:v>
      </x:c>
      <x:c r="L7" s="20" t="s">
        <x:v>70</x:v>
      </x:c>
      <x:c r="M7" s="3" t="str">
        <x:f>IF(L7="","",IFERROR(VLOOKUP(L7,Configuracion!$D$4:$H$15,2,FALSE),""))</x:f>
        <x:v>Conexiones domiciliarias</x:v>
      </x:c>
      <x:c r="N7" s="3" t="str">
        <x:f>IF(L7="","",IFERROR(VLOOKUP(L7,Configuracion!$D$4:$H$15,3,FALSE),""))</x:f>
        <x:v>un</x:v>
      </x:c>
      <x:c r="O7" s="20">
        <x:v>4</x:v>
      </x:c>
      <x:c r="P7" s="17" t="n">
        <x:f>IF(L7="","",IFERROR(VLOOKUP(L7,Configuracion!$D$4:$H$15,4,FALSE),0))</x:f>
        <x:v>4</x:v>
      </x:c>
      <x:c r="Q7" s="29">
        <x:v>0.4375</x:v>
      </x:c>
      <x:c r="R7" s="29">
        <x:v>0.47916666666666669</x:v>
      </x:c>
      <x:c r="S7" s="31">
        <x:f t="shared" si="9"/>
        <x:v>1.0000000000000004</x:v>
      </x:c>
      <x:c r="T7" s="19" t="s">
        <x:v>271</x:v>
      </x:c>
      <x:c r="U7" s="19">
        <x:v>3</x:v>
      </x:c>
      <x:c r="V7" s="6" t="s">
        <x:v>322</x:v>
      </x:c>
      <x:c r="W7" s="19" t="s">
        <x:v>262</x:v>
      </x:c>
      <x:c r="X7" s="6"/>
      <x:c r="Y7" s="6"/>
      <x:c r="Z7" s="20" t="s">
        <x:v>325</x:v>
      </x:c>
      <x:c r="AA7" s="20" t="s">
        <x:v>30</x:v>
      </x:c>
      <x:c r="AB7" s="20">
        <x:v>4</x:v>
      </x:c>
      <x:c r="AC7" s="27">
        <x:v>0.4375</x:v>
      </x:c>
      <x:c r="AD7" s="27">
        <x:v>0.47916666666666669</x:v>
      </x:c>
      <x:c r="AE7" s="26">
        <x:f t="shared" si="1"/>
        <x:v>1.0000000000000004</x:v>
      </x:c>
      <x:c r="AF7" s="26">
        <x:f t="shared" si="2"/>
        <x:v>3.0000000000000013</x:v>
      </x:c>
      <x:c r="AG7" s="26">
        <x:f t="shared" si="3"/>
        <x:v>3.0000000000000013</x:v>
      </x:c>
      <x:c r="AH7" s="11">
        <x:f t="shared" si="4"/>
        <x:v>1</x:v>
      </x:c>
      <x:c r="AI7" s="4">
        <x:f t="shared" si="5"/>
        <x:v>0</x:v>
      </x:c>
      <x:c r="AJ7" s="4">
        <x:f t="shared" si="6"/>
        <x:v>3.9999999999999982</x:v>
      </x:c>
      <x:c r="AK7" s="4">
        <x:f t="shared" si="7"/>
        <x:v>3.9999999999999982</x:v>
      </x:c>
      <x:c r="AL7" s="11">
        <x:f t="shared" si="8"/>
        <x:v>1</x:v>
      </x:c>
      <x:c r="AM7" s="6"/>
      <x:c r="AN7" s="6"/>
    </x:row>
    <x:row r="8">
      <x:c r="A8" s="3" t="str">
        <x:f t="shared" si="0"/>
      </x:c>
      <x:c r="B8" s="9"/>
      <x:c r="C8" s="36"/>
      <x:c r="D8" s="19" t="s">
        <x:v>128</x:v>
      </x:c>
      <x:c r="E8" s="18" t="n">
        <x:f>IF(D8="","",IFERROR(VLOOKUP(D8,'Base Sectores'!$A$5:$J$47,2,FALSE),""))</x:f>
        <x:v>6</x:v>
      </x:c>
      <x:c r="F8" s="40" t="str">
        <x:f>IF(D8="","",IFERROR(VLOOKUP(D8,'Base Sectores'!$A$5:$J$47,3,FALSE),""))</x:f>
        <x:v>MzaB</x:v>
      </x:c>
      <x:c r="G8" s="18" t="str">
        <x:f>IF(D8="","",IFERROR(VLOOKUP(D8,'Base Sectores'!$A$5:$J$47,4,FALSE),""))</x:f>
        <x:v>Pasaje 8</x:v>
      </x:c>
      <x:c r="H8" s="18" t="str">
        <x:f>IF(D8="","",IFERROR(VLOOKUP(D8,'Base Sectores'!$A$5:$J$47,5,FALSE),""))</x:f>
        <x:v>N29</x:v>
      </x:c>
      <x:c r="I8" s="18" t="str">
        <x:f>IF(D8="","",IFERROR(VLOOKUP(D8,'Base Sectores'!$A$5:$J$47,6,FALSE),""))</x:f>
        <x:v>N28</x:v>
      </x:c>
      <x:c r="J8" s="18" t="str">
        <x:f>IF(D8="","",IFERROR(VLOOKUP(D8,'Base Sectores'!$A$5:$J$47,7,FALSE),""))</x:f>
        <x:v>N29-N28</x:v>
      </x:c>
      <x:c r="K8" s="18" t="str">
        <x:f>IF(D8="","",IFERROR(VLOOKUP(D8,'Base Sectores'!$A$5:$J$47,9,FALSE),""))</x:f>
        <x:v>Ø75</x:v>
      </x:c>
      <x:c r="L8" s="20" t="s">
        <x:v>70</x:v>
      </x:c>
      <x:c r="M8" s="3" t="str">
        <x:f>IF(L8="","",IFERROR(VLOOKUP(L8,Configuracion!$D$4:$H$15,2,FALSE),""))</x:f>
        <x:v>Conexiones domiciliarias</x:v>
      </x:c>
      <x:c r="N8" s="3" t="str">
        <x:f>IF(L8="","",IFERROR(VLOOKUP(L8,Configuracion!$D$4:$H$15,3,FALSE),""))</x:f>
        <x:v>un</x:v>
      </x:c>
      <x:c r="O8" s="20">
        <x:v>2</x:v>
      </x:c>
      <x:c r="P8" s="17" t="n">
        <x:f>IF(L8="","",IFERROR(VLOOKUP(L8,Configuracion!$D$4:$H$15,4,FALSE),0))</x:f>
        <x:v>4</x:v>
      </x:c>
      <x:c r="Q8" s="29">
        <x:v>0.47916666666666669</x:v>
      </x:c>
      <x:c r="R8" s="29">
        <x:v>0.52083333333333337</x:v>
      </x:c>
      <x:c r="S8" s="31">
        <x:f t="shared" si="9"/>
        <x:v>1.0000000000000004</x:v>
      </x:c>
      <x:c r="T8" s="19" t="s">
        <x:v>271</x:v>
      </x:c>
      <x:c r="U8" s="19">
        <x:v>3</x:v>
      </x:c>
      <x:c r="V8" s="6" t="s">
        <x:v>322</x:v>
      </x:c>
      <x:c r="W8" s="19" t="s">
        <x:v>262</x:v>
      </x:c>
      <x:c r="X8" s="6"/>
      <x:c r="Y8" s="6"/>
      <x:c r="Z8" s="20" t="s">
        <x:v>325</x:v>
      </x:c>
      <x:c r="AA8" s="20" t="s">
        <x:v>30</x:v>
      </x:c>
      <x:c r="AB8" s="20">
        <x:v>2</x:v>
      </x:c>
      <x:c r="AC8" s="27">
        <x:v>0.47916666666666669</x:v>
      </x:c>
      <x:c r="AD8" s="27">
        <x:v>0.52083333333333337</x:v>
      </x:c>
      <x:c r="AE8" s="26">
        <x:f t="shared" si="1"/>
        <x:v>1.0000000000000004</x:v>
      </x:c>
      <x:c r="AF8" s="26">
        <x:f t="shared" si="2"/>
        <x:v>3.0000000000000013</x:v>
      </x:c>
      <x:c r="AG8" s="26">
        <x:f t="shared" si="3"/>
        <x:v>3.0000000000000013</x:v>
      </x:c>
      <x:c r="AH8" s="11">
        <x:f t="shared" si="4"/>
        <x:v>1</x:v>
      </x:c>
      <x:c r="AI8" s="4">
        <x:f t="shared" si="5"/>
        <x:v>0</x:v>
      </x:c>
      <x:c r="AJ8" s="4">
        <x:f t="shared" si="6"/>
        <x:v>1.9999999999999991</x:v>
      </x:c>
      <x:c r="AK8" s="4">
        <x:f t="shared" si="7"/>
        <x:v>1.9999999999999991</x:v>
      </x:c>
      <x:c r="AL8" s="11">
        <x:f t="shared" si="8"/>
        <x:v>1</x:v>
      </x:c>
      <x:c r="AM8" s="6"/>
      <x:c r="AN8" s="6"/>
    </x:row>
    <x:row r="9">
      <x:c r="A9" s="3" t="str">
        <x:f t="shared" si="0"/>
      </x:c>
      <x:c r="B9" s="9"/>
      <x:c r="C9" s="36"/>
      <x:c r="D9" s="19" t="s">
        <x:v>108</x:v>
      </x:c>
      <x:c r="E9" s="18" t="n">
        <x:f>IF(D9="","",IFERROR(VLOOKUP(D9,'Base Sectores'!$A$5:$J$47,2,FALSE),""))</x:f>
        <x:v>2</x:v>
      </x:c>
      <x:c r="F9" s="40" t="str">
        <x:f>IF(D9="","",IFERROR(VLOOKUP(D9,'Base Sectores'!$A$5:$J$47,3,FALSE),""))</x:f>
        <x:v>MzaA</x:v>
      </x:c>
      <x:c r="G9" s="18" t="str">
        <x:f>IF(D9="","",IFERROR(VLOOKUP(D9,'Base Sectores'!$A$5:$J$47,4,FALSE),""))</x:f>
        <x:v>Pasaje 8</x:v>
      </x:c>
      <x:c r="H9" s="18" t="str">
        <x:f>IF(D9="","",IFERROR(VLOOKUP(D9,'Base Sectores'!$A$5:$J$47,5,FALSE),""))</x:f>
        <x:v>N30</x:v>
      </x:c>
      <x:c r="I9" s="18" t="str">
        <x:f>IF(D9="","",IFERROR(VLOOKUP(D9,'Base Sectores'!$A$5:$J$47,6,FALSE),""))</x:f>
        <x:v>N29</x:v>
      </x:c>
      <x:c r="J9" s="18" t="str">
        <x:f>IF(D9="","",IFERROR(VLOOKUP(D9,'Base Sectores'!$A$5:$J$47,7,FALSE),""))</x:f>
        <x:v>N30-N29</x:v>
      </x:c>
      <x:c r="K9" s="18" t="str">
        <x:f>IF(D9="","",IFERROR(VLOOKUP(D9,'Base Sectores'!$A$5:$J$47,9,FALSE),""))</x:f>
        <x:v>Ø75</x:v>
      </x:c>
      <x:c r="L9" s="20" t="s">
        <x:v>70</x:v>
      </x:c>
      <x:c r="M9" s="3" t="str">
        <x:f>IF(L9="","",IFERROR(VLOOKUP(L9,Configuracion!$D$4:$H$15,2,FALSE),""))</x:f>
        <x:v>Conexiones domiciliarias</x:v>
      </x:c>
      <x:c r="N9" s="3" t="str">
        <x:f>IF(L9="","",IFERROR(VLOOKUP(L9,Configuracion!$D$4:$H$15,3,FALSE),""))</x:f>
        <x:v>un</x:v>
      </x:c>
      <x:c r="O9" s="20">
        <x:v>1</x:v>
      </x:c>
      <x:c r="P9" s="17" t="n">
        <x:f>IF(L9="","",IFERROR(VLOOKUP(L9,Configuracion!$D$4:$H$15,4,FALSE),0))</x:f>
        <x:v>4</x:v>
      </x:c>
      <x:c r="Q9" s="29">
        <x:v>0.52083333333333337</x:v>
      </x:c>
      <x:c r="R9" s="29">
        <x:v>0.60416666666666663</x:v>
      </x:c>
      <x:c r="S9" s="31">
        <x:f t="shared" si="9"/>
        <x:v>1.9999999999999982</x:v>
      </x:c>
      <x:c r="T9" s="19" t="s">
        <x:v>271</x:v>
      </x:c>
      <x:c r="U9" s="19">
        <x:v>2</x:v>
      </x:c>
      <x:c r="V9" s="6" t="s">
        <x:v>326</x:v>
      </x:c>
      <x:c r="W9" s="19" t="s">
        <x:v>262</x:v>
      </x:c>
      <x:c r="X9" s="6"/>
      <x:c r="Y9" s="6"/>
      <x:c r="Z9" s="20" t="s">
        <x:v>325</x:v>
      </x:c>
      <x:c r="AA9" s="20" t="s">
        <x:v>30</x:v>
      </x:c>
      <x:c r="AB9" s="20">
        <x:v>1</x:v>
      </x:c>
      <x:c r="AC9" s="27">
        <x:v>0.52083333333333337</x:v>
      </x:c>
      <x:c r="AD9" s="27">
        <x:v>0.60416666666666663</x:v>
      </x:c>
      <x:c r="AE9" s="26">
        <x:f t="shared" si="1"/>
        <x:v>1.9999999999999982</x:v>
      </x:c>
      <x:c r="AF9" s="26">
        <x:f t="shared" si="2"/>
        <x:v>3.9999999999999964</x:v>
      </x:c>
      <x:c r="AG9" s="26">
        <x:f t="shared" si="3"/>
        <x:v>3.9999999999999964</x:v>
      </x:c>
      <x:c r="AH9" s="11">
        <x:f t="shared" si="4"/>
        <x:v>1</x:v>
      </x:c>
      <x:c r="AI9" s="4">
        <x:f t="shared" si="5"/>
        <x:v>0</x:v>
      </x:c>
      <x:c r="AJ9" s="4">
        <x:f t="shared" si="6"/>
        <x:v>0.50000000000000044</x:v>
      </x:c>
      <x:c r="AK9" s="4">
        <x:f t="shared" si="7"/>
        <x:v>0.50000000000000044</x:v>
      </x:c>
      <x:c r="AL9" s="11">
        <x:f t="shared" si="8"/>
        <x:v>1</x:v>
      </x:c>
      <x:c r="AM9" s="6"/>
      <x:c r="AN9" s="6"/>
    </x:row>
    <x:row r="10">
      <x:c r="A10" s="3" t="str">
        <x:f t="shared" si="0"/>
      </x:c>
      <x:c r="B10" s="9"/>
      <x:c r="C10" s="36"/>
      <x:c r="D10" s="19" t="s">
        <x:v>145</x:v>
      </x:c>
      <x:c r="E10" s="18" t="n">
        <x:f>IF(D10="","",IFERROR(VLOOKUP(D10,'Base Sectores'!$A$5:$J$47,2,FALSE),""))</x:f>
        <x:v>11</x:v>
      </x:c>
      <x:c r="F10" s="40" t="str">
        <x:f>IF(D10="","",IFERROR(VLOOKUP(D10,'Base Sectores'!$A$5:$J$47,3,FALSE),""))</x:f>
        <x:v>MzaC</x:v>
      </x:c>
      <x:c r="G10" s="18" t="str">
        <x:f>IF(D10="","",IFERROR(VLOOKUP(D10,'Base Sectores'!$A$5:$J$47,4,FALSE),""))</x:f>
        <x:v>Pasaje 6</x:v>
      </x:c>
      <x:c r="H10" s="18" t="str">
        <x:f>IF(D10="","",IFERROR(VLOOKUP(D10,'Base Sectores'!$A$5:$J$47,5,FALSE),""))</x:f>
        <x:v>N27</x:v>
      </x:c>
      <x:c r="I10" s="18" t="str">
        <x:f>IF(D10="","",IFERROR(VLOOKUP(D10,'Base Sectores'!$A$5:$J$47,6,FALSE),""))</x:f>
        <x:v>N19</x:v>
      </x:c>
      <x:c r="J10" s="18" t="str">
        <x:f>IF(D10="","",IFERROR(VLOOKUP(D10,'Base Sectores'!$A$5:$J$47,7,FALSE),""))</x:f>
        <x:v>N27-N19</x:v>
      </x:c>
      <x:c r="K10" s="18" t="str">
        <x:f>IF(D10="","",IFERROR(VLOOKUP(D10,'Base Sectores'!$A$5:$J$47,9,FALSE),""))</x:f>
        <x:v>Ø110</x:v>
      </x:c>
      <x:c r="L10" s="19" t="s">
        <x:v>70</x:v>
      </x:c>
      <x:c r="M10" s="3" t="str">
        <x:f>IF(L10="","",IFERROR(VLOOKUP(L10,Configuracion!$D$4:$H$15,2,FALSE),""))</x:f>
        <x:v>Conexiones domiciliarias</x:v>
      </x:c>
      <x:c r="N10" s="3" t="str">
        <x:f>IF(L10="","",IFERROR(VLOOKUP(L10,Configuracion!$D$4:$H$15,3,FALSE),""))</x:f>
        <x:v>un</x:v>
      </x:c>
      <x:c r="O10" s="20">
        <x:v>82</x:v>
      </x:c>
      <x:c r="P10" s="17" t="n">
        <x:f>IF(L10="","",IFERROR(VLOOKUP(L10,Configuracion!$D$4:$H$15,4,FALSE),0))</x:f>
        <x:v>4</x:v>
      </x:c>
      <x:c r="Q10" s="29">
        <x:v>0.31597222222222221</x:v>
      </x:c>
      <x:c r="R10" s="29">
        <x:v>0.39930555555555558</x:v>
      </x:c>
      <x:c r="S10" s="31">
        <x:f t="shared" si="9"/>
        <x:v>2.0000000000000009</x:v>
      </x:c>
      <x:c r="T10" s="19" t="s">
        <x:v>267</x:v>
      </x:c>
      <x:c r="U10" s="19">
        <x:v>2</x:v>
      </x:c>
      <x:c r="V10" s="6" t="s">
        <x:v>327</x:v>
      </x:c>
      <x:c r="W10" s="19" t="s">
        <x:v>262</x:v>
      </x:c>
      <x:c r="X10" s="6"/>
      <x:c r="Y10" s="6"/>
      <x:c r="Z10" s="6" t="s">
        <x:v>325</x:v>
      </x:c>
      <x:c r="AA10" s="6" t="s">
        <x:v>30</x:v>
      </x:c>
      <x:c r="AB10" s="19">
        <x:v>82</x:v>
      </x:c>
      <x:c r="AC10" s="29">
        <x:v>0.31597222222222221</x:v>
      </x:c>
      <x:c r="AD10" s="29">
        <x:v>0.39930555555555558</x:v>
      </x:c>
      <x:c r="AE10" s="4">
        <x:f t="shared" si="1"/>
        <x:v>2.0000000000000009</x:v>
      </x:c>
      <x:c r="AF10" s="4">
        <x:f t="shared" si="2"/>
        <x:v>4.0000000000000018</x:v>
      </x:c>
      <x:c r="AG10" s="4">
        <x:f t="shared" si="3"/>
        <x:v>4.0000000000000018</x:v>
      </x:c>
      <x:c r="AH10" s="11">
        <x:f t="shared" si="4"/>
        <x:v>1</x:v>
      </x:c>
      <x:c r="AI10" s="4">
        <x:f t="shared" si="5"/>
        <x:v>0</x:v>
      </x:c>
      <x:c r="AJ10" s="4">
        <x:f t="shared" si="6"/>
        <x:v>40.999999999999979</x:v>
      </x:c>
      <x:c r="AK10" s="4">
        <x:f t="shared" si="7"/>
        <x:v>40.999999999999979</x:v>
      </x:c>
      <x:c r="AL10" s="11">
        <x:f t="shared" si="8"/>
        <x:v>1</x:v>
      </x:c>
      <x:c r="AM10" s="6"/>
      <x:c r="AN10" s="6" t="s">
        <x:v>328</x:v>
      </x:c>
    </x:row>
    <x:row r="11">
      <x:c r="A11" s="3" t="str">
        <x:f t="shared" si="0"/>
      </x:c>
      <x:c r="B11" s="9"/>
      <x:c r="C11" s="36"/>
      <x:c r="D11" s="19"/>
      <x:c r="E11" s="3" t="str">
        <x:f>IF(D11="","",IFERROR(VLOOKUP(D11,'Base Sectores'!$A$5:$J$47,2,FALSE),""))</x:f>
      </x:c>
      <x:c r="F11" s="40" t="str">
        <x:f>IF(D11="","",IFERROR(VLOOKUP(D11,'Base Sectores'!$A$5:$J$47,3,FALSE),""))</x:f>
      </x:c>
      <x:c r="G11" s="3" t="str">
        <x:f>IF(D11="","",IFERROR(VLOOKUP(D11,'Base Sectores'!$A$5:$J$47,4,FALSE),""))</x:f>
      </x:c>
      <x:c r="H11" s="3" t="str">
        <x:f>IF(D11="","",IFERROR(VLOOKUP(D11,'Base Sectores'!$A$5:$J$47,5,FALSE),""))</x:f>
      </x:c>
      <x:c r="I11" s="3" t="str">
        <x:f>IF(D11="","",IFERROR(VLOOKUP(D11,'Base Sectores'!$A$5:$J$47,6,FALSE),""))</x:f>
      </x:c>
      <x:c r="J11" s="3" t="str">
        <x:f>IF(D11="","",IFERROR(VLOOKUP(D11,'Base Sectores'!$A$5:$J$47,7,FALSE),""))</x:f>
      </x:c>
      <x:c r="K11" s="3" t="str">
        <x:f>IF(D11="","",IFERROR(VLOOKUP(D11,'Base Sectores'!$A$5:$J$47,9,FALSE),""))</x:f>
      </x:c>
      <x:c r="L11" s="19"/>
      <x:c r="M11" s="3" t="str">
        <x:f>IF(L11="","",IFERROR(VLOOKUP(L11,Configuracion!$D$4:$H$15,2,FALSE),""))</x:f>
      </x:c>
      <x:c r="N11" s="3" t="str">
        <x:f>IF(L11="","",IFERROR(VLOOKUP(L11,Configuracion!$D$4:$H$15,3,FALSE),""))</x:f>
      </x:c>
      <x:c r="O11" s="6"/>
      <x:c r="P11" s="3" t="str">
        <x:f>IF(L11="","",IFERROR(VLOOKUP(L11,Configuracion!$D$4:$H$15,4,FALSE),0))</x:f>
      </x:c>
      <x:c r="Q11" s="10"/>
      <x:c r="R11" s="10"/>
      <x:c r="S11" s="31" t="str">
        <x:f t="shared" si="9"/>
      </x:c>
      <x:c r="T11" s="6"/>
      <x:c r="U11" s="6"/>
      <x:c r="V11" s="6"/>
      <x:c r="W11" s="19" t="s">
        <x:v>262</x:v>
      </x:c>
      <x:c r="X11" s="6"/>
      <x:c r="Y11" s="6"/>
      <x:c r="Z11" s="6"/>
      <x:c r="AA11" s="6"/>
      <x:c r="AB11" s="19"/>
      <x:c r="AC11" s="10"/>
      <x:c r="AD11" s="10"/>
      <x:c r="AE11" s="4" t="str">
        <x:f t="shared" si="1"/>
      </x:c>
      <x:c r="AF11" s="4" t="str">
        <x:f t="shared" si="2"/>
      </x:c>
      <x:c r="AG11" s="4" t="str">
        <x:f t="shared" si="3"/>
      </x:c>
      <x:c r="AH11" s="11">
        <x:f t="shared" si="4"/>
        <x:v>0</x:v>
      </x:c>
      <x:c r="AI11" s="4" t="str">
        <x:f t="shared" si="5"/>
      </x:c>
      <x:c r="AJ11" s="4">
        <x:f t="shared" si="6"/>
        <x:v>0</x:v>
      </x:c>
      <x:c r="AK11" s="4">
        <x:f t="shared" si="7"/>
        <x:v>0</x:v>
      </x:c>
      <x:c r="AL11" s="11">
        <x:f t="shared" si="8"/>
        <x:v>0</x:v>
      </x:c>
      <x:c r="AM11" s="6"/>
      <x:c r="AN11" s="6"/>
    </x:row>
    <x:row r="12" ht="13.899999618530273">
      <x:c r="A12" s="3" t="str">
        <x:f t="shared" si="0"/>
        <x:v>20260904-01</x:v>
      </x:c>
      <x:c r="B12" s="28">
        <x:v>46269</x:v>
      </x:c>
      <x:c r="C12" s="36">
        <x:v>1</x:v>
      </x:c>
      <x:c r="D12" s="20" t="s">
        <x:v>159</x:v>
      </x:c>
      <x:c r="E12" s="17" t="n">
        <x:f>IF(D12="","",IFERROR(VLOOKUP(D12,'Base Sectores'!$A$5:$J$47,2,FALSE),""))</x:f>
        <x:v>15</x:v>
      </x:c>
      <x:c r="F12" s="39" t="str">
        <x:f>IF(D12="","",IFERROR(VLOOKUP(D12,'Base Sectores'!$A$5:$J$47,3,FALSE),""))</x:f>
        <x:v>MzaD</x:v>
      </x:c>
      <x:c r="G12" s="17" t="str">
        <x:f>IF(D12="","",IFERROR(VLOOKUP(D12,'Base Sectores'!$A$5:$J$47,4,FALSE),""))</x:f>
        <x:v>Pasaje 2</x:v>
      </x:c>
      <x:c r="H12" s="17" t="str">
        <x:f>IF(D12="","",IFERROR(VLOOKUP(D12,'Base Sectores'!$A$5:$J$47,5,FALSE),""))</x:f>
        <x:v>N18</x:v>
      </x:c>
      <x:c r="I12" s="17" t="str">
        <x:f>IF(D12="","",IFERROR(VLOOKUP(D12,'Base Sectores'!$A$5:$J$47,6,FALSE),""))</x:f>
        <x:v>N19</x:v>
      </x:c>
      <x:c r="J12" s="17" t="str">
        <x:f>IF(D12="","",IFERROR(VLOOKUP(D12,'Base Sectores'!$A$5:$J$47,7,FALSE),""))</x:f>
        <x:v>N18-N19</x:v>
      </x:c>
      <x:c r="K12" s="17" t="str">
        <x:f>IF(D12="","",IFERROR(VLOOKUP(D12,'Base Sectores'!$A$5:$J$47,9,FALSE),""))</x:f>
        <x:v>Ø110</x:v>
      </x:c>
      <x:c r="L12" s="19" t="s">
        <x:v>20</x:v>
      </x:c>
      <x:c r="M12" s="3" t="str">
        <x:f>IF(L12="","",IFERROR(VLOOKUP(L12,Configuracion!$D$4:$H$15,2,FALSE),""))</x:f>
        <x:v>Excavación de zanja</x:v>
      </x:c>
      <x:c r="N12" s="3" t="str">
        <x:f>IF(L12="","",IFERROR(VLOOKUP(L12,Configuracion!$D$4:$H$15,3,FALSE),""))</x:f>
        <x:v>ml</x:v>
      </x:c>
      <x:c r="O12" s="20">
        <x:v>25</x:v>
      </x:c>
      <x:c r="P12" s="17" t="n">
        <x:f>IF(L12="","",IFERROR(VLOOKUP(L12,Configuracion!$D$4:$H$15,4,FALSE),0))</x:f>
        <x:v>70</x:v>
      </x:c>
      <x:c r="Q12" s="27">
        <x:v>0.30208333333333331</x:v>
      </x:c>
      <x:c r="R12" s="27">
        <x:v>0.34375</x:v>
      </x:c>
      <x:c r="S12" s="31">
        <x:f t="shared" si="9"/>
        <x:v>1.0000000000000004</x:v>
      </x:c>
      <x:c r="T12" s="20" t="s">
        <x:v>267</x:v>
      </x:c>
      <x:c r="U12" s="20">
        <x:v>2</x:v>
      </x:c>
      <x:c r="V12" s="6" t="s">
        <x:v>327</x:v>
      </x:c>
      <x:c r="W12" s="19" t="s">
        <x:v>262</x:v>
      </x:c>
      <x:c r="X12" s="6"/>
      <x:c r="Y12" s="6"/>
      <x:c r="Z12" s="6"/>
      <x:c r="AA12" s="6" t="s">
        <x:v>16</x:v>
      </x:c>
      <x:c r="AB12" s="19"/>
      <x:c r="AC12" s="10"/>
      <x:c r="AD12" s="10"/>
      <x:c r="AE12" s="4" t="str">
        <x:f t="shared" si="1"/>
      </x:c>
      <x:c r="AF12" s="4">
        <x:f t="shared" si="2"/>
        <x:v>2.0000000000000009</x:v>
      </x:c>
      <x:c r="AG12" s="4" t="str">
        <x:f t="shared" si="3"/>
      </x:c>
      <x:c r="AH12" s="11">
        <x:f t="shared" si="4"/>
        <x:v>0</x:v>
      </x:c>
      <x:c r="AI12" s="4" t="str">
        <x:f t="shared" si="5"/>
      </x:c>
      <x:c r="AJ12" s="4">
        <x:f t="shared" si="6"/>
        <x:v>24.999999999999989</x:v>
      </x:c>
      <x:c r="AK12" s="4">
        <x:f t="shared" si="7"/>
        <x:v>0</x:v>
      </x:c>
      <x:c r="AL12" s="11">
        <x:f t="shared" si="8"/>
        <x:v>0</x:v>
      </x:c>
      <x:c r="AM12" s="6"/>
      <x:c r="AN12" s="6"/>
    </x:row>
    <x:row r="13" ht="13.899999618530273">
      <x:c r="A13" s="3" t="str">
        <x:f t="shared" si="0"/>
        <x:v>20260904-02</x:v>
      </x:c>
      <x:c r="B13" s="28">
        <x:v>46269</x:v>
      </x:c>
      <x:c r="C13" s="36">
        <x:v>2</x:v>
      </x:c>
      <x:c r="D13" s="20" t="s">
        <x:v>155</x:v>
      </x:c>
      <x:c r="E13" s="17" t="n">
        <x:f>IF(D13="","",IFERROR(VLOOKUP(D13,'Base Sectores'!$A$5:$J$47,2,FALSE),""))</x:f>
        <x:v>14</x:v>
      </x:c>
      <x:c r="F13" s="39" t="str">
        <x:f>IF(D13="","",IFERROR(VLOOKUP(D13,'Base Sectores'!$A$5:$J$47,3,FALSE),""))</x:f>
        <x:v>MzaD</x:v>
      </x:c>
      <x:c r="G13" s="17" t="str">
        <x:f>IF(D13="","",IFERROR(VLOOKUP(D13,'Base Sectores'!$A$5:$J$47,4,FALSE),""))</x:f>
        <x:v>Pasaje 7</x:v>
      </x:c>
      <x:c r="H13" s="17" t="str">
        <x:f>IF(D13="","",IFERROR(VLOOKUP(D13,'Base Sectores'!$A$5:$J$47,5,FALSE),""))</x:f>
        <x:v>N26</x:v>
      </x:c>
      <x:c r="I13" s="17" t="str">
        <x:f>IF(D13="","",IFERROR(VLOOKUP(D13,'Base Sectores'!$A$5:$J$47,6,FALSE),""))</x:f>
        <x:v>N18</x:v>
      </x:c>
      <x:c r="J13" s="17" t="str">
        <x:f>IF(D13="","",IFERROR(VLOOKUP(D13,'Base Sectores'!$A$5:$J$47,7,FALSE),""))</x:f>
        <x:v>N26-N18</x:v>
      </x:c>
      <x:c r="K13" s="17" t="str">
        <x:f>IF(D13="","",IFERROR(VLOOKUP(D13,'Base Sectores'!$A$5:$J$47,9,FALSE),""))</x:f>
        <x:v>Ø75</x:v>
      </x:c>
      <x:c r="L13" s="19" t="s">
        <x:v>20</x:v>
      </x:c>
      <x:c r="M13" s="3" t="str">
        <x:f>IF(L13="","",IFERROR(VLOOKUP(L13,Configuracion!$D$4:$H$15,2,FALSE),""))</x:f>
        <x:v>Excavación de zanja</x:v>
      </x:c>
      <x:c r="N13" s="3" t="str">
        <x:f>IF(L13="","",IFERROR(VLOOKUP(L13,Configuracion!$D$4:$H$15,3,FALSE),""))</x:f>
        <x:v>ml</x:v>
      </x:c>
      <x:c r="O13" s="20">
        <x:v>70</x:v>
      </x:c>
      <x:c r="P13" s="17" t="n">
        <x:f>IF(L13="","",IFERROR(VLOOKUP(L13,Configuracion!$D$4:$H$15,4,FALSE),0))</x:f>
        <x:v>70</x:v>
      </x:c>
      <x:c r="Q13" s="29">
        <x:v>0.30208333333333331</x:v>
      </x:c>
      <x:c r="R13" s="29">
        <x:v>0.375</x:v>
      </x:c>
      <x:c r="S13" s="31">
        <x:f t="shared" si="9"/>
        <x:v>1.7500000000000004</x:v>
      </x:c>
      <x:c r="T13" s="19" t="s">
        <x:v>261</x:v>
      </x:c>
      <x:c r="U13" s="20">
        <x:v>2</x:v>
      </x:c>
      <x:c r="V13" s="6" t="s">
        <x:v>329</x:v>
      </x:c>
      <x:c r="W13" s="19" t="s">
        <x:v>262</x:v>
      </x:c>
      <x:c r="X13" s="6"/>
      <x:c r="Y13" s="6"/>
      <x:c r="Z13" s="6"/>
      <x:c r="AA13" s="6" t="s">
        <x:v>16</x:v>
      </x:c>
      <x:c r="AB13" s="19"/>
      <x:c r="AC13" s="10"/>
      <x:c r="AD13" s="10"/>
      <x:c r="AE13" s="4" t="str">
        <x:f t="shared" si="1"/>
      </x:c>
      <x:c r="AF13" s="4">
        <x:f t="shared" si="2"/>
        <x:v>3.5000000000000009</x:v>
      </x:c>
      <x:c r="AG13" s="4" t="str">
        <x:f t="shared" si="3"/>
      </x:c>
      <x:c r="AH13" s="11">
        <x:f t="shared" si="4"/>
        <x:v>0</x:v>
      </x:c>
      <x:c r="AI13" s="4" t="str">
        <x:f t="shared" si="5"/>
      </x:c>
      <x:c r="AJ13" s="4">
        <x:f t="shared" si="6"/>
        <x:v>39.999999999999993</x:v>
      </x:c>
      <x:c r="AK13" s="4">
        <x:f t="shared" si="7"/>
        <x:v>0</x:v>
      </x:c>
      <x:c r="AL13" s="11">
        <x:f t="shared" si="8"/>
        <x:v>0</x:v>
      </x:c>
      <x:c r="AM13" s="6"/>
      <x:c r="AN13" s="6"/>
    </x:row>
    <x:row r="14">
      <x:c r="A14" s="3" t="str">
        <x:f t="shared" si="0"/>
        <x:v>20260904-03</x:v>
      </x:c>
      <x:c r="B14" s="28">
        <x:v>46269</x:v>
      </x:c>
      <x:c r="C14" s="36">
        <x:v>3</x:v>
      </x:c>
      <x:c r="D14" s="20" t="s">
        <x:v>141</x:v>
      </x:c>
      <x:c r="E14" s="18" t="n">
        <x:f>IF(D14="","",IFERROR(VLOOKUP(D14,'Base Sectores'!$A$5:$J$47,2,FALSE),""))</x:f>
        <x:v>10</x:v>
      </x:c>
      <x:c r="F14" s="40" t="str">
        <x:f>IF(D14="","",IFERROR(VLOOKUP(D14,'Base Sectores'!$A$5:$J$47,3,FALSE),""))</x:f>
        <x:v>MzaC</x:v>
      </x:c>
      <x:c r="G14" s="18" t="str">
        <x:f>IF(D14="","",IFERROR(VLOOKUP(D14,'Base Sectores'!$A$5:$J$47,4,FALSE),""))</x:f>
        <x:v>Pasaje 8</x:v>
      </x:c>
      <x:c r="H14" s="18" t="str">
        <x:f>IF(D14="","",IFERROR(VLOOKUP(D14,'Base Sectores'!$A$5:$J$47,5,FALSE),""))</x:f>
        <x:v>N28</x:v>
      </x:c>
      <x:c r="I14" s="18" t="str">
        <x:f>IF(D14="","",IFERROR(VLOOKUP(D14,'Base Sectores'!$A$5:$J$47,6,FALSE),""))</x:f>
        <x:v>N27</x:v>
      </x:c>
      <x:c r="J14" s="18" t="str">
        <x:f>IF(D14="","",IFERROR(VLOOKUP(D14,'Base Sectores'!$A$5:$J$47,7,FALSE),""))</x:f>
        <x:v>N28-N27</x:v>
      </x:c>
      <x:c r="K14" s="18" t="str">
        <x:f>IF(D14="","",IFERROR(VLOOKUP(D14,'Base Sectores'!$A$5:$J$47,9,FALSE),""))</x:f>
        <x:v>Ø75</x:v>
      </x:c>
      <x:c r="L14" s="20" t="s">
        <x:v>34</x:v>
      </x:c>
      <x:c r="M14" s="3" t="str">
        <x:f>IF(L14="","",IFERROR(VLOOKUP(L14,Configuracion!$D$4:$H$15,2,FALSE),""))</x:f>
        <x:v>Cama de asiento compactada</x:v>
      </x:c>
      <x:c r="N14" s="3" t="str">
        <x:f>IF(L14="","",IFERROR(VLOOKUP(L14,Configuracion!$D$4:$H$15,3,FALSE),""))</x:f>
        <x:v>ml</x:v>
      </x:c>
      <x:c r="O14" s="19" t="n">
        <x:f>82+117</x:f>
        <x:v>199</x:v>
      </x:c>
      <x:c r="P14" s="17" t="n">
        <x:f>IF(L14="","",IFERROR(VLOOKUP(L14,Configuracion!$D$4:$H$15,4,FALSE),0))</x:f>
        <x:v>80</x:v>
      </x:c>
      <x:c r="Q14" s="29">
        <x:v>0.30208333333333331</x:v>
      </x:c>
      <x:c r="R14" s="29">
        <x:v>0.34375</x:v>
      </x:c>
      <x:c r="S14" s="31">
        <x:f t="shared" si="9"/>
        <x:v>1.0000000000000004</x:v>
      </x:c>
      <x:c r="T14" s="19" t="s">
        <x:v>271</x:v>
      </x:c>
      <x:c r="U14" s="20">
        <x:v>4</x:v>
      </x:c>
      <x:c r="V14" s="6" t="s">
        <x:v>330</x:v>
      </x:c>
      <x:c r="W14" s="19" t="s">
        <x:v>262</x:v>
      </x:c>
      <x:c r="X14" s="6"/>
      <x:c r="Y14" s="6"/>
      <x:c r="Z14" s="6"/>
      <x:c r="AA14" s="6" t="s">
        <x:v>16</x:v>
      </x:c>
      <x:c r="AB14" s="19"/>
      <x:c r="AC14" s="10"/>
      <x:c r="AD14" s="10"/>
      <x:c r="AE14" s="4" t="str">
        <x:f t="shared" si="1"/>
      </x:c>
      <x:c r="AF14" s="4">
        <x:f t="shared" si="2"/>
        <x:v>4.0000000000000018</x:v>
      </x:c>
      <x:c r="AG14" s="4" t="str">
        <x:f t="shared" si="3"/>
      </x:c>
      <x:c r="AH14" s="11">
        <x:f t="shared" si="4"/>
        <x:v>0</x:v>
      </x:c>
      <x:c r="AI14" s="4" t="str">
        <x:f t="shared" si="5"/>
      </x:c>
      <x:c r="AJ14" s="4">
        <x:f t="shared" si="6"/>
        <x:v>198.99999999999991</x:v>
      </x:c>
      <x:c r="AK14" s="4">
        <x:f t="shared" si="7"/>
        <x:v>0</x:v>
      </x:c>
      <x:c r="AL14" s="11">
        <x:f t="shared" si="8"/>
        <x:v>0</x:v>
      </x:c>
      <x:c r="AM14" s="6"/>
      <x:c r="AN14" s="6"/>
    </x:row>
    <x:row r="15">
      <x:c r="A15" s="3" t="str">
        <x:f t="shared" si="0"/>
        <x:v>yyyy0904-04</x:v>
      </x:c>
      <x:c r="B15" s="28">
        <x:v>46269</x:v>
      </x:c>
      <x:c r="C15" s="36">
        <x:v>4</x:v>
      </x:c>
      <x:c r="D15" s="20" t="s">
        <x:v>145</x:v>
      </x:c>
      <x:c r="E15" s="18" t="n">
        <x:f>IF(D15="","",IFERROR(VLOOKUP(D15,'Base Sectores'!$A$5:$J$47,2,FALSE),""))</x:f>
        <x:v>11</x:v>
      </x:c>
      <x:c r="F15" s="40" t="str">
        <x:f>IF(D15="","",IFERROR(VLOOKUP(D15,'Base Sectores'!$A$5:$J$47,3,FALSE),""))</x:f>
        <x:v>MzaC</x:v>
      </x:c>
      <x:c r="G15" s="18" t="str">
        <x:f>IF(D15="","",IFERROR(VLOOKUP(D15,'Base Sectores'!$A$5:$J$47,4,FALSE),""))</x:f>
        <x:v>Pasaje 6</x:v>
      </x:c>
      <x:c r="H15" s="18" t="str">
        <x:f>IF(D15="","",IFERROR(VLOOKUP(D15,'Base Sectores'!$A$5:$J$47,5,FALSE),""))</x:f>
        <x:v>N27</x:v>
      </x:c>
      <x:c r="I15" s="18" t="str">
        <x:f>IF(D15="","",IFERROR(VLOOKUP(D15,'Base Sectores'!$A$5:$J$47,6,FALSE),""))</x:f>
        <x:v>N19</x:v>
      </x:c>
      <x:c r="J15" s="18" t="str">
        <x:f>IF(D15="","",IFERROR(VLOOKUP(D15,'Base Sectores'!$A$5:$J$47,7,FALSE),""))</x:f>
        <x:v>N27-N19</x:v>
      </x:c>
      <x:c r="K15" s="18" t="str">
        <x:f>IF(D15="","",IFERROR(VLOOKUP(D15,'Base Sectores'!$A$5:$J$47,9,FALSE),""))</x:f>
        <x:v>Ø110</x:v>
      </x:c>
      <x:c r="L15" s="20" t="s">
        <x:v>34</x:v>
      </x:c>
      <x:c r="M15" s="3" t="str">
        <x:f>IF(L15="","",IFERROR(VLOOKUP(L15,Configuracion!$D$4:$H$15,2,FALSE),""))</x:f>
        <x:v>Cama de asiento compactada</x:v>
      </x:c>
      <x:c r="N15" s="3" t="str">
        <x:f>IF(L15="","",IFERROR(VLOOKUP(L15,Configuracion!$D$4:$H$15,3,FALSE),""))</x:f>
        <x:v>ml</x:v>
      </x:c>
      <x:c r="O15" s="19" t="n">
        <x:f>82+117</x:f>
        <x:v>199</x:v>
      </x:c>
      <x:c r="P15" s="17" t="n">
        <x:f>IF(L15="","",IFERROR(VLOOKUP(L15,Configuracion!$D$4:$H$15,4,FALSE),0))</x:f>
        <x:v>80</x:v>
      </x:c>
      <x:c r="Q15" s="29">
        <x:v>0.34375</x:v>
      </x:c>
      <x:c r="R15" s="29">
        <x:v>0.39583333333333331</x:v>
      </x:c>
      <x:c r="S15" s="31">
        <x:f t="shared" si="9"/>
        <x:v>1.2499999999999996</x:v>
      </x:c>
      <x:c r="T15" s="19" t="s">
        <x:v>271</x:v>
      </x:c>
      <x:c r="U15" s="20">
        <x:v>4</x:v>
      </x:c>
      <x:c r="V15" s="6" t="s">
        <x:v>330</x:v>
      </x:c>
      <x:c r="W15" s="19" t="s">
        <x:v>262</x:v>
      </x:c>
      <x:c r="X15" s="6"/>
      <x:c r="Y15" s="6"/>
      <x:c r="Z15" s="6"/>
      <x:c r="AA15" s="6" t="s">
        <x:v>16</x:v>
      </x:c>
      <x:c r="AB15" s="19"/>
      <x:c r="AC15" s="10"/>
      <x:c r="AD15" s="10"/>
      <x:c r="AE15" s="4" t="str">
        <x:f t="shared" si="1"/>
      </x:c>
      <x:c r="AF15" s="4">
        <x:f t="shared" si="2"/>
        <x:v>4.9999999999999982</x:v>
      </x:c>
      <x:c r="AG15" s="4" t="str">
        <x:f t="shared" si="3"/>
      </x:c>
      <x:c r="AH15" s="11">
        <x:f t="shared" si="4"/>
        <x:v>0</x:v>
      </x:c>
      <x:c r="AI15" s="4" t="str">
        <x:f t="shared" si="5"/>
      </x:c>
      <x:c r="AJ15" s="4">
        <x:f t="shared" si="6"/>
        <x:v>159.20000000000005</x:v>
      </x:c>
      <x:c r="AK15" s="4">
        <x:f t="shared" si="7"/>
        <x:v>0</x:v>
      </x:c>
      <x:c r="AL15" s="11">
        <x:f t="shared" si="8"/>
        <x:v>0</x:v>
      </x:c>
      <x:c r="AM15" s="6"/>
      <x:c r="AN15" s="6"/>
    </x:row>
    <x:row r="16">
      <x:c r="A16" s="3" t="str">
        <x:f>IF(OR(B16="",C16=""),"",TEXT(B16,"yyyymmdd")&amp;"-"&amp;TEXT(C16,"00"))</x:f>
        <x:v>20260907-05</x:v>
      </x:c>
      <x:c r="B16" s="28">
        <x:v>46272</x:v>
      </x:c>
      <x:c r="C16" s="36">
        <x:v>5</x:v>
      </x:c>
      <x:c r="D16" s="19" t="s">
        <x:v>108</x:v>
      </x:c>
      <x:c r="E16" s="18" t="n">
        <x:f>IF(D16="","",IFERROR(VLOOKUP(D16,'Base Sectores'!$A$5:$J$47,2,FALSE),""))</x:f>
        <x:v>2</x:v>
      </x:c>
      <x:c r="F16" s="39" t="s">
        <x:v>101</x:v>
      </x:c>
      <x:c r="G16" s="3" t="str">
        <x:f>IF(D16="","",IFERROR(VLOOKUP(D16,'Base Sectores'!$A$5:$J$47,4,FALSE),""))</x:f>
        <x:v>Pasaje 8</x:v>
      </x:c>
      <x:c r="H16" s="3" t="str">
        <x:f>IF(D16="","",IFERROR(VLOOKUP(D16,'Base Sectores'!$A$5:$J$47,5,FALSE),""))</x:f>
        <x:v>N30</x:v>
      </x:c>
      <x:c r="I16" s="3" t="str">
        <x:f>IF(D16="","",IFERROR(VLOOKUP(D16,'Base Sectores'!$A$5:$J$47,6,FALSE),""))</x:f>
        <x:v>N29</x:v>
      </x:c>
      <x:c r="J16" s="3" t="str">
        <x:f>IF(D16="","",IFERROR(VLOOKUP(D16,'Base Sectores'!$A$5:$J$47,7,FALSE),""))</x:f>
        <x:v>N30-N29</x:v>
      </x:c>
      <x:c r="K16" s="3" t="str">
        <x:f>IF(D16="","",IFERROR(VLOOKUP(D16,'Base Sectores'!$A$5:$J$47,9,FALSE),""))</x:f>
        <x:v>Ø75</x:v>
      </x:c>
      <x:c r="L16" s="6" t="s">
        <x:v>34</x:v>
      </x:c>
      <x:c r="M16" s="3" t="str">
        <x:f>IF(L16="","",IFERROR(VLOOKUP(L16,Configuracion!$D$4:$H$15,2,FALSE),""))</x:f>
        <x:v>Cama de asiento compactada</x:v>
      </x:c>
      <x:c r="N16" s="3" t="str">
        <x:f>IF(L16="","",IFERROR(VLOOKUP(L16,Configuracion!$D$4:$H$15,3,FALSE),""))</x:f>
        <x:v>ml</x:v>
      </x:c>
      <x:c r="O16" s="6">
        <x:v>12</x:v>
      </x:c>
      <x:c r="P16" s="3" t="n">
        <x:f>IF(L16="","",IFERROR(VLOOKUP(L16,Configuracion!$D$4:$H$15,4,FALSE),0))</x:f>
        <x:v>80</x:v>
      </x:c>
      <x:c r="Q16" s="10">
        <x:v>0.30555555555555558</x:v>
      </x:c>
      <x:c r="R16" s="10">
        <x:v>0.38541666666666669</x:v>
      </x:c>
      <x:c r="S16" s="4">
        <x:f t="shared" si="9"/>
        <x:v>1.9166666666666665</x:v>
      </x:c>
      <x:c r="T16" s="6" t="s">
        <x:v>261</x:v>
      </x:c>
      <x:c r="U16" s="20">
        <x:v>3</x:v>
      </x:c>
      <x:c r="V16" s="6" t="s">
        <x:v>329</x:v>
      </x:c>
      <x:c r="W16" s="19" t="s">
        <x:v>262</x:v>
      </x:c>
      <x:c r="X16" s="6" t="s">
        <x:v>331</x:v>
      </x:c>
      <x:c r="Y16" s="6"/>
      <x:c r="Z16" s="6" t="s">
        <x:v>332</x:v>
      </x:c>
      <x:c r="AA16" s="6" t="s">
        <x:v>30</x:v>
      </x:c>
      <x:c r="AB16" s="6">
        <x:v>3</x:v>
      </x:c>
      <x:c r="AC16" s="10">
        <x:v>0.31597222222222221</x:v>
      </x:c>
      <x:c r="AD16" s="10">
        <x:v>0.36805555555555558</x:v>
      </x:c>
      <x:c r="AE16" s="4">
        <x:f t="shared" si="1"/>
        <x:v>1.2500000000000009</x:v>
      </x:c>
      <x:c r="AF16" s="4">
        <x:f t="shared" si="2"/>
        <x:v>5.75</x:v>
      </x:c>
      <x:c r="AG16" s="4">
        <x:f t="shared" si="3"/>
        <x:v>3.7500000000000027</x:v>
      </x:c>
      <x:c r="AH16" s="11">
        <x:f t="shared" si="4"/>
        <x:v>0.25</x:v>
      </x:c>
      <x:c r="AI16" s="4">
        <x:f t="shared" si="5"/>
        <x:v>-0.66666666666666563</x:v>
      </x:c>
      <x:c r="AJ16" s="4">
        <x:f t="shared" si="6"/>
        <x:v>6.2608695652173916</x:v>
      </x:c>
      <x:c r="AK16" s="4">
        <x:f t="shared" si="7"/>
        <x:v>2.3999999999999981</x:v>
      </x:c>
      <x:c r="AL16" s="11">
        <x:f t="shared" si="8"/>
        <x:v>0.38333333333333303</x:v>
      </x:c>
      <x:c r="AM16" s="6"/>
      <x:c r="AN16" s="6"/>
    </x:row>
    <x:row r="17">
      <x:c r="A17" s="3"/>
      <x:c r="B17" s="28">
        <x:v>46272</x:v>
      </x:c>
      <x:c r="C17" s="36">
        <x:v>5</x:v>
      </x:c>
      <x:c r="D17" s="6" t="s">
        <x:v>113</x:v>
      </x:c>
      <x:c r="E17" s="18" t="n">
        <x:f>IF(D17="","",IFERROR(VLOOKUP(D17,'Base Sectores'!$A$5:$J$47,2,FALSE),""))</x:f>
        <x:v>3</x:v>
      </x:c>
      <x:c r="F17" s="40" t="str">
        <x:f>IF(D17="","",IFERROR(VLOOKUP(D17,'Base Sectores'!$A$5:$J$47,3,FALSE),""))</x:f>
        <x:v>MzaA</x:v>
      </x:c>
      <x:c r="G17" s="3" t="str">
        <x:f>IF(D17="","",IFERROR(VLOOKUP(D17,'Base Sectores'!$A$5:$J$47,4,FALSE),""))</x:f>
        <x:v>Pasaje 4</x:v>
      </x:c>
      <x:c r="H17" s="3" t="str">
        <x:f>IF(D17="","",IFERROR(VLOOKUP(D17,'Base Sectores'!$A$5:$J$47,5,FALSE),""))</x:f>
        <x:v>N29</x:v>
      </x:c>
      <x:c r="I17" s="3" t="str">
        <x:f>IF(D17="","",IFERROR(VLOOKUP(D17,'Base Sectores'!$A$5:$J$47,6,FALSE),""))</x:f>
        <x:v>N22</x:v>
      </x:c>
      <x:c r="J17" s="3" t="str">
        <x:f>IF(D17="","",IFERROR(VLOOKUP(D17,'Base Sectores'!$A$5:$J$47,7,FALSE),""))</x:f>
        <x:v>N29-N22</x:v>
      </x:c>
      <x:c r="K17" s="3" t="str">
        <x:f>IF(D17="","",IFERROR(VLOOKUP(D17,'Base Sectores'!$A$5:$J$47,9,FALSE),""))</x:f>
        <x:v>Ø75</x:v>
      </x:c>
      <x:c r="L17" s="6" t="s">
        <x:v>34</x:v>
      </x:c>
      <x:c r="M17" s="3" t="str">
        <x:f>IF(L17="","",IFERROR(VLOOKUP(L17,Configuracion!$D$4:$H$15,2,FALSE),""))</x:f>
        <x:v>Cama de asiento compactada</x:v>
      </x:c>
      <x:c r="N17" s="3" t="str">
        <x:f>IF(L17="","",IFERROR(VLOOKUP(L17,Configuracion!$D$4:$H$15,3,FALSE),""))</x:f>
        <x:v>ml</x:v>
      </x:c>
      <x:c r="O17" s="6">
        <x:v>24</x:v>
      </x:c>
      <x:c r="P17" s="3" t="n">
        <x:f>IF(L17="","",IFERROR(VLOOKUP(L17,Configuracion!$D$4:$H$15,4,FALSE),0))</x:f>
        <x:v>80</x:v>
      </x:c>
      <x:c r="Q17" s="10">
        <x:v>0.30555555555555558</x:v>
      </x:c>
      <x:c r="R17" s="10">
        <x:v>0.38541666666666669</x:v>
      </x:c>
      <x:c r="S17" s="4">
        <x:f t="shared" si="9"/>
        <x:v>1.9166666666666665</x:v>
      </x:c>
      <x:c r="T17" s="6" t="s">
        <x:v>261</x:v>
      </x:c>
      <x:c r="U17" s="6">
        <x:v>3</x:v>
      </x:c>
      <x:c r="V17" s="6"/>
      <x:c r="W17" s="19" t="s">
        <x:v>262</x:v>
      </x:c>
      <x:c r="X17" s="6"/>
      <x:c r="Y17" s="6"/>
      <x:c r="Z17" s="6"/>
      <x:c r="AA17" s="6" t="s">
        <x:v>30</x:v>
      </x:c>
      <x:c r="AB17" s="6">
        <x:v>4</x:v>
      </x:c>
      <x:c r="AC17" s="10">
        <x:v>0.36805555555555558</x:v>
      </x:c>
      <x:c r="AD17" s="10">
        <x:v>0.37847222222222221</x:v>
      </x:c>
      <x:c r="AE17" s="4">
        <x:f t="shared" si="1"/>
        <x:v>0.24999999999999911</x:v>
      </x:c>
      <x:c r="AF17" s="4">
        <x:f t="shared" si="2"/>
        <x:v>5.75</x:v>
      </x:c>
      <x:c r="AG17" s="4">
        <x:f t="shared" si="3"/>
        <x:v>0.74999999999999734</x:v>
      </x:c>
      <x:c r="AH17" s="11">
        <x:f t="shared" si="4"/>
        <x:v>0.16666666666666666</x:v>
      </x:c>
      <x:c r="AI17" s="4">
        <x:f t="shared" si="5"/>
        <x:v>-1.6666666666666674</x:v>
      </x:c>
      <x:c r="AJ17" s="4">
        <x:f t="shared" si="6"/>
        <x:v>12.521739130434783</x:v>
      </x:c>
      <x:c r="AK17" s="4">
        <x:f t="shared" si="7"/>
        <x:v>16.000000000000057</x:v>
      </x:c>
      <x:c r="AL17" s="11">
        <x:f t="shared" si="8"/>
        <x:v>1.2777777777777823</x:v>
      </x:c>
      <x:c r="AM17" s="6"/>
      <x:c r="AN17" s="6"/>
    </x:row>
    <x:row r="18">
      <x:c r="A18" s="3"/>
      <x:c r="B18" s="28">
        <x:v>46272</x:v>
      </x:c>
      <x:c r="C18" s="36">
        <x:v>5</x:v>
      </x:c>
      <x:c r="D18" s="6" t="s">
        <x:v>118</x:v>
      </x:c>
      <x:c r="E18" s="3" t="n">
        <x:f>IF(D18="","",IFERROR(VLOOKUP(D18,'Base Sectores'!$A$5:$J$47,2,FALSE),""))</x:f>
        <x:v>4</x:v>
      </x:c>
      <x:c r="F18" s="40" t="str">
        <x:f>IF(D18="","",IFERROR(VLOOKUP(D18,'Base Sectores'!$A$5:$J$47,3,FALSE),""))</x:f>
        <x:v>MzaA</x:v>
      </x:c>
      <x:c r="G18" s="3" t="str">
        <x:f>IF(D18="","",IFERROR(VLOOKUP(D18,'Base Sectores'!$A$5:$J$47,4,FALSE),""))</x:f>
        <x:v>Pasaje 2</x:v>
      </x:c>
      <x:c r="H18" s="3" t="str">
        <x:f>IF(D18="","",IFERROR(VLOOKUP(D18,'Base Sectores'!$A$5:$J$47,5,FALSE),""))</x:f>
        <x:v>N22</x:v>
      </x:c>
      <x:c r="I18" s="3" t="str">
        <x:f>IF(D18="","",IFERROR(VLOOKUP(D18,'Base Sectores'!$A$5:$J$47,6,FALSE),""))</x:f>
        <x:v>N24</x:v>
      </x:c>
      <x:c r="J18" s="3" t="str">
        <x:f>IF(D18="","",IFERROR(VLOOKUP(D18,'Base Sectores'!$A$5:$J$47,7,FALSE),""))</x:f>
        <x:v>N22-N24</x:v>
      </x:c>
      <x:c r="K18" s="3" t="str">
        <x:f>IF(D18="","",IFERROR(VLOOKUP(D18,'Base Sectores'!$A$5:$J$47,9,FALSE),""))</x:f>
        <x:v>Ø110</x:v>
      </x:c>
      <x:c r="L18" s="6" t="s">
        <x:v>34</x:v>
      </x:c>
      <x:c r="M18" s="3" t="str">
        <x:f>IF(L18="","",IFERROR(VLOOKUP(L18,Configuracion!$D$4:$H$15,2,FALSE),""))</x:f>
        <x:v>Cama de asiento compactada</x:v>
      </x:c>
      <x:c r="N18" s="3" t="str">
        <x:f>IF(L18="","",IFERROR(VLOOKUP(L18,Configuracion!$D$4:$H$15,3,FALSE),""))</x:f>
        <x:v>ml</x:v>
      </x:c>
      <x:c r="O18" s="6">
        <x:v>36</x:v>
      </x:c>
      <x:c r="P18" s="3" t="n">
        <x:f>IF(L18="","",IFERROR(VLOOKUP(L18,Configuracion!$D$4:$H$15,4,FALSE),0))</x:f>
        <x:v>80</x:v>
      </x:c>
      <x:c r="Q18" s="10">
        <x:v>0.30555555555555558</x:v>
      </x:c>
      <x:c r="R18" s="10">
        <x:v>0.38541666666666669</x:v>
      </x:c>
      <x:c r="S18" s="4">
        <x:f t="shared" si="9"/>
        <x:v>1.9166666666666665</x:v>
      </x:c>
      <x:c r="T18" s="6" t="s">
        <x:v>261</x:v>
      </x:c>
      <x:c r="U18" s="6"/>
      <x:c r="V18" s="6"/>
      <x:c r="W18" s="19" t="s">
        <x:v>262</x:v>
      </x:c>
      <x:c r="X18" s="6"/>
      <x:c r="Y18" s="6"/>
      <x:c r="Z18" s="6"/>
      <x:c r="AA18" s="6"/>
      <x:c r="AB18" s="6"/>
      <x:c r="AC18" s="10"/>
      <x:c r="AD18" s="10"/>
      <x:c r="AE18" s="4" t="str">
        <x:f t="shared" si="1"/>
      </x:c>
      <x:c r="AF18" s="4" t="str">
        <x:f t="shared" si="2"/>
      </x:c>
      <x:c r="AG18" s="4" t="str">
        <x:f t="shared" si="3"/>
      </x:c>
      <x:c r="AH18" s="11">
        <x:f t="shared" si="4"/>
        <x:v>0</x:v>
      </x:c>
      <x:c r="AI18" s="4" t="str">
        <x:f t="shared" si="5"/>
      </x:c>
      <x:c r="AJ18" s="4">
        <x:f t="shared" si="6"/>
        <x:v>18.782608695652176</x:v>
      </x:c>
      <x:c r="AK18" s="4">
        <x:f t="shared" si="7"/>
        <x:v>0</x:v>
      </x:c>
      <x:c r="AL18" s="11">
        <x:f t="shared" si="8"/>
        <x:v>0</x:v>
      </x:c>
      <x:c r="AM18" s="6"/>
      <x:c r="AN18" s="6"/>
    </x:row>
    <x:row r="19">
      <x:c r="A19" s="3"/>
      <x:c r="B19" s="28">
        <x:v>46272</x:v>
      </x:c>
      <x:c r="C19" s="36">
        <x:v>5</x:v>
      </x:c>
      <x:c r="D19" s="6" t="s">
        <x:v>139</x:v>
      </x:c>
      <x:c r="E19" s="3" t="n">
        <x:f>IF(D19="","",IFERROR(VLOOKUP(D19,'Base Sectores'!$A$5:$J$47,2,FALSE),""))</x:f>
        <x:v>9</x:v>
      </x:c>
      <x:c r="F19" s="40" t="str">
        <x:f>IF(D19="","",IFERROR(VLOOKUP(D19,'Base Sectores'!$A$5:$J$47,3,FALSE),""))</x:f>
        <x:v>MzaB</x:v>
      </x:c>
      <x:c r="G19" s="3" t="str">
        <x:f>IF(D19="","",IFERROR(VLOOKUP(D19,'Base Sectores'!$A$5:$J$47,4,FALSE),""))</x:f>
        <x:v>Pasaje 2</x:v>
      </x:c>
      <x:c r="H19" s="3" t="str">
        <x:f>IF(D19="","",IFERROR(VLOOKUP(D19,'Base Sectores'!$A$5:$J$47,5,FALSE),""))</x:f>
        <x:v>N21</x:v>
      </x:c>
      <x:c r="I19" s="3" t="str">
        <x:f>IF(D19="","",IFERROR(VLOOKUP(D19,'Base Sectores'!$A$5:$J$47,6,FALSE),""))</x:f>
        <x:v>N22</x:v>
      </x:c>
      <x:c r="J19" s="3" t="str">
        <x:f>IF(D19="","",IFERROR(VLOOKUP(D19,'Base Sectores'!$A$5:$J$47,7,FALSE),""))</x:f>
        <x:v>N21-N22</x:v>
      </x:c>
      <x:c r="K19" s="3" t="str">
        <x:f>IF(D19="","",IFERROR(VLOOKUP(D19,'Base Sectores'!$A$5:$J$47,9,FALSE),""))</x:f>
        <x:v>Ø110</x:v>
      </x:c>
      <x:c r="L19" s="6" t="s">
        <x:v>34</x:v>
      </x:c>
      <x:c r="M19" s="3" t="str">
        <x:f>IF(L19="","",IFERROR(VLOOKUP(L19,Configuracion!$D$4:$H$15,2,FALSE),""))</x:f>
        <x:v>Cama de asiento compactada</x:v>
      </x:c>
      <x:c r="N19" s="3" t="str">
        <x:f>IF(L19="","",IFERROR(VLOOKUP(L19,Configuracion!$D$4:$H$15,3,FALSE),""))</x:f>
        <x:v>ml</x:v>
      </x:c>
      <x:c r="O19" s="6">
        <x:v>28</x:v>
      </x:c>
      <x:c r="P19" s="3" t="n">
        <x:f>IF(L19="","",IFERROR(VLOOKUP(L19,Configuracion!$D$4:$H$15,4,FALSE),0))</x:f>
        <x:v>80</x:v>
      </x:c>
      <x:c r="Q19" s="10">
        <x:v>0.30555555555555558</x:v>
      </x:c>
      <x:c r="R19" s="10">
        <x:v>0.38541666666666669</x:v>
      </x:c>
      <x:c r="S19" s="4">
        <x:f t="shared" si="9"/>
        <x:v>1.9166666666666665</x:v>
      </x:c>
      <x:c r="T19" s="6" t="s">
        <x:v>261</x:v>
      </x:c>
      <x:c r="U19" s="6"/>
      <x:c r="V19" s="6"/>
      <x:c r="W19" s="19" t="s">
        <x:v>262</x:v>
      </x:c>
      <x:c r="X19" s="6"/>
      <x:c r="Y19" s="6"/>
      <x:c r="Z19" s="6"/>
      <x:c r="AA19" s="6"/>
      <x:c r="AB19" s="6"/>
      <x:c r="AC19" s="10"/>
      <x:c r="AD19" s="10"/>
      <x:c r="AE19" s="4" t="str">
        <x:f t="shared" si="1"/>
      </x:c>
      <x:c r="AF19" s="4" t="str">
        <x:f t="shared" si="2"/>
      </x:c>
      <x:c r="AG19" s="4" t="str">
        <x:f t="shared" si="3"/>
      </x:c>
      <x:c r="AH19" s="11">
        <x:f t="shared" si="4"/>
        <x:v>0</x:v>
      </x:c>
      <x:c r="AI19" s="4" t="str">
        <x:f t="shared" si="5"/>
      </x:c>
      <x:c r="AJ19" s="4">
        <x:f t="shared" si="6"/>
        <x:v>14.608695652173914</x:v>
      </x:c>
      <x:c r="AK19" s="4">
        <x:f t="shared" si="7"/>
        <x:v>0</x:v>
      </x:c>
      <x:c r="AL19" s="11">
        <x:f t="shared" si="8"/>
        <x:v>0</x:v>
      </x:c>
      <x:c r="AM19" s="6"/>
      <x:c r="AN19" s="6"/>
    </x:row>
    <x:row r="20">
      <x:c r="A20" s="3"/>
      <x:c r="B20" s="28">
        <x:v>46272</x:v>
      </x:c>
      <x:c r="C20" s="36">
        <x:v>5</x:v>
      </x:c>
      <x:c r="D20" s="6" t="s">
        <x:v>132</x:v>
      </x:c>
      <x:c r="E20" s="3" t="n">
        <x:f>IF(D20="","",IFERROR(VLOOKUP(D20,'Base Sectores'!$A$5:$J$47,2,FALSE),""))</x:f>
        <x:v>7</x:v>
      </x:c>
      <x:c r="F20" s="40" t="str">
        <x:f>IF(D20="","",IFERROR(VLOOKUP(D20,'Base Sectores'!$A$5:$J$47,3,FALSE),""))</x:f>
        <x:v>MzaB</x:v>
      </x:c>
      <x:c r="G20" s="3" t="str">
        <x:f>IF(D20="","",IFERROR(VLOOKUP(D20,'Base Sectores'!$A$5:$J$47,4,FALSE),""))</x:f>
        <x:v>Pasaje 5</x:v>
      </x:c>
      <x:c r="H20" s="3" t="str">
        <x:f>IF(D20="","",IFERROR(VLOOKUP(D20,'Base Sectores'!$A$5:$J$47,5,FALSE),""))</x:f>
        <x:v>N28</x:v>
      </x:c>
      <x:c r="I20" s="3" t="str">
        <x:f>IF(D20="","",IFERROR(VLOOKUP(D20,'Base Sectores'!$A$5:$J$47,6,FALSE),""))</x:f>
        <x:v>N21</x:v>
      </x:c>
      <x:c r="J20" s="3" t="str">
        <x:f>IF(D20="","",IFERROR(VLOOKUP(D20,'Base Sectores'!$A$5:$J$47,7,FALSE),""))</x:f>
        <x:v>N28-N21</x:v>
      </x:c>
      <x:c r="K20" s="3" t="str">
        <x:f>IF(D20="","",IFERROR(VLOOKUP(D20,'Base Sectores'!$A$5:$J$47,9,FALSE),""))</x:f>
        <x:v>Ø75</x:v>
      </x:c>
      <x:c r="L20" s="6" t="s">
        <x:v>34</x:v>
      </x:c>
      <x:c r="M20" s="3" t="str">
        <x:f>IF(L20="","",IFERROR(VLOOKUP(L20,Configuracion!$D$4:$H$15,2,FALSE),""))</x:f>
        <x:v>Cama de asiento compactada</x:v>
      </x:c>
      <x:c r="N20" s="3" t="str">
        <x:f>IF(L20="","",IFERROR(VLOOKUP(L20,Configuracion!$D$4:$H$15,3,FALSE),""))</x:f>
        <x:v>ml</x:v>
      </x:c>
      <x:c r="O20" s="6">
        <x:v>24</x:v>
      </x:c>
      <x:c r="P20" s="3" t="n">
        <x:f>IF(L20="","",IFERROR(VLOOKUP(L20,Configuracion!$D$4:$H$15,4,FALSE),0))</x:f>
        <x:v>80</x:v>
      </x:c>
      <x:c r="Q20" s="10">
        <x:v>0.30555555555555558</x:v>
      </x:c>
      <x:c r="R20" s="10">
        <x:v>0.38541666666666669</x:v>
      </x:c>
      <x:c r="S20" s="4">
        <x:f t="shared" si="9"/>
        <x:v>1.9166666666666665</x:v>
      </x:c>
      <x:c r="T20" s="6" t="s">
        <x:v>261</x:v>
      </x:c>
      <x:c r="U20" s="6"/>
      <x:c r="V20" s="6"/>
      <x:c r="W20" s="19" t="s">
        <x:v>262</x:v>
      </x:c>
      <x:c r="X20" s="6"/>
      <x:c r="Y20" s="6"/>
      <x:c r="Z20" s="6"/>
      <x:c r="AA20" s="6"/>
      <x:c r="AB20" s="6"/>
      <x:c r="AC20" s="10"/>
      <x:c r="AD20" s="10"/>
      <x:c r="AE20" s="4" t="str">
        <x:f t="shared" si="1"/>
      </x:c>
      <x:c r="AF20" s="4" t="str">
        <x:f t="shared" si="2"/>
      </x:c>
      <x:c r="AG20" s="4" t="str">
        <x:f t="shared" si="3"/>
      </x:c>
      <x:c r="AH20" s="11">
        <x:f t="shared" si="4"/>
        <x:v>0</x:v>
      </x:c>
      <x:c r="AI20" s="4" t="str">
        <x:f t="shared" si="5"/>
      </x:c>
      <x:c r="AJ20" s="4">
        <x:f t="shared" si="6"/>
        <x:v>12.521739130434783</x:v>
      </x:c>
      <x:c r="AK20" s="4">
        <x:f t="shared" si="7"/>
        <x:v>0</x:v>
      </x:c>
      <x:c r="AL20" s="11">
        <x:f t="shared" si="8"/>
        <x:v>0</x:v>
      </x:c>
      <x:c r="AM20" s="6"/>
      <x:c r="AN20" s="6"/>
    </x:row>
    <x:row r="21">
      <x:c r="A21" s="3"/>
      <x:c r="B21" s="28">
        <x:v>46272</x:v>
      </x:c>
      <x:c r="C21" s="36">
        <x:v>5</x:v>
      </x:c>
      <x:c r="D21" s="6" t="s">
        <x:v>128</x:v>
      </x:c>
      <x:c r="E21" s="3" t="n">
        <x:f>IF(D21="","",IFERROR(VLOOKUP(D21,'Base Sectores'!$A$5:$J$47,2,FALSE),""))</x:f>
        <x:v>6</x:v>
      </x:c>
      <x:c r="F21" s="40" t="str">
        <x:f>IF(D21="","",IFERROR(VLOOKUP(D21,'Base Sectores'!$A$5:$J$47,3,FALSE),""))</x:f>
        <x:v>MzaB</x:v>
      </x:c>
      <x:c r="G21" s="3" t="str">
        <x:f>IF(D21="","",IFERROR(VLOOKUP(D21,'Base Sectores'!$A$5:$J$47,4,FALSE),""))</x:f>
        <x:v>Pasaje 8</x:v>
      </x:c>
      <x:c r="H21" s="3" t="str">
        <x:f>IF(D21="","",IFERROR(VLOOKUP(D21,'Base Sectores'!$A$5:$J$47,5,FALSE),""))</x:f>
        <x:v>N29</x:v>
      </x:c>
      <x:c r="I21" s="3" t="str">
        <x:f>IF(D21="","",IFERROR(VLOOKUP(D21,'Base Sectores'!$A$5:$J$47,6,FALSE),""))</x:f>
        <x:v>N28</x:v>
      </x:c>
      <x:c r="J21" s="3" t="str">
        <x:f>IF(D21="","",IFERROR(VLOOKUP(D21,'Base Sectores'!$A$5:$J$47,7,FALSE),""))</x:f>
        <x:v>N29-N28</x:v>
      </x:c>
      <x:c r="K21" s="3" t="str">
        <x:f>IF(D21="","",IFERROR(VLOOKUP(D21,'Base Sectores'!$A$5:$J$47,9,FALSE),""))</x:f>
        <x:v>Ø75</x:v>
      </x:c>
      <x:c r="L21" s="6" t="s">
        <x:v>34</x:v>
      </x:c>
      <x:c r="M21" s="3" t="str">
        <x:f>IF(L21="","",IFERROR(VLOOKUP(L21,Configuracion!$D$4:$H$15,2,FALSE),""))</x:f>
        <x:v>Cama de asiento compactada</x:v>
      </x:c>
      <x:c r="N21" s="3" t="str">
        <x:f>IF(L21="","",IFERROR(VLOOKUP(L21,Configuracion!$D$4:$H$15,3,FALSE),""))</x:f>
        <x:v>ml</x:v>
      </x:c>
      <x:c r="O21" s="6">
        <x:v>16</x:v>
      </x:c>
      <x:c r="P21" s="3" t="n">
        <x:f>IF(L21="","",IFERROR(VLOOKUP(L21,Configuracion!$D$4:$H$15,4,FALSE),0))</x:f>
        <x:v>80</x:v>
      </x:c>
      <x:c r="Q21" s="10">
        <x:v>0.30555555555555558</x:v>
      </x:c>
      <x:c r="R21" s="10">
        <x:v>0.38541666666666669</x:v>
      </x:c>
      <x:c r="S21" s="4">
        <x:f t="shared" si="9"/>
        <x:v>1.9166666666666665</x:v>
      </x:c>
      <x:c r="T21" s="6" t="s">
        <x:v>261</x:v>
      </x:c>
      <x:c r="U21" s="6"/>
      <x:c r="V21" s="6"/>
      <x:c r="W21" s="19" t="s">
        <x:v>262</x:v>
      </x:c>
      <x:c r="X21" s="6"/>
      <x:c r="Y21" s="6"/>
      <x:c r="Z21" s="6"/>
      <x:c r="AA21" s="6"/>
      <x:c r="AB21" s="6"/>
      <x:c r="AC21" s="10"/>
      <x:c r="AD21" s="10"/>
      <x:c r="AE21" s="4" t="str">
        <x:f t="shared" si="1"/>
      </x:c>
      <x:c r="AF21" s="4" t="str">
        <x:f t="shared" si="2"/>
      </x:c>
      <x:c r="AG21" s="4" t="str">
        <x:f t="shared" si="3"/>
      </x:c>
      <x:c r="AH21" s="11">
        <x:f t="shared" si="4"/>
        <x:v>0</x:v>
      </x:c>
      <x:c r="AI21" s="4" t="str">
        <x:f t="shared" si="5"/>
      </x:c>
      <x:c r="AJ21" s="4">
        <x:f t="shared" si="6"/>
        <x:v>8.3478260869565215</x:v>
      </x:c>
      <x:c r="AK21" s="4">
        <x:f t="shared" si="7"/>
        <x:v>0</x:v>
      </x:c>
      <x:c r="AL21" s="11">
        <x:f t="shared" si="8"/>
        <x:v>0</x:v>
      </x:c>
      <x:c r="AM21" s="6"/>
      <x:c r="AN21" s="6"/>
    </x:row>
    <x:row r="22">
      <x:c r="A22" s="3" t="str">
        <x:f>IF(OR(B22="",C22=""),"",TEXT(B22,"yyyymmdd")&amp;"-"&amp;TEXT(C22,"00"))</x:f>
        <x:v>20260907-06</x:v>
      </x:c>
      <x:c r="B22" s="28">
        <x:v>46272</x:v>
      </x:c>
      <x:c r="C22" s="36">
        <x:v>6</x:v>
      </x:c>
      <x:c r="D22" s="6" t="s">
        <x:v>155</x:v>
      </x:c>
      <x:c r="E22" s="3" t="n">
        <x:f>IF(D22="","",IFERROR(VLOOKUP(D22,'Base Sectores'!$A$5:$J$47,2,FALSE),""))</x:f>
        <x:v>14</x:v>
      </x:c>
      <x:c r="F22" s="40" t="str">
        <x:f>IF(D22="","",IFERROR(VLOOKUP(D22,'Base Sectores'!$A$5:$J$47,3,FALSE),""))</x:f>
        <x:v>MzaD</x:v>
      </x:c>
      <x:c r="G22" s="3" t="str">
        <x:f>IF(D22="","",IFERROR(VLOOKUP(D22,'Base Sectores'!$A$5:$J$47,4,FALSE),""))</x:f>
        <x:v>Pasaje 7</x:v>
      </x:c>
      <x:c r="H22" s="3" t="str">
        <x:f>IF(D22="","",IFERROR(VLOOKUP(D22,'Base Sectores'!$A$5:$J$47,5,FALSE),""))</x:f>
        <x:v>N26</x:v>
      </x:c>
      <x:c r="I22" s="3" t="str">
        <x:f>IF(D22="","",IFERROR(VLOOKUP(D22,'Base Sectores'!$A$5:$J$47,6,FALSE),""))</x:f>
        <x:v>N18</x:v>
      </x:c>
      <x:c r="J22" s="3" t="str">
        <x:f>IF(D22="","",IFERROR(VLOOKUP(D22,'Base Sectores'!$A$5:$J$47,7,FALSE),""))</x:f>
        <x:v>N26-N18</x:v>
      </x:c>
      <x:c r="K22" s="3" t="str">
        <x:f>IF(D22="","",IFERROR(VLOOKUP(D22,'Base Sectores'!$A$5:$J$47,9,FALSE),""))</x:f>
        <x:v>Ø75</x:v>
      </x:c>
      <x:c r="L22" s="6" t="s">
        <x:v>34</x:v>
      </x:c>
      <x:c r="M22" s="3" t="str">
        <x:f>IF(L22="","",IFERROR(VLOOKUP(L22,Configuracion!$D$4:$H$15,2,FALSE),""))</x:f>
        <x:v>Cama de asiento compactada</x:v>
      </x:c>
      <x:c r="N22" s="3" t="str">
        <x:f>IF(L22="","",IFERROR(VLOOKUP(L22,Configuracion!$D$4:$H$15,3,FALSE),""))</x:f>
        <x:v>ml</x:v>
      </x:c>
      <x:c r="O22" s="6">
        <x:v>14</x:v>
      </x:c>
      <x:c r="P22" s="3" t="n">
        <x:f>IF(L22="","",IFERROR(VLOOKUP(L22,Configuracion!$D$4:$H$15,4,FALSE),0))</x:f>
        <x:v>80</x:v>
      </x:c>
      <x:c r="Q22" s="10">
        <x:v>0.32291666666666669</x:v>
      </x:c>
      <x:c r="R22" s="10">
        <x:v>0.38541666666666669</x:v>
      </x:c>
      <x:c r="S22" s="4">
        <x:f t="shared" si="9"/>
        <x:v>1.5</x:v>
      </x:c>
      <x:c r="T22" s="6" t="s">
        <x:v>267</x:v>
      </x:c>
      <x:c r="U22" s="6">
        <x:v>2</x:v>
      </x:c>
      <x:c r="V22" s="6" t="s">
        <x:v>327</x:v>
      </x:c>
      <x:c r="W22" s="19" t="s">
        <x:v>262</x:v>
      </x:c>
      <x:c r="X22" s="6" t="s">
        <x:v>331</x:v>
      </x:c>
      <x:c r="Y22" s="6"/>
      <x:c r="Z22" s="6" t="s">
        <x:v>325</x:v>
      </x:c>
      <x:c r="AA22" s="6" t="s">
        <x:v>30</x:v>
      </x:c>
      <x:c r="AB22" s="6">
        <x:v>14</x:v>
      </x:c>
      <x:c r="AC22" s="10">
        <x:v>0.3263888888888889</x:v>
      </x:c>
      <x:c r="AD22" s="10">
        <x:v>0.35416666666666669</x:v>
      </x:c>
      <x:c r="AE22" s="4">
        <x:f t="shared" si="1"/>
        <x:v>0.66666666666666696</x:v>
      </x:c>
      <x:c r="AF22" s="4">
        <x:f t="shared" si="2"/>
        <x:v>3</x:v>
      </x:c>
      <x:c r="AG22" s="4">
        <x:f t="shared" si="3"/>
        <x:v>1.3333333333333339</x:v>
      </x:c>
      <x:c r="AH22" s="11">
        <x:f t="shared" si="4"/>
        <x:v>1</x:v>
      </x:c>
      <x:c r="AI22" s="4">
        <x:f t="shared" si="5"/>
        <x:v>-0.83333333333333304</x:v>
      </x:c>
      <x:c r="AJ22" s="4">
        <x:f t="shared" si="6"/>
        <x:v>9.3333333333333339</x:v>
      </x:c>
      <x:c r="AK22" s="4">
        <x:f t="shared" si="7"/>
        <x:v>20.999999999999989</x:v>
      </x:c>
      <x:c r="AL22" s="11">
        <x:f t="shared" si="8"/>
        <x:v>2.2499999999999987</x:v>
      </x:c>
      <x:c r="AM22" s="6"/>
      <x:c r="AN22" s="6"/>
    </x:row>
    <x:row r="23">
      <x:c r="A23" s="3" t="str">
        <x:f t="shared" si="0"/>
        <x:v>yyyy0907-07</x:v>
      </x:c>
      <x:c r="B23" s="28">
        <x:v>46272</x:v>
      </x:c>
      <x:c r="C23" s="36">
        <x:v>7</x:v>
      </x:c>
      <x:c r="D23" s="6" t="s">
        <x:v>151</x:v>
      </x:c>
      <x:c r="E23" s="3" t="n">
        <x:f>IF(D23="","",IFERROR(VLOOKUP(D23,'Base Sectores'!$A$5:$J$47,2,FALSE),""))</x:f>
        <x:v>13</x:v>
      </x:c>
      <x:c r="F23" s="40" t="str">
        <x:f>IF(D23="","",IFERROR(VLOOKUP(D23,'Base Sectores'!$A$5:$J$47,3,FALSE),""))</x:f>
        <x:v>MzaD</x:v>
      </x:c>
      <x:c r="G23" s="3" t="str">
        <x:f>IF(D23="","",IFERROR(VLOOKUP(D23,'Base Sectores'!$A$5:$J$47,4,FALSE),""))</x:f>
        <x:v>Pasaje 8</x:v>
      </x:c>
      <x:c r="H23" s="3" t="str">
        <x:f>IF(D23="","",IFERROR(VLOOKUP(D23,'Base Sectores'!$A$5:$J$47,5,FALSE),""))</x:f>
        <x:v>N27</x:v>
      </x:c>
      <x:c r="I23" s="3" t="str">
        <x:f>IF(D23="","",IFERROR(VLOOKUP(D23,'Base Sectores'!$A$5:$J$47,6,FALSE),""))</x:f>
        <x:v>N26</x:v>
      </x:c>
      <x:c r="J23" s="3" t="str">
        <x:f>IF(D23="","",IFERROR(VLOOKUP(D23,'Base Sectores'!$A$5:$J$47,7,FALSE),""))</x:f>
        <x:v>N27-N26</x:v>
      </x:c>
      <x:c r="K23" s="3" t="str">
        <x:f>IF(D23="","",IFERROR(VLOOKUP(D23,'Base Sectores'!$A$5:$J$47,9,FALSE),""))</x:f>
        <x:v>Ø75</x:v>
      </x:c>
      <x:c r="L23" s="6" t="s">
        <x:v>34</x:v>
      </x:c>
      <x:c r="M23" s="3" t="str">
        <x:f>IF(L23="","",IFERROR(VLOOKUP(L23,Configuracion!$D$4:$H$15,2,FALSE),""))</x:f>
        <x:v>Cama de asiento compactada</x:v>
      </x:c>
      <x:c r="N23" s="3" t="str">
        <x:f>IF(L23="","",IFERROR(VLOOKUP(L23,Configuracion!$D$4:$H$15,3,FALSE),""))</x:f>
        <x:v>ml</x:v>
      </x:c>
      <x:c r="O23" s="6">
        <x:v>81</x:v>
      </x:c>
      <x:c r="P23" s="3" t="n">
        <x:f>IF(L23="","",IFERROR(VLOOKUP(L23,Configuracion!$D$4:$H$15,4,FALSE),0))</x:f>
        <x:v>80</x:v>
      </x:c>
      <x:c r="Q23" s="10"/>
      <x:c r="R23" s="10"/>
      <x:c r="S23" s="4" t="str">
        <x:f t="shared" si="9"/>
      </x:c>
      <x:c r="T23" s="6"/>
      <x:c r="U23" s="6"/>
      <x:c r="V23" s="6"/>
      <x:c r="W23" s="19" t="s">
        <x:v>262</x:v>
      </x:c>
      <x:c r="X23" s="6"/>
      <x:c r="Y23" s="6"/>
      <x:c r="Z23" s="6"/>
      <x:c r="AA23" s="6"/>
      <x:c r="AB23" s="6"/>
      <x:c r="AC23" s="10"/>
      <x:c r="AD23" s="10"/>
      <x:c r="AE23" s="4" t="str">
        <x:f t="shared" si="1"/>
      </x:c>
      <x:c r="AF23" s="4" t="str">
        <x:f t="shared" si="2"/>
      </x:c>
      <x:c r="AG23" s="4" t="str">
        <x:f t="shared" si="3"/>
      </x:c>
      <x:c r="AH23" s="11">
        <x:f t="shared" si="4"/>
        <x:v>0</x:v>
      </x:c>
      <x:c r="AI23" s="4" t="str">
        <x:f t="shared" si="5"/>
      </x:c>
      <x:c r="AJ23" s="4">
        <x:f t="shared" si="6"/>
        <x:v>0</x:v>
      </x:c>
      <x:c r="AK23" s="4">
        <x:f t="shared" si="7"/>
        <x:v>0</x:v>
      </x:c>
      <x:c r="AL23" s="11">
        <x:f t="shared" si="8"/>
        <x:v>0</x:v>
      </x:c>
      <x:c r="AM23" s="6"/>
      <x:c r="AN23" s="6"/>
    </x:row>
    <x:row r="24">
      <x:c r="A24" s="3" t="str">
        <x:f t="shared" si="0"/>
        <x:v>yyyy0907-07</x:v>
      </x:c>
      <x:c r="B24" s="28">
        <x:v>46272</x:v>
      </x:c>
      <x:c r="C24" s="36">
        <x:v>7</x:v>
      </x:c>
      <x:c r="D24" s="6" t="s">
        <x:v>155</x:v>
      </x:c>
      <x:c r="E24" s="3" t="n">
        <x:f>IF(D24="","",IFERROR(VLOOKUP(D24,'Base Sectores'!$A$5:$J$47,2,FALSE),""))</x:f>
        <x:v>14</x:v>
      </x:c>
      <x:c r="F24" s="40" t="str">
        <x:f>IF(D24="","",IFERROR(VLOOKUP(D24,'Base Sectores'!$A$5:$J$47,3,FALSE),""))</x:f>
        <x:v>MzaD</x:v>
      </x:c>
      <x:c r="G24" s="3" t="str">
        <x:f>IF(D24="","",IFERROR(VLOOKUP(D24,'Base Sectores'!$A$5:$J$47,4,FALSE),""))</x:f>
        <x:v>Pasaje 7</x:v>
      </x:c>
      <x:c r="H24" s="3" t="str">
        <x:f>IF(D24="","",IFERROR(VLOOKUP(D24,'Base Sectores'!$A$5:$J$47,5,FALSE),""))</x:f>
        <x:v>N26</x:v>
      </x:c>
      <x:c r="I24" s="3" t="str">
        <x:f>IF(D24="","",IFERROR(VLOOKUP(D24,'Base Sectores'!$A$5:$J$47,6,FALSE),""))</x:f>
        <x:v>N18</x:v>
      </x:c>
      <x:c r="J24" s="3" t="str">
        <x:f>IF(D24="","",IFERROR(VLOOKUP(D24,'Base Sectores'!$A$5:$J$47,7,FALSE),""))</x:f>
        <x:v>N26-N18</x:v>
      </x:c>
      <x:c r="K24" s="3" t="str">
        <x:f>IF(D24="","",IFERROR(VLOOKUP(D24,'Base Sectores'!$A$5:$J$47,9,FALSE),""))</x:f>
        <x:v>Ø75</x:v>
      </x:c>
      <x:c r="L24" s="6" t="s">
        <x:v>34</x:v>
      </x:c>
      <x:c r="M24" s="3" t="str">
        <x:f>IF(L24="","",IFERROR(VLOOKUP(L24,Configuracion!$D$4:$H$15,2,FALSE),""))</x:f>
        <x:v>Cama de asiento compactada</x:v>
      </x:c>
      <x:c r="N24" s="3" t="str">
        <x:f>IF(L24="","",IFERROR(VLOOKUP(L24,Configuracion!$D$4:$H$15,3,FALSE),""))</x:f>
        <x:v>ml</x:v>
      </x:c>
      <x:c r="O24" s="6">
        <x:v>115</x:v>
      </x:c>
      <x:c r="P24" s="3" t="n">
        <x:f>IF(L24="","",IFERROR(VLOOKUP(L24,Configuracion!$D$4:$H$15,4,FALSE),0))</x:f>
        <x:v>80</x:v>
      </x:c>
      <x:c r="Q24" s="10"/>
      <x:c r="R24" s="10"/>
      <x:c r="S24" s="4" t="str">
        <x:f t="shared" si="9"/>
      </x:c>
      <x:c r="T24" s="6"/>
      <x:c r="U24" s="6"/>
      <x:c r="V24" s="6"/>
      <x:c r="W24" s="19" t="s">
        <x:v>262</x:v>
      </x:c>
      <x:c r="X24" s="6"/>
      <x:c r="Y24" s="6"/>
      <x:c r="Z24" s="6"/>
      <x:c r="AA24" s="6"/>
      <x:c r="AB24" s="6"/>
      <x:c r="AC24" s="10"/>
      <x:c r="AD24" s="10"/>
      <x:c r="AE24" s="4" t="str">
        <x:f t="shared" si="1"/>
      </x:c>
      <x:c r="AF24" s="4" t="str">
        <x:f t="shared" si="2"/>
      </x:c>
      <x:c r="AG24" s="4" t="str">
        <x:f t="shared" si="3"/>
      </x:c>
      <x:c r="AH24" s="11">
        <x:f t="shared" si="4"/>
        <x:v>0</x:v>
      </x:c>
      <x:c r="AI24" s="4" t="str">
        <x:f t="shared" si="5"/>
      </x:c>
      <x:c r="AJ24" s="4">
        <x:f t="shared" si="6"/>
        <x:v>0</x:v>
      </x:c>
      <x:c r="AK24" s="4">
        <x:f t="shared" si="7"/>
        <x:v>0</x:v>
      </x:c>
      <x:c r="AL24" s="11">
        <x:f t="shared" si="8"/>
        <x:v>0</x:v>
      </x:c>
      <x:c r="AM24" s="6"/>
      <x:c r="AN24" s="6"/>
    </x:row>
    <x:row r="25">
      <x:c r="A25" s="3" t="str">
        <x:f t="shared" si="0"/>
        <x:v>yyyy0907-07</x:v>
      </x:c>
      <x:c r="B25" s="28">
        <x:v>46272</x:v>
      </x:c>
      <x:c r="C25" s="36">
        <x:v>7</x:v>
      </x:c>
      <x:c r="D25" s="6" t="s">
        <x:v>159</x:v>
      </x:c>
      <x:c r="E25" s="3" t="n">
        <x:f>IF(D25="","",IFERROR(VLOOKUP(D25,'Base Sectores'!$A$5:$J$47,2,FALSE),""))</x:f>
        <x:v>15</x:v>
      </x:c>
      <x:c r="F25" s="40" t="str">
        <x:f>IF(D25="","",IFERROR(VLOOKUP(D25,'Base Sectores'!$A$5:$J$47,3,FALSE),""))</x:f>
        <x:v>MzaD</x:v>
      </x:c>
      <x:c r="G25" s="3" t="str">
        <x:f>IF(D25="","",IFERROR(VLOOKUP(D25,'Base Sectores'!$A$5:$J$47,4,FALSE),""))</x:f>
        <x:v>Pasaje 2</x:v>
      </x:c>
      <x:c r="H25" s="3" t="str">
        <x:f>IF(D25="","",IFERROR(VLOOKUP(D25,'Base Sectores'!$A$5:$J$47,5,FALSE),""))</x:f>
        <x:v>N18</x:v>
      </x:c>
      <x:c r="I25" s="3" t="str">
        <x:f>IF(D25="","",IFERROR(VLOOKUP(D25,'Base Sectores'!$A$5:$J$47,6,FALSE),""))</x:f>
        <x:v>N19</x:v>
      </x:c>
      <x:c r="J25" s="3" t="str">
        <x:f>IF(D25="","",IFERROR(VLOOKUP(D25,'Base Sectores'!$A$5:$J$47,7,FALSE),""))</x:f>
        <x:v>N18-N19</x:v>
      </x:c>
      <x:c r="K25" s="3" t="str">
        <x:f>IF(D25="","",IFERROR(VLOOKUP(D25,'Base Sectores'!$A$5:$J$47,9,FALSE),""))</x:f>
        <x:v>Ø110</x:v>
      </x:c>
      <x:c r="L25" s="6" t="s">
        <x:v>34</x:v>
      </x:c>
      <x:c r="M25" s="3" t="str">
        <x:f>IF(L25="","",IFERROR(VLOOKUP(L25,Configuracion!$D$4:$H$15,2,FALSE),""))</x:f>
        <x:v>Cama de asiento compactada</x:v>
      </x:c>
      <x:c r="N25" s="3" t="str">
        <x:f>IF(L25="","",IFERROR(VLOOKUP(L25,Configuracion!$D$4:$H$15,3,FALSE),""))</x:f>
        <x:v>ml</x:v>
      </x:c>
      <x:c r="O25" s="6">
        <x:v>110</x:v>
      </x:c>
      <x:c r="P25" s="3" t="n">
        <x:f>IF(L25="","",IFERROR(VLOOKUP(L25,Configuracion!$D$4:$H$15,4,FALSE),0))</x:f>
        <x:v>80</x:v>
      </x:c>
      <x:c r="Q25" s="10"/>
      <x:c r="R25" s="10"/>
      <x:c r="S25" s="4" t="str">
        <x:f t="shared" si="9"/>
      </x:c>
      <x:c r="T25" s="6"/>
      <x:c r="U25" s="6"/>
      <x:c r="V25" s="6"/>
      <x:c r="W25" s="6"/>
      <x:c r="X25" s="6"/>
      <x:c r="Y25" s="6"/>
      <x:c r="Z25" s="6"/>
      <x:c r="AA25" s="6"/>
      <x:c r="AB25" s="6"/>
      <x:c r="AC25" s="10"/>
      <x:c r="AD25" s="10"/>
      <x:c r="AE25" s="4" t="str">
        <x:f t="shared" si="1"/>
      </x:c>
      <x:c r="AF25" s="4" t="str">
        <x:f t="shared" si="2"/>
      </x:c>
      <x:c r="AG25" s="4" t="str">
        <x:f t="shared" si="3"/>
      </x:c>
      <x:c r="AH25" s="11">
        <x:f t="shared" si="4"/>
        <x:v>0</x:v>
      </x:c>
      <x:c r="AI25" s="4" t="str">
        <x:f t="shared" si="5"/>
      </x:c>
      <x:c r="AJ25" s="4">
        <x:f t="shared" si="6"/>
        <x:v>0</x:v>
      </x:c>
      <x:c r="AK25" s="4">
        <x:f t="shared" si="7"/>
        <x:v>0</x:v>
      </x:c>
      <x:c r="AL25" s="11">
        <x:f t="shared" si="8"/>
        <x:v>0</x:v>
      </x:c>
      <x:c r="AM25" s="6"/>
      <x:c r="AN25" s="6"/>
    </x:row>
    <x:row r="26">
      <x:c r="A26" s="3" t="str">
        <x:f t="shared" si="0"/>
      </x:c>
      <x:c r="B26" s="28">
        <x:v>46272</x:v>
      </x:c>
      <x:c r="C26" s="36"/>
      <x:c r="D26" s="6"/>
      <x:c r="E26" s="3" t="str">
        <x:f>IF(D26="","",IFERROR(VLOOKUP(D26,'Base Sectores'!$A$5:$J$47,2,FALSE),""))</x:f>
      </x:c>
      <x:c r="F26" s="40" t="str">
        <x:f>IF(D26="","",IFERROR(VLOOKUP(D26,'Base Sectores'!$A$5:$J$47,3,FALSE),""))</x:f>
      </x:c>
      <x:c r="G26" s="3" t="str">
        <x:f>IF(D26="","",IFERROR(VLOOKUP(D26,'Base Sectores'!$A$5:$J$47,4,FALSE),""))</x:f>
      </x:c>
      <x:c r="H26" s="3" t="str">
        <x:f>IF(D26="","",IFERROR(VLOOKUP(D26,'Base Sectores'!$A$5:$J$47,5,FALSE),""))</x:f>
      </x:c>
      <x:c r="I26" s="3" t="str">
        <x:f>IF(D26="","",IFERROR(VLOOKUP(D26,'Base Sectores'!$A$5:$J$47,6,FALSE),""))</x:f>
      </x:c>
      <x:c r="J26" s="3" t="str">
        <x:f>IF(D26="","",IFERROR(VLOOKUP(D26,'Base Sectores'!$A$5:$J$47,7,FALSE),""))</x:f>
      </x:c>
      <x:c r="K26" s="3" t="str">
        <x:f>IF(D26="","",IFERROR(VLOOKUP(D26,'Base Sectores'!$A$5:$J$47,9,FALSE),""))</x:f>
      </x:c>
      <x:c r="L26" s="6"/>
      <x:c r="M26" s="3" t="str">
        <x:f>IF(L26="","",IFERROR(VLOOKUP(L26,Configuracion!$D$4:$H$15,2,FALSE),""))</x:f>
      </x:c>
      <x:c r="N26" s="3" t="str">
        <x:f>IF(L26="","",IFERROR(VLOOKUP(L26,Configuracion!$D$4:$H$15,3,FALSE),""))</x:f>
      </x:c>
      <x:c r="O26" s="6"/>
      <x:c r="P26" s="3" t="str">
        <x:f>IF(L26="","",IFERROR(VLOOKUP(L26,Configuracion!$D$4:$H$15,4,FALSE),0))</x:f>
      </x:c>
      <x:c r="Q26" s="10"/>
      <x:c r="R26" s="10"/>
      <x:c r="S26" s="4" t="str">
        <x:f t="shared" si="9"/>
      </x:c>
      <x:c r="T26" s="6"/>
      <x:c r="U26" s="6"/>
      <x:c r="V26" s="6"/>
      <x:c r="W26" s="6"/>
      <x:c r="X26" s="6"/>
      <x:c r="Y26" s="6"/>
      <x:c r="Z26" s="6"/>
      <x:c r="AA26" s="6"/>
      <x:c r="AB26" s="6"/>
      <x:c r="AC26" s="10"/>
      <x:c r="AD26" s="10"/>
      <x:c r="AE26" s="4" t="str">
        <x:f t="shared" si="1"/>
      </x:c>
      <x:c r="AF26" s="4" t="str">
        <x:f t="shared" si="2"/>
      </x:c>
      <x:c r="AG26" s="4" t="str">
        <x:f t="shared" si="3"/>
      </x:c>
      <x:c r="AH26" s="11">
        <x:f t="shared" si="4"/>
        <x:v>0</x:v>
      </x:c>
      <x:c r="AI26" s="4" t="str">
        <x:f t="shared" si="5"/>
      </x:c>
      <x:c r="AJ26" s="4">
        <x:f t="shared" si="6"/>
        <x:v>0</x:v>
      </x:c>
      <x:c r="AK26" s="4">
        <x:f t="shared" si="7"/>
        <x:v>0</x:v>
      </x:c>
      <x:c r="AL26" s="11">
        <x:f t="shared" si="8"/>
        <x:v>0</x:v>
      </x:c>
      <x:c r="AM26" s="6"/>
      <x:c r="AN26" s="6"/>
    </x:row>
    <x:row r="27">
      <x:c r="A27" s="3" t="str">
        <x:f t="shared" si="0"/>
      </x:c>
      <x:c r="B27" s="28">
        <x:v>46272</x:v>
      </x:c>
      <x:c r="C27" s="36"/>
      <x:c r="D27" s="6"/>
      <x:c r="E27" s="3" t="str">
        <x:f>IF(D27="","",IFERROR(VLOOKUP(D27,'Base Sectores'!$A$5:$J$47,2,FALSE),""))</x:f>
      </x:c>
      <x:c r="F27" s="40" t="str">
        <x:f>IF(D27="","",IFERROR(VLOOKUP(D27,'Base Sectores'!$A$5:$J$47,3,FALSE),""))</x:f>
      </x:c>
      <x:c r="G27" s="3" t="str">
        <x:f>IF(D27="","",IFERROR(VLOOKUP(D27,'Base Sectores'!$A$5:$J$47,4,FALSE),""))</x:f>
      </x:c>
      <x:c r="H27" s="3" t="str">
        <x:f>IF(D27="","",IFERROR(VLOOKUP(D27,'Base Sectores'!$A$5:$J$47,5,FALSE),""))</x:f>
      </x:c>
      <x:c r="I27" s="3" t="str">
        <x:f>IF(D27="","",IFERROR(VLOOKUP(D27,'Base Sectores'!$A$5:$J$47,6,FALSE),""))</x:f>
      </x:c>
      <x:c r="J27" s="3" t="str">
        <x:f>IF(D27="","",IFERROR(VLOOKUP(D27,'Base Sectores'!$A$5:$J$47,7,FALSE),""))</x:f>
      </x:c>
      <x:c r="K27" s="3" t="str">
        <x:f>IF(D27="","",IFERROR(VLOOKUP(D27,'Base Sectores'!$A$5:$J$47,9,FALSE),""))</x:f>
      </x:c>
      <x:c r="L27" s="6"/>
      <x:c r="M27" s="3" t="str">
        <x:f>IF(L27="","",IFERROR(VLOOKUP(L27,Configuracion!$D$4:$H$15,2,FALSE),""))</x:f>
      </x:c>
      <x:c r="N27" s="3" t="str">
        <x:f>IF(L27="","",IFERROR(VLOOKUP(L27,Configuracion!$D$4:$H$15,3,FALSE),""))</x:f>
      </x:c>
      <x:c r="O27" s="6"/>
      <x:c r="P27" s="3" t="str">
        <x:f>IF(L27="","",IFERROR(VLOOKUP(L27,Configuracion!$D$4:$H$15,4,FALSE),0))</x:f>
      </x:c>
      <x:c r="Q27" s="10"/>
      <x:c r="R27" s="10"/>
      <x:c r="S27" s="4" t="str">
        <x:f t="shared" si="9"/>
      </x:c>
      <x:c r="T27" s="6"/>
      <x:c r="U27" s="6"/>
      <x:c r="V27" s="6"/>
      <x:c r="W27" s="6"/>
      <x:c r="X27" s="6"/>
      <x:c r="Y27" s="6"/>
      <x:c r="Z27" s="6"/>
      <x:c r="AA27" s="6"/>
      <x:c r="AB27" s="6"/>
      <x:c r="AC27" s="10"/>
      <x:c r="AD27" s="10"/>
      <x:c r="AE27" s="4" t="str">
        <x:f t="shared" si="1"/>
      </x:c>
      <x:c r="AF27" s="4" t="str">
        <x:f t="shared" si="2"/>
      </x:c>
      <x:c r="AG27" s="4" t="str">
        <x:f t="shared" si="3"/>
      </x:c>
      <x:c r="AH27" s="11">
        <x:f t="shared" si="4"/>
        <x:v>0</x:v>
      </x:c>
      <x:c r="AI27" s="4" t="str">
        <x:f t="shared" si="5"/>
      </x:c>
      <x:c r="AJ27" s="4">
        <x:f t="shared" si="6"/>
        <x:v>0</x:v>
      </x:c>
      <x:c r="AK27" s="4">
        <x:f t="shared" si="7"/>
        <x:v>0</x:v>
      </x:c>
      <x:c r="AL27" s="11">
        <x:f t="shared" si="8"/>
        <x:v>0</x:v>
      </x:c>
      <x:c r="AM27" s="6"/>
      <x:c r="AN27" s="6"/>
    </x:row>
    <x:row r="28">
      <x:c r="A28" s="3" t="str">
        <x:f t="shared" si="0"/>
      </x:c>
      <x:c r="B28" s="28">
        <x:v>46272</x:v>
      </x:c>
      <x:c r="C28" s="36"/>
      <x:c r="D28" s="6"/>
      <x:c r="E28" s="3" t="str">
        <x:f>IF(D28="","",IFERROR(VLOOKUP(D28,'Base Sectores'!$A$5:$J$47,2,FALSE),""))</x:f>
      </x:c>
      <x:c r="F28" s="40" t="str">
        <x:f>IF(D28="","",IFERROR(VLOOKUP(D28,'Base Sectores'!$A$5:$J$47,3,FALSE),""))</x:f>
      </x:c>
      <x:c r="G28" s="3" t="str">
        <x:f>IF(D28="","",IFERROR(VLOOKUP(D28,'Base Sectores'!$A$5:$J$47,4,FALSE),""))</x:f>
      </x:c>
      <x:c r="H28" s="3" t="str">
        <x:f>IF(D28="","",IFERROR(VLOOKUP(D28,'Base Sectores'!$A$5:$J$47,5,FALSE),""))</x:f>
      </x:c>
      <x:c r="I28" s="3" t="str">
        <x:f>IF(D28="","",IFERROR(VLOOKUP(D28,'Base Sectores'!$A$5:$J$47,6,FALSE),""))</x:f>
      </x:c>
      <x:c r="J28" s="3" t="str">
        <x:f>IF(D28="","",IFERROR(VLOOKUP(D28,'Base Sectores'!$A$5:$J$47,7,FALSE),""))</x:f>
      </x:c>
      <x:c r="K28" s="3" t="str">
        <x:f>IF(D28="","",IFERROR(VLOOKUP(D28,'Base Sectores'!$A$5:$J$47,9,FALSE),""))</x:f>
      </x:c>
      <x:c r="L28" s="6"/>
      <x:c r="M28" s="3" t="str">
        <x:f>IF(L28="","",IFERROR(VLOOKUP(L28,Configuracion!$D$4:$H$15,2,FALSE),""))</x:f>
      </x:c>
      <x:c r="N28" s="3" t="str">
        <x:f>IF(L28="","",IFERROR(VLOOKUP(L28,Configuracion!$D$4:$H$15,3,FALSE),""))</x:f>
      </x:c>
      <x:c r="O28" s="6"/>
      <x:c r="P28" s="3" t="str">
        <x:f>IF(L28="","",IFERROR(VLOOKUP(L28,Configuracion!$D$4:$H$15,4,FALSE),0))</x:f>
      </x:c>
      <x:c r="Q28" s="10"/>
      <x:c r="R28" s="10"/>
      <x:c r="S28" s="4" t="str">
        <x:f t="shared" si="9"/>
      </x:c>
      <x:c r="T28" s="6"/>
      <x:c r="U28" s="6"/>
      <x:c r="V28" s="6"/>
      <x:c r="W28" s="6"/>
      <x:c r="X28" s="6"/>
      <x:c r="Y28" s="6"/>
      <x:c r="Z28" s="6"/>
      <x:c r="AA28" s="6"/>
      <x:c r="AB28" s="6"/>
      <x:c r="AC28" s="10"/>
      <x:c r="AD28" s="10"/>
      <x:c r="AE28" s="4" t="str">
        <x:f t="shared" si="1"/>
      </x:c>
      <x:c r="AF28" s="4" t="str">
        <x:f t="shared" si="2"/>
      </x:c>
      <x:c r="AG28" s="4" t="str">
        <x:f t="shared" si="3"/>
      </x:c>
      <x:c r="AH28" s="11">
        <x:f t="shared" si="4"/>
        <x:v>0</x:v>
      </x:c>
      <x:c r="AI28" s="4" t="str">
        <x:f t="shared" si="5"/>
      </x:c>
      <x:c r="AJ28" s="4">
        <x:f t="shared" si="6"/>
        <x:v>0</x:v>
      </x:c>
      <x:c r="AK28" s="4">
        <x:f t="shared" si="7"/>
        <x:v>0</x:v>
      </x:c>
      <x:c r="AL28" s="11">
        <x:f t="shared" si="8"/>
        <x:v>0</x:v>
      </x:c>
      <x:c r="AM28" s="6"/>
      <x:c r="AN28" s="6"/>
    </x:row>
    <x:row r="29">
      <x:c r="A29" s="3" t="str">
        <x:f t="shared" si="0"/>
      </x:c>
      <x:c r="B29" s="28">
        <x:v>46272</x:v>
      </x:c>
      <x:c r="C29" s="36"/>
      <x:c r="D29" s="6"/>
      <x:c r="E29" s="3" t="str">
        <x:f>IF(D29="","",IFERROR(VLOOKUP(D29,'Base Sectores'!$A$5:$J$47,2,FALSE),""))</x:f>
      </x:c>
      <x:c r="F29" s="40" t="str">
        <x:f>IF(D29="","",IFERROR(VLOOKUP(D29,'Base Sectores'!$A$5:$J$47,3,FALSE),""))</x:f>
      </x:c>
      <x:c r="G29" s="3" t="str">
        <x:f>IF(D29="","",IFERROR(VLOOKUP(D29,'Base Sectores'!$A$5:$J$47,4,FALSE),""))</x:f>
      </x:c>
      <x:c r="H29" s="3" t="str">
        <x:f>IF(D29="","",IFERROR(VLOOKUP(D29,'Base Sectores'!$A$5:$J$47,5,FALSE),""))</x:f>
      </x:c>
      <x:c r="I29" s="3" t="str">
        <x:f>IF(D29="","",IFERROR(VLOOKUP(D29,'Base Sectores'!$A$5:$J$47,6,FALSE),""))</x:f>
      </x:c>
      <x:c r="J29" s="3" t="str">
        <x:f>IF(D29="","",IFERROR(VLOOKUP(D29,'Base Sectores'!$A$5:$J$47,7,FALSE),""))</x:f>
      </x:c>
      <x:c r="K29" s="3" t="str">
        <x:f>IF(D29="","",IFERROR(VLOOKUP(D29,'Base Sectores'!$A$5:$J$47,9,FALSE),""))</x:f>
      </x:c>
      <x:c r="L29" s="6"/>
      <x:c r="M29" s="3" t="str">
        <x:f>IF(L29="","",IFERROR(VLOOKUP(L29,Configuracion!$D$4:$H$15,2,FALSE),""))</x:f>
      </x:c>
      <x:c r="N29" s="3" t="str">
        <x:f>IF(L29="","",IFERROR(VLOOKUP(L29,Configuracion!$D$4:$H$15,3,FALSE),""))</x:f>
      </x:c>
      <x:c r="O29" s="6"/>
      <x:c r="P29" s="3" t="str">
        <x:f>IF(L29="","",IFERROR(VLOOKUP(L29,Configuracion!$D$4:$H$15,4,FALSE),0))</x:f>
      </x:c>
      <x:c r="Q29" s="10"/>
      <x:c r="R29" s="10"/>
      <x:c r="S29" s="4" t="str">
        <x:f t="shared" si="9"/>
      </x:c>
      <x:c r="T29" s="6"/>
      <x:c r="U29" s="6"/>
      <x:c r="V29" s="6"/>
      <x:c r="W29" s="6"/>
      <x:c r="X29" s="6"/>
      <x:c r="Y29" s="6"/>
      <x:c r="Z29" s="6"/>
      <x:c r="AA29" s="6"/>
      <x:c r="AB29" s="6"/>
      <x:c r="AC29" s="10"/>
      <x:c r="AD29" s="10"/>
      <x:c r="AE29" s="4" t="str">
        <x:f t="shared" si="1"/>
      </x:c>
      <x:c r="AF29" s="4" t="str">
        <x:f t="shared" si="2"/>
      </x:c>
      <x:c r="AG29" s="4" t="str">
        <x:f t="shared" si="3"/>
      </x:c>
      <x:c r="AH29" s="11">
        <x:f t="shared" si="4"/>
        <x:v>0</x:v>
      </x:c>
      <x:c r="AI29" s="4" t="str">
        <x:f t="shared" si="5"/>
      </x:c>
      <x:c r="AJ29" s="4">
        <x:f t="shared" si="6"/>
        <x:v>0</x:v>
      </x:c>
      <x:c r="AK29" s="4">
        <x:f t="shared" si="7"/>
        <x:v>0</x:v>
      </x:c>
      <x:c r="AL29" s="11">
        <x:f t="shared" si="8"/>
        <x:v>0</x:v>
      </x:c>
      <x:c r="AM29" s="6"/>
      <x:c r="AN29" s="6"/>
    </x:row>
    <x:row r="30">
      <x:c r="A30" s="3" t="str">
        <x:f t="shared" si="0"/>
      </x:c>
      <x:c r="B30" s="28">
        <x:v>46272</x:v>
      </x:c>
      <x:c r="C30" s="36"/>
      <x:c r="D30" s="6"/>
      <x:c r="E30" s="3" t="str">
        <x:f>IF(D30="","",IFERROR(VLOOKUP(D30,'Base Sectores'!$A$5:$J$47,2,FALSE),""))</x:f>
      </x:c>
      <x:c r="F30" s="40" t="str">
        <x:f>IF(D30="","",IFERROR(VLOOKUP(D30,'Base Sectores'!$A$5:$J$47,3,FALSE),""))</x:f>
      </x:c>
      <x:c r="G30" s="3" t="str">
        <x:f>IF(D30="","",IFERROR(VLOOKUP(D30,'Base Sectores'!$A$5:$J$47,4,FALSE),""))</x:f>
      </x:c>
      <x:c r="H30" s="3" t="str">
        <x:f>IF(D30="","",IFERROR(VLOOKUP(D30,'Base Sectores'!$A$5:$J$47,5,FALSE),""))</x:f>
      </x:c>
      <x:c r="I30" s="3" t="str">
        <x:f>IF(D30="","",IFERROR(VLOOKUP(D30,'Base Sectores'!$A$5:$J$47,6,FALSE),""))</x:f>
      </x:c>
      <x:c r="J30" s="3" t="str">
        <x:f>IF(D30="","",IFERROR(VLOOKUP(D30,'Base Sectores'!$A$5:$J$47,7,FALSE),""))</x:f>
      </x:c>
      <x:c r="K30" s="3" t="str">
        <x:f>IF(D30="","",IFERROR(VLOOKUP(D30,'Base Sectores'!$A$5:$J$47,9,FALSE),""))</x:f>
      </x:c>
      <x:c r="L30" s="6"/>
      <x:c r="M30" s="3" t="str">
        <x:f>IF(L30="","",IFERROR(VLOOKUP(L30,Configuracion!$D$4:$H$15,2,FALSE),""))</x:f>
      </x:c>
      <x:c r="N30" s="3" t="str">
        <x:f>IF(L30="","",IFERROR(VLOOKUP(L30,Configuracion!$D$4:$H$15,3,FALSE),""))</x:f>
      </x:c>
      <x:c r="O30" s="6"/>
      <x:c r="P30" s="3" t="str">
        <x:f>IF(L30="","",IFERROR(VLOOKUP(L30,Configuracion!$D$4:$H$15,4,FALSE),0))</x:f>
      </x:c>
      <x:c r="Q30" s="10"/>
      <x:c r="R30" s="10"/>
      <x:c r="S30" s="4" t="str">
        <x:f t="shared" si="9"/>
      </x:c>
      <x:c r="T30" s="6"/>
      <x:c r="U30" s="6"/>
      <x:c r="V30" s="6"/>
      <x:c r="W30" s="6"/>
      <x:c r="X30" s="6"/>
      <x:c r="Y30" s="6"/>
      <x:c r="Z30" s="6"/>
      <x:c r="AA30" s="6"/>
      <x:c r="AB30" s="6"/>
      <x:c r="AC30" s="10"/>
      <x:c r="AD30" s="10"/>
      <x:c r="AE30" s="4" t="str">
        <x:f t="shared" si="1"/>
      </x:c>
      <x:c r="AF30" s="4" t="str">
        <x:f t="shared" si="2"/>
      </x:c>
      <x:c r="AG30" s="4" t="str">
        <x:f t="shared" si="3"/>
      </x:c>
      <x:c r="AH30" s="11">
        <x:f t="shared" si="4"/>
        <x:v>0</x:v>
      </x:c>
      <x:c r="AI30" s="4" t="str">
        <x:f t="shared" si="5"/>
      </x:c>
      <x:c r="AJ30" s="4">
        <x:f t="shared" si="6"/>
        <x:v>0</x:v>
      </x:c>
      <x:c r="AK30" s="4">
        <x:f t="shared" si="7"/>
        <x:v>0</x:v>
      </x:c>
      <x:c r="AL30" s="11">
        <x:f t="shared" si="8"/>
        <x:v>0</x:v>
      </x:c>
      <x:c r="AM30" s="6"/>
      <x:c r="AN30" s="6"/>
    </x:row>
    <x:row r="31">
      <x:c r="A31" s="3" t="str">
        <x:f t="shared" si="0"/>
      </x:c>
      <x:c r="B31" s="28">
        <x:v>46272</x:v>
      </x:c>
      <x:c r="C31" s="36"/>
      <x:c r="D31" s="6"/>
      <x:c r="E31" s="3" t="str">
        <x:f>IF(D31="","",IFERROR(VLOOKUP(D31,'Base Sectores'!$A$5:$J$47,2,FALSE),""))</x:f>
      </x:c>
      <x:c r="F31" s="40" t="str">
        <x:f>IF(D31="","",IFERROR(VLOOKUP(D31,'Base Sectores'!$A$5:$J$47,3,FALSE),""))</x:f>
      </x:c>
      <x:c r="G31" s="3" t="str">
        <x:f>IF(D31="","",IFERROR(VLOOKUP(D31,'Base Sectores'!$A$5:$J$47,4,FALSE),""))</x:f>
      </x:c>
      <x:c r="H31" s="3" t="str">
        <x:f>IF(D31="","",IFERROR(VLOOKUP(D31,'Base Sectores'!$A$5:$J$47,5,FALSE),""))</x:f>
      </x:c>
      <x:c r="I31" s="3" t="str">
        <x:f>IF(D31="","",IFERROR(VLOOKUP(D31,'Base Sectores'!$A$5:$J$47,6,FALSE),""))</x:f>
      </x:c>
      <x:c r="J31" s="3" t="str">
        <x:f>IF(D31="","",IFERROR(VLOOKUP(D31,'Base Sectores'!$A$5:$J$47,7,FALSE),""))</x:f>
      </x:c>
      <x:c r="K31" s="3" t="str">
        <x:f>IF(D31="","",IFERROR(VLOOKUP(D31,'Base Sectores'!$A$5:$J$47,9,FALSE),""))</x:f>
      </x:c>
      <x:c r="L31" s="6"/>
      <x:c r="M31" s="3" t="str">
        <x:f>IF(L31="","",IFERROR(VLOOKUP(L31,Configuracion!$D$4:$H$15,2,FALSE),""))</x:f>
      </x:c>
      <x:c r="N31" s="3" t="str">
        <x:f>IF(L31="","",IFERROR(VLOOKUP(L31,Configuracion!$D$4:$H$15,3,FALSE),""))</x:f>
      </x:c>
      <x:c r="O31" s="6"/>
      <x:c r="P31" s="3" t="str">
        <x:f>IF(L31="","",IFERROR(VLOOKUP(L31,Configuracion!$D$4:$H$15,4,FALSE),0))</x:f>
      </x:c>
      <x:c r="Q31" s="10"/>
      <x:c r="R31" s="10"/>
      <x:c r="S31" s="4" t="str">
        <x:f t="shared" si="9"/>
      </x:c>
      <x:c r="T31" s="6"/>
      <x:c r="U31" s="6"/>
      <x:c r="V31" s="6"/>
      <x:c r="W31" s="6"/>
      <x:c r="X31" s="6"/>
      <x:c r="Y31" s="6"/>
      <x:c r="Z31" s="6"/>
      <x:c r="AA31" s="6"/>
      <x:c r="AB31" s="6"/>
      <x:c r="AC31" s="10"/>
      <x:c r="AD31" s="10"/>
      <x:c r="AE31" s="4" t="str">
        <x:f t="shared" si="1"/>
      </x:c>
      <x:c r="AF31" s="4" t="str">
        <x:f t="shared" si="2"/>
      </x:c>
      <x:c r="AG31" s="4" t="str">
        <x:f t="shared" si="3"/>
      </x:c>
      <x:c r="AH31" s="11">
        <x:f t="shared" si="4"/>
        <x:v>0</x:v>
      </x:c>
      <x:c r="AI31" s="4" t="str">
        <x:f t="shared" si="5"/>
      </x:c>
      <x:c r="AJ31" s="4">
        <x:f t="shared" si="6"/>
        <x:v>0</x:v>
      </x:c>
      <x:c r="AK31" s="4">
        <x:f t="shared" si="7"/>
        <x:v>0</x:v>
      </x:c>
      <x:c r="AL31" s="11">
        <x:f t="shared" si="8"/>
        <x:v>0</x:v>
      </x:c>
      <x:c r="AM31" s="6"/>
      <x:c r="AN31" s="6"/>
    </x:row>
    <x:row r="32">
      <x:c r="A32" s="3" t="str">
        <x:f t="shared" si="0"/>
      </x:c>
      <x:c r="B32" s="28">
        <x:v>46272</x:v>
      </x:c>
      <x:c r="C32" s="36"/>
      <x:c r="D32" s="6"/>
      <x:c r="E32" s="3" t="str">
        <x:f>IF(D32="","",IFERROR(VLOOKUP(D32,'Base Sectores'!$A$5:$J$47,2,FALSE),""))</x:f>
      </x:c>
      <x:c r="F32" s="40" t="str">
        <x:f>IF(D32="","",IFERROR(VLOOKUP(D32,'Base Sectores'!$A$5:$J$47,3,FALSE),""))</x:f>
      </x:c>
      <x:c r="G32" s="3" t="str">
        <x:f>IF(D32="","",IFERROR(VLOOKUP(D32,'Base Sectores'!$A$5:$J$47,4,FALSE),""))</x:f>
      </x:c>
      <x:c r="H32" s="3" t="str">
        <x:f>IF(D32="","",IFERROR(VLOOKUP(D32,'Base Sectores'!$A$5:$J$47,5,FALSE),""))</x:f>
      </x:c>
      <x:c r="I32" s="3" t="str">
        <x:f>IF(D32="","",IFERROR(VLOOKUP(D32,'Base Sectores'!$A$5:$J$47,6,FALSE),""))</x:f>
      </x:c>
      <x:c r="J32" s="3" t="str">
        <x:f>IF(D32="","",IFERROR(VLOOKUP(D32,'Base Sectores'!$A$5:$J$47,7,FALSE),""))</x:f>
      </x:c>
      <x:c r="K32" s="3" t="str">
        <x:f>IF(D32="","",IFERROR(VLOOKUP(D32,'Base Sectores'!$A$5:$J$47,9,FALSE),""))</x:f>
      </x:c>
      <x:c r="L32" s="6"/>
      <x:c r="M32" s="3" t="str">
        <x:f>IF(L32="","",IFERROR(VLOOKUP(L32,Configuracion!$D$4:$H$15,2,FALSE),""))</x:f>
      </x:c>
      <x:c r="N32" s="3" t="str">
        <x:f>IF(L32="","",IFERROR(VLOOKUP(L32,Configuracion!$D$4:$H$15,3,FALSE),""))</x:f>
      </x:c>
      <x:c r="O32" s="6"/>
      <x:c r="P32" s="3" t="str">
        <x:f>IF(L32="","",IFERROR(VLOOKUP(L32,Configuracion!$D$4:$H$15,4,FALSE),0))</x:f>
      </x:c>
      <x:c r="Q32" s="10"/>
      <x:c r="R32" s="10"/>
      <x:c r="S32" s="4" t="str">
        <x:f t="shared" si="9"/>
      </x:c>
      <x:c r="T32" s="6"/>
      <x:c r="U32" s="6"/>
      <x:c r="V32" s="6"/>
      <x:c r="W32" s="6"/>
      <x:c r="X32" s="6"/>
      <x:c r="Y32" s="6"/>
      <x:c r="Z32" s="6"/>
      <x:c r="AA32" s="6"/>
      <x:c r="AB32" s="6"/>
      <x:c r="AC32" s="10"/>
      <x:c r="AD32" s="10"/>
      <x:c r="AE32" s="4" t="str">
        <x:f t="shared" si="1"/>
      </x:c>
      <x:c r="AF32" s="4" t="str">
        <x:f t="shared" si="2"/>
      </x:c>
      <x:c r="AG32" s="4" t="str">
        <x:f t="shared" si="3"/>
      </x:c>
      <x:c r="AH32" s="11">
        <x:f t="shared" si="4"/>
        <x:v>0</x:v>
      </x:c>
      <x:c r="AI32" s="4" t="str">
        <x:f t="shared" si="5"/>
      </x:c>
      <x:c r="AJ32" s="4">
        <x:f t="shared" si="6"/>
        <x:v>0</x:v>
      </x:c>
      <x:c r="AK32" s="4">
        <x:f t="shared" si="7"/>
        <x:v>0</x:v>
      </x:c>
      <x:c r="AL32" s="11">
        <x:f t="shared" si="8"/>
        <x:v>0</x:v>
      </x:c>
      <x:c r="AM32" s="6"/>
      <x:c r="AN32" s="6"/>
    </x:row>
    <x:row r="33">
      <x:c r="A33" s="3" t="str">
        <x:f t="shared" si="0"/>
      </x:c>
      <x:c r="B33" s="28">
        <x:v>46272</x:v>
      </x:c>
      <x:c r="C33" s="36"/>
      <x:c r="D33" s="6"/>
      <x:c r="E33" s="3" t="str">
        <x:f>IF(D33="","",IFERROR(VLOOKUP(D33,'Base Sectores'!$A$5:$J$47,2,FALSE),""))</x:f>
      </x:c>
      <x:c r="F33" s="40" t="str">
        <x:f>IF(D33="","",IFERROR(VLOOKUP(D33,'Base Sectores'!$A$5:$J$47,3,FALSE),""))</x:f>
      </x:c>
      <x:c r="G33" s="3" t="str">
        <x:f>IF(D33="","",IFERROR(VLOOKUP(D33,'Base Sectores'!$A$5:$J$47,4,FALSE),""))</x:f>
      </x:c>
      <x:c r="H33" s="3" t="str">
        <x:f>IF(D33="","",IFERROR(VLOOKUP(D33,'Base Sectores'!$A$5:$J$47,5,FALSE),""))</x:f>
      </x:c>
      <x:c r="I33" s="3" t="str">
        <x:f>IF(D33="","",IFERROR(VLOOKUP(D33,'Base Sectores'!$A$5:$J$47,6,FALSE),""))</x:f>
      </x:c>
      <x:c r="J33" s="3" t="str">
        <x:f>IF(D33="","",IFERROR(VLOOKUP(D33,'Base Sectores'!$A$5:$J$47,7,FALSE),""))</x:f>
      </x:c>
      <x:c r="K33" s="3" t="str">
        <x:f>IF(D33="","",IFERROR(VLOOKUP(D33,'Base Sectores'!$A$5:$J$47,9,FALSE),""))</x:f>
      </x:c>
      <x:c r="L33" s="6"/>
      <x:c r="M33" s="3" t="str">
        <x:f>IF(L33="","",IFERROR(VLOOKUP(L33,Configuracion!$D$4:$H$15,2,FALSE),""))</x:f>
      </x:c>
      <x:c r="N33" s="3" t="str">
        <x:f>IF(L33="","",IFERROR(VLOOKUP(L33,Configuracion!$D$4:$H$15,3,FALSE),""))</x:f>
      </x:c>
      <x:c r="O33" s="6"/>
      <x:c r="P33" s="3" t="str">
        <x:f>IF(L33="","",IFERROR(VLOOKUP(L33,Configuracion!$D$4:$H$15,4,FALSE),0))</x:f>
      </x:c>
      <x:c r="Q33" s="10"/>
      <x:c r="R33" s="10"/>
      <x:c r="S33" s="4" t="str">
        <x:f t="shared" si="9"/>
      </x:c>
      <x:c r="T33" s="6"/>
      <x:c r="U33" s="6"/>
      <x:c r="V33" s="6"/>
      <x:c r="W33" s="6"/>
      <x:c r="X33" s="6"/>
      <x:c r="Y33" s="6"/>
      <x:c r="Z33" s="6"/>
      <x:c r="AA33" s="6"/>
      <x:c r="AB33" s="6"/>
      <x:c r="AC33" s="10"/>
      <x:c r="AD33" s="10"/>
      <x:c r="AE33" s="4" t="str">
        <x:f t="shared" si="1"/>
      </x:c>
      <x:c r="AF33" s="4" t="str">
        <x:f t="shared" si="2"/>
      </x:c>
      <x:c r="AG33" s="4" t="str">
        <x:f t="shared" si="3"/>
      </x:c>
      <x:c r="AH33" s="11">
        <x:f t="shared" si="4"/>
        <x:v>0</x:v>
      </x:c>
      <x:c r="AI33" s="4" t="str">
        <x:f t="shared" si="5"/>
      </x:c>
      <x:c r="AJ33" s="4">
        <x:f t="shared" si="6"/>
        <x:v>0</x:v>
      </x:c>
      <x:c r="AK33" s="4">
        <x:f t="shared" si="7"/>
        <x:v>0</x:v>
      </x:c>
      <x:c r="AL33" s="11">
        <x:f t="shared" si="8"/>
        <x:v>0</x:v>
      </x:c>
      <x:c r="AM33" s="6"/>
      <x:c r="AN33" s="6"/>
    </x:row>
    <x:row r="34">
      <x:c r="A34" s="3" t="str">
        <x:f t="shared" si="0"/>
      </x:c>
      <x:c r="B34" s="28">
        <x:v>46272</x:v>
      </x:c>
      <x:c r="C34" s="36"/>
      <x:c r="D34" s="6"/>
      <x:c r="E34" s="3" t="str">
        <x:f>IF(D34="","",IFERROR(VLOOKUP(D34,'Base Sectores'!$A$5:$J$47,2,FALSE),""))</x:f>
      </x:c>
      <x:c r="F34" s="40" t="str">
        <x:f>IF(D34="","",IFERROR(VLOOKUP(D34,'Base Sectores'!$A$5:$J$47,3,FALSE),""))</x:f>
      </x:c>
      <x:c r="G34" s="3" t="str">
        <x:f>IF(D34="","",IFERROR(VLOOKUP(D34,'Base Sectores'!$A$5:$J$47,4,FALSE),""))</x:f>
      </x:c>
      <x:c r="H34" s="3" t="str">
        <x:f>IF(D34="","",IFERROR(VLOOKUP(D34,'Base Sectores'!$A$5:$J$47,5,FALSE),""))</x:f>
      </x:c>
      <x:c r="I34" s="3" t="str">
        <x:f>IF(D34="","",IFERROR(VLOOKUP(D34,'Base Sectores'!$A$5:$J$47,6,FALSE),""))</x:f>
      </x:c>
      <x:c r="J34" s="3" t="str">
        <x:f>IF(D34="","",IFERROR(VLOOKUP(D34,'Base Sectores'!$A$5:$J$47,7,FALSE),""))</x:f>
      </x:c>
      <x:c r="K34" s="3" t="str">
        <x:f>IF(D34="","",IFERROR(VLOOKUP(D34,'Base Sectores'!$A$5:$J$47,9,FALSE),""))</x:f>
      </x:c>
      <x:c r="L34" s="6"/>
      <x:c r="M34" s="3" t="str">
        <x:f>IF(L34="","",IFERROR(VLOOKUP(L34,Configuracion!$D$4:$H$15,2,FALSE),""))</x:f>
      </x:c>
      <x:c r="N34" s="3" t="str">
        <x:f>IF(L34="","",IFERROR(VLOOKUP(L34,Configuracion!$D$4:$H$15,3,FALSE),""))</x:f>
      </x:c>
      <x:c r="O34" s="6"/>
      <x:c r="P34" s="3" t="str">
        <x:f>IF(L34="","",IFERROR(VLOOKUP(L34,Configuracion!$D$4:$H$15,4,FALSE),0))</x:f>
      </x:c>
      <x:c r="Q34" s="10"/>
      <x:c r="R34" s="10"/>
      <x:c r="S34" s="4" t="str">
        <x:f t="shared" si="9"/>
      </x:c>
      <x:c r="T34" s="6"/>
      <x:c r="U34" s="6"/>
      <x:c r="V34" s="6"/>
      <x:c r="W34" s="6"/>
      <x:c r="X34" s="6"/>
      <x:c r="Y34" s="6"/>
      <x:c r="Z34" s="6"/>
      <x:c r="AA34" s="6"/>
      <x:c r="AB34" s="6"/>
      <x:c r="AC34" s="10"/>
      <x:c r="AD34" s="10"/>
      <x:c r="AE34" s="4" t="str">
        <x:f t="shared" si="1"/>
      </x:c>
      <x:c r="AF34" s="4" t="str">
        <x:f t="shared" si="2"/>
      </x:c>
      <x:c r="AG34" s="4" t="str">
        <x:f t="shared" si="3"/>
      </x:c>
      <x:c r="AH34" s="11">
        <x:f t="shared" si="4"/>
        <x:v>0</x:v>
      </x:c>
      <x:c r="AI34" s="4" t="str">
        <x:f t="shared" si="5"/>
      </x:c>
      <x:c r="AJ34" s="4">
        <x:f t="shared" si="6"/>
        <x:v>0</x:v>
      </x:c>
      <x:c r="AK34" s="4">
        <x:f t="shared" si="7"/>
        <x:v>0</x:v>
      </x:c>
      <x:c r="AL34" s="11">
        <x:f t="shared" si="8"/>
        <x:v>0</x:v>
      </x:c>
      <x:c r="AM34" s="6"/>
      <x:c r="AN34" s="6"/>
    </x:row>
    <x:row r="35">
      <x:c r="A35" s="3" t="str">
        <x:f t="shared" si="0"/>
      </x:c>
      <x:c r="B35" s="9"/>
      <x:c r="C35" s="36"/>
      <x:c r="D35" s="6"/>
      <x:c r="E35" s="3" t="str">
        <x:f>IF(D35="","",IFERROR(VLOOKUP(D35,'Base Sectores'!$A$5:$J$47,2,FALSE),""))</x:f>
      </x:c>
      <x:c r="F35" s="40" t="str">
        <x:f>IF(D35="","",IFERROR(VLOOKUP(D35,'Base Sectores'!$A$5:$J$47,3,FALSE),""))</x:f>
      </x:c>
      <x:c r="G35" s="3" t="str">
        <x:f>IF(D35="","",IFERROR(VLOOKUP(D35,'Base Sectores'!$A$5:$J$47,4,FALSE),""))</x:f>
      </x:c>
      <x:c r="H35" s="3" t="str">
        <x:f>IF(D35="","",IFERROR(VLOOKUP(D35,'Base Sectores'!$A$5:$J$47,5,FALSE),""))</x:f>
      </x:c>
      <x:c r="I35" s="3" t="str">
        <x:f>IF(D35="","",IFERROR(VLOOKUP(D35,'Base Sectores'!$A$5:$J$47,6,FALSE),""))</x:f>
      </x:c>
      <x:c r="J35" s="3" t="str">
        <x:f>IF(D35="","",IFERROR(VLOOKUP(D35,'Base Sectores'!$A$5:$J$47,7,FALSE),""))</x:f>
      </x:c>
      <x:c r="K35" s="3" t="str">
        <x:f>IF(D35="","",IFERROR(VLOOKUP(D35,'Base Sectores'!$A$5:$J$47,9,FALSE),""))</x:f>
      </x:c>
      <x:c r="L35" s="6"/>
      <x:c r="M35" s="3" t="str">
        <x:f>IF(L35="","",IFERROR(VLOOKUP(L35,Configuracion!$D$4:$H$15,2,FALSE),""))</x:f>
      </x:c>
      <x:c r="N35" s="3" t="str">
        <x:f>IF(L35="","",IFERROR(VLOOKUP(L35,Configuracion!$D$4:$H$15,3,FALSE),""))</x:f>
      </x:c>
      <x:c r="O35" s="6"/>
      <x:c r="P35" s="3" t="str">
        <x:f>IF(L35="","",IFERROR(VLOOKUP(L35,Configuracion!$D$4:$H$15,4,FALSE),0))</x:f>
      </x:c>
      <x:c r="Q35" s="10"/>
      <x:c r="R35" s="10"/>
      <x:c r="S35" s="4" t="str">
        <x:f t="shared" si="9"/>
      </x:c>
      <x:c r="T35" s="6"/>
      <x:c r="U35" s="6"/>
      <x:c r="V35" s="6"/>
      <x:c r="W35" s="6"/>
      <x:c r="X35" s="6"/>
      <x:c r="Y35" s="6"/>
      <x:c r="Z35" s="6"/>
      <x:c r="AA35" s="6"/>
      <x:c r="AB35" s="6"/>
      <x:c r="AC35" s="10"/>
      <x:c r="AD35" s="10"/>
      <x:c r="AE35" s="4" t="str">
        <x:f t="shared" si="1"/>
      </x:c>
      <x:c r="AF35" s="4" t="str">
        <x:f t="shared" si="2"/>
      </x:c>
      <x:c r="AG35" s="4" t="str">
        <x:f t="shared" si="3"/>
      </x:c>
      <x:c r="AH35" s="11">
        <x:f t="shared" si="4"/>
        <x:v>0</x:v>
      </x:c>
      <x:c r="AI35" s="4" t="str">
        <x:f t="shared" si="5"/>
      </x:c>
      <x:c r="AJ35" s="4">
        <x:f t="shared" si="6"/>
        <x:v>0</x:v>
      </x:c>
      <x:c r="AK35" s="4">
        <x:f t="shared" si="7"/>
        <x:v>0</x:v>
      </x:c>
      <x:c r="AL35" s="11">
        <x:f t="shared" si="8"/>
        <x:v>0</x:v>
      </x:c>
      <x:c r="AM35" s="6"/>
      <x:c r="AN35" s="6"/>
    </x:row>
    <x:row r="36">
      <x:c r="A36" s="3" t="str">
        <x:f t="shared" si="0"/>
      </x:c>
      <x:c r="B36" s="9"/>
      <x:c r="C36" s="36"/>
      <x:c r="D36" s="6"/>
      <x:c r="E36" s="3" t="str">
        <x:f>IF(D36="","",IFERROR(VLOOKUP(D36,'Base Sectores'!$A$5:$J$47,2,FALSE),""))</x:f>
      </x:c>
      <x:c r="F36" s="40" t="str">
        <x:f>IF(D36="","",IFERROR(VLOOKUP(D36,'Base Sectores'!$A$5:$J$47,3,FALSE),""))</x:f>
      </x:c>
      <x:c r="G36" s="3" t="str">
        <x:f>IF(D36="","",IFERROR(VLOOKUP(D36,'Base Sectores'!$A$5:$J$47,4,FALSE),""))</x:f>
      </x:c>
      <x:c r="H36" s="3" t="str">
        <x:f>IF(D36="","",IFERROR(VLOOKUP(D36,'Base Sectores'!$A$5:$J$47,5,FALSE),""))</x:f>
      </x:c>
      <x:c r="I36" s="3" t="str">
        <x:f>IF(D36="","",IFERROR(VLOOKUP(D36,'Base Sectores'!$A$5:$J$47,6,FALSE),""))</x:f>
      </x:c>
      <x:c r="J36" s="3" t="str">
        <x:f>IF(D36="","",IFERROR(VLOOKUP(D36,'Base Sectores'!$A$5:$J$47,7,FALSE),""))</x:f>
      </x:c>
      <x:c r="K36" s="3" t="str">
        <x:f>IF(D36="","",IFERROR(VLOOKUP(D36,'Base Sectores'!$A$5:$J$47,9,FALSE),""))</x:f>
      </x:c>
      <x:c r="L36" s="6"/>
      <x:c r="M36" s="3" t="str">
        <x:f>IF(L36="","",IFERROR(VLOOKUP(L36,Configuracion!$D$4:$H$15,2,FALSE),""))</x:f>
      </x:c>
      <x:c r="N36" s="3" t="str">
        <x:f>IF(L36="","",IFERROR(VLOOKUP(L36,Configuracion!$D$4:$H$15,3,FALSE),""))</x:f>
      </x:c>
      <x:c r="O36" s="6"/>
      <x:c r="P36" s="3" t="str">
        <x:f>IF(L36="","",IFERROR(VLOOKUP(L36,Configuracion!$D$4:$H$15,4,FALSE),0))</x:f>
      </x:c>
      <x:c r="Q36" s="10"/>
      <x:c r="R36" s="10"/>
      <x:c r="S36" s="4" t="str">
        <x:f t="shared" si="9"/>
      </x:c>
      <x:c r="T36" s="6"/>
      <x:c r="U36" s="6"/>
      <x:c r="V36" s="6"/>
      <x:c r="W36" s="6"/>
      <x:c r="X36" s="6"/>
      <x:c r="Y36" s="6"/>
      <x:c r="Z36" s="6"/>
      <x:c r="AA36" s="6"/>
      <x:c r="AB36" s="6"/>
      <x:c r="AC36" s="10"/>
      <x:c r="AD36" s="10"/>
      <x:c r="AE36" s="4" t="str">
        <x:f t="shared" si="1"/>
      </x:c>
      <x:c r="AF36" s="4" t="str">
        <x:f t="shared" si="2"/>
      </x:c>
      <x:c r="AG36" s="4" t="str">
        <x:f t="shared" si="3"/>
      </x:c>
      <x:c r="AH36" s="11">
        <x:f t="shared" si="4"/>
        <x:v>0</x:v>
      </x:c>
      <x:c r="AI36" s="4" t="str">
        <x:f t="shared" si="5"/>
      </x:c>
      <x:c r="AJ36" s="4">
        <x:f t="shared" si="6"/>
        <x:v>0</x:v>
      </x:c>
      <x:c r="AK36" s="4">
        <x:f t="shared" si="7"/>
        <x:v>0</x:v>
      </x:c>
      <x:c r="AL36" s="11">
        <x:f t="shared" si="8"/>
        <x:v>0</x:v>
      </x:c>
      <x:c r="AM36" s="6"/>
      <x:c r="AN36" s="6"/>
    </x:row>
    <x:row r="37">
      <x:c r="A37" s="3" t="str">
        <x:f t="shared" si="0"/>
      </x:c>
      <x:c r="B37" s="9"/>
      <x:c r="C37" s="36"/>
      <x:c r="D37" s="6"/>
      <x:c r="E37" s="3" t="str">
        <x:f>IF(D37="","",IFERROR(VLOOKUP(D37,'Base Sectores'!$A$5:$J$47,2,FALSE),""))</x:f>
      </x:c>
      <x:c r="F37" s="40" t="str">
        <x:f>IF(D37="","",IFERROR(VLOOKUP(D37,'Base Sectores'!$A$5:$J$47,3,FALSE),""))</x:f>
      </x:c>
      <x:c r="G37" s="3" t="str">
        <x:f>IF(D37="","",IFERROR(VLOOKUP(D37,'Base Sectores'!$A$5:$J$47,4,FALSE),""))</x:f>
      </x:c>
      <x:c r="H37" s="3" t="str">
        <x:f>IF(D37="","",IFERROR(VLOOKUP(D37,'Base Sectores'!$A$5:$J$47,5,FALSE),""))</x:f>
      </x:c>
      <x:c r="I37" s="3" t="str">
        <x:f>IF(D37="","",IFERROR(VLOOKUP(D37,'Base Sectores'!$A$5:$J$47,6,FALSE),""))</x:f>
      </x:c>
      <x:c r="J37" s="3" t="str">
        <x:f>IF(D37="","",IFERROR(VLOOKUP(D37,'Base Sectores'!$A$5:$J$47,7,FALSE),""))</x:f>
      </x:c>
      <x:c r="K37" s="3" t="str">
        <x:f>IF(D37="","",IFERROR(VLOOKUP(D37,'Base Sectores'!$A$5:$J$47,9,FALSE),""))</x:f>
      </x:c>
      <x:c r="L37" s="6"/>
      <x:c r="M37" s="3" t="str">
        <x:f>IF(L37="","",IFERROR(VLOOKUP(L37,Configuracion!$D$4:$H$15,2,FALSE),""))</x:f>
      </x:c>
      <x:c r="N37" s="3" t="str">
        <x:f>IF(L37="","",IFERROR(VLOOKUP(L37,Configuracion!$D$4:$H$15,3,FALSE),""))</x:f>
      </x:c>
      <x:c r="O37" s="6"/>
      <x:c r="P37" s="3" t="str">
        <x:f>IF(L37="","",IFERROR(VLOOKUP(L37,Configuracion!$D$4:$H$15,4,FALSE),0))</x:f>
      </x:c>
      <x:c r="Q37" s="10"/>
      <x:c r="R37" s="10"/>
      <x:c r="S37" s="4" t="str">
        <x:f t="shared" si="9"/>
      </x:c>
      <x:c r="T37" s="6"/>
      <x:c r="U37" s="6"/>
      <x:c r="V37" s="6"/>
      <x:c r="W37" s="6"/>
      <x:c r="X37" s="6"/>
      <x:c r="Y37" s="6"/>
      <x:c r="Z37" s="6"/>
      <x:c r="AA37" s="6"/>
      <x:c r="AB37" s="6"/>
      <x:c r="AC37" s="10"/>
      <x:c r="AD37" s="10"/>
      <x:c r="AE37" s="4" t="str">
        <x:f t="shared" si="1"/>
      </x:c>
      <x:c r="AF37" s="4" t="str">
        <x:f t="shared" si="2"/>
      </x:c>
      <x:c r="AG37" s="4" t="str">
        <x:f t="shared" si="3"/>
      </x:c>
      <x:c r="AH37" s="11">
        <x:f t="shared" si="4"/>
        <x:v>0</x:v>
      </x:c>
      <x:c r="AI37" s="4" t="str">
        <x:f t="shared" si="5"/>
      </x:c>
      <x:c r="AJ37" s="4">
        <x:f t="shared" si="6"/>
        <x:v>0</x:v>
      </x:c>
      <x:c r="AK37" s="4">
        <x:f t="shared" si="7"/>
        <x:v>0</x:v>
      </x:c>
      <x:c r="AL37" s="11">
        <x:f t="shared" si="8"/>
        <x:v>0</x:v>
      </x:c>
      <x:c r="AM37" s="6"/>
      <x:c r="AN37" s="6"/>
    </x:row>
    <x:row r="38">
      <x:c r="A38" s="3" t="str">
        <x:f t="shared" si="0"/>
      </x:c>
      <x:c r="B38" s="9"/>
      <x:c r="C38" s="36"/>
      <x:c r="D38" s="6"/>
      <x:c r="E38" s="3" t="str">
        <x:f>IF(D38="","",IFERROR(VLOOKUP(D38,'Base Sectores'!$A$5:$J$47,2,FALSE),""))</x:f>
      </x:c>
      <x:c r="F38" s="40" t="str">
        <x:f>IF(D38="","",IFERROR(VLOOKUP(D38,'Base Sectores'!$A$5:$J$47,3,FALSE),""))</x:f>
      </x:c>
      <x:c r="G38" s="3" t="str">
        <x:f>IF(D38="","",IFERROR(VLOOKUP(D38,'Base Sectores'!$A$5:$J$47,4,FALSE),""))</x:f>
      </x:c>
      <x:c r="H38" s="3" t="str">
        <x:f>IF(D38="","",IFERROR(VLOOKUP(D38,'Base Sectores'!$A$5:$J$47,5,FALSE),""))</x:f>
      </x:c>
      <x:c r="I38" s="3" t="str">
        <x:f>IF(D38="","",IFERROR(VLOOKUP(D38,'Base Sectores'!$A$5:$J$47,6,FALSE),""))</x:f>
      </x:c>
      <x:c r="J38" s="3" t="str">
        <x:f>IF(D38="","",IFERROR(VLOOKUP(D38,'Base Sectores'!$A$5:$J$47,7,FALSE),""))</x:f>
      </x:c>
      <x:c r="K38" s="3" t="str">
        <x:f>IF(D38="","",IFERROR(VLOOKUP(D38,'Base Sectores'!$A$5:$J$47,9,FALSE),""))</x:f>
      </x:c>
      <x:c r="L38" s="6"/>
      <x:c r="M38" s="3" t="str">
        <x:f>IF(L38="","",IFERROR(VLOOKUP(L38,Configuracion!$D$4:$H$15,2,FALSE),""))</x:f>
      </x:c>
      <x:c r="N38" s="3" t="str">
        <x:f>IF(L38="","",IFERROR(VLOOKUP(L38,Configuracion!$D$4:$H$15,3,FALSE),""))</x:f>
      </x:c>
      <x:c r="O38" s="6"/>
      <x:c r="P38" s="3" t="str">
        <x:f>IF(L38="","",IFERROR(VLOOKUP(L38,Configuracion!$D$4:$H$15,4,FALSE),0))</x:f>
      </x:c>
      <x:c r="Q38" s="10"/>
      <x:c r="R38" s="10"/>
      <x:c r="S38" s="4" t="str">
        <x:f t="shared" si="9"/>
      </x:c>
      <x:c r="T38" s="6"/>
      <x:c r="U38" s="6"/>
      <x:c r="V38" s="6"/>
      <x:c r="W38" s="6"/>
      <x:c r="X38" s="6"/>
      <x:c r="Y38" s="6"/>
      <x:c r="Z38" s="6"/>
      <x:c r="AA38" s="6"/>
      <x:c r="AB38" s="6"/>
      <x:c r="AC38" s="10"/>
      <x:c r="AD38" s="10"/>
      <x:c r="AE38" s="4" t="str">
        <x:f t="shared" si="1"/>
      </x:c>
      <x:c r="AF38" s="4" t="str">
        <x:f t="shared" si="2"/>
      </x:c>
      <x:c r="AG38" s="4" t="str">
        <x:f t="shared" si="3"/>
      </x:c>
      <x:c r="AH38" s="11">
        <x:f t="shared" si="4"/>
        <x:v>0</x:v>
      </x:c>
      <x:c r="AI38" s="4" t="str">
        <x:f t="shared" si="5"/>
      </x:c>
      <x:c r="AJ38" s="4">
        <x:f t="shared" si="6"/>
        <x:v>0</x:v>
      </x:c>
      <x:c r="AK38" s="4">
        <x:f t="shared" si="7"/>
        <x:v>0</x:v>
      </x:c>
      <x:c r="AL38" s="11">
        <x:f t="shared" si="8"/>
        <x:v>0</x:v>
      </x:c>
      <x:c r="AM38" s="6"/>
      <x:c r="AN38" s="6"/>
    </x:row>
    <x:row r="39">
      <x:c r="A39" s="3" t="str">
        <x:f t="shared" si="0"/>
      </x:c>
      <x:c r="B39" s="9"/>
      <x:c r="C39" s="36"/>
      <x:c r="D39" s="6"/>
      <x:c r="E39" s="3" t="str">
        <x:f>IF(D39="","",IFERROR(VLOOKUP(D39,'Base Sectores'!$A$5:$J$47,2,FALSE),""))</x:f>
      </x:c>
      <x:c r="F39" s="40" t="str">
        <x:f>IF(D39="","",IFERROR(VLOOKUP(D39,'Base Sectores'!$A$5:$J$47,3,FALSE),""))</x:f>
      </x:c>
      <x:c r="G39" s="3" t="str">
        <x:f>IF(D39="","",IFERROR(VLOOKUP(D39,'Base Sectores'!$A$5:$J$47,4,FALSE),""))</x:f>
      </x:c>
      <x:c r="H39" s="3" t="str">
        <x:f>IF(D39="","",IFERROR(VLOOKUP(D39,'Base Sectores'!$A$5:$J$47,5,FALSE),""))</x:f>
      </x:c>
      <x:c r="I39" s="3" t="str">
        <x:f>IF(D39="","",IFERROR(VLOOKUP(D39,'Base Sectores'!$A$5:$J$47,6,FALSE),""))</x:f>
      </x:c>
      <x:c r="J39" s="3" t="str">
        <x:f>IF(D39="","",IFERROR(VLOOKUP(D39,'Base Sectores'!$A$5:$J$47,7,FALSE),""))</x:f>
      </x:c>
      <x:c r="K39" s="3" t="str">
        <x:f>IF(D39="","",IFERROR(VLOOKUP(D39,'Base Sectores'!$A$5:$J$47,9,FALSE),""))</x:f>
      </x:c>
      <x:c r="L39" s="6"/>
      <x:c r="M39" s="3" t="str">
        <x:f>IF(L39="","",IFERROR(VLOOKUP(L39,Configuracion!$D$4:$H$15,2,FALSE),""))</x:f>
      </x:c>
      <x:c r="N39" s="3" t="str">
        <x:f>IF(L39="","",IFERROR(VLOOKUP(L39,Configuracion!$D$4:$H$15,3,FALSE),""))</x:f>
      </x:c>
      <x:c r="O39" s="6"/>
      <x:c r="P39" s="3" t="str">
        <x:f>IF(L39="","",IFERROR(VLOOKUP(L39,Configuracion!$D$4:$H$15,4,FALSE),0))</x:f>
      </x:c>
      <x:c r="Q39" s="10"/>
      <x:c r="R39" s="10"/>
      <x:c r="S39" s="4" t="str">
        <x:f t="shared" si="9"/>
      </x:c>
      <x:c r="T39" s="6"/>
      <x:c r="U39" s="6"/>
      <x:c r="V39" s="6"/>
      <x:c r="W39" s="6"/>
      <x:c r="X39" s="6"/>
      <x:c r="Y39" s="6"/>
      <x:c r="Z39" s="6"/>
      <x:c r="AA39" s="6"/>
      <x:c r="AB39" s="6"/>
      <x:c r="AC39" s="10"/>
      <x:c r="AD39" s="10"/>
      <x:c r="AE39" s="4" t="str">
        <x:f t="shared" si="1"/>
      </x:c>
      <x:c r="AF39" s="4" t="str">
        <x:f t="shared" si="2"/>
      </x:c>
      <x:c r="AG39" s="4" t="str">
        <x:f t="shared" si="3"/>
      </x:c>
      <x:c r="AH39" s="11">
        <x:f t="shared" si="4"/>
        <x:v>0</x:v>
      </x:c>
      <x:c r="AI39" s="4" t="str">
        <x:f t="shared" si="5"/>
      </x:c>
      <x:c r="AJ39" s="4">
        <x:f t="shared" si="6"/>
        <x:v>0</x:v>
      </x:c>
      <x:c r="AK39" s="4">
        <x:f t="shared" si="7"/>
        <x:v>0</x:v>
      </x:c>
      <x:c r="AL39" s="11">
        <x:f t="shared" si="8"/>
        <x:v>0</x:v>
      </x:c>
      <x:c r="AM39" s="6"/>
      <x:c r="AN39" s="6"/>
    </x:row>
    <x:row r="40">
      <x:c r="A40" s="3" t="str">
        <x:f t="shared" si="0"/>
      </x:c>
      <x:c r="B40" s="9"/>
      <x:c r="C40" s="36"/>
      <x:c r="D40" s="6"/>
      <x:c r="E40" s="3" t="str">
        <x:f>IF(D40="","",IFERROR(VLOOKUP(D40,'Base Sectores'!$A$5:$J$47,2,FALSE),""))</x:f>
      </x:c>
      <x:c r="F40" s="40" t="str">
        <x:f>IF(D40="","",IFERROR(VLOOKUP(D40,'Base Sectores'!$A$5:$J$47,3,FALSE),""))</x:f>
      </x:c>
      <x:c r="G40" s="3" t="str">
        <x:f>IF(D40="","",IFERROR(VLOOKUP(D40,'Base Sectores'!$A$5:$J$47,4,FALSE),""))</x:f>
      </x:c>
      <x:c r="H40" s="3" t="str">
        <x:f>IF(D40="","",IFERROR(VLOOKUP(D40,'Base Sectores'!$A$5:$J$47,5,FALSE),""))</x:f>
      </x:c>
      <x:c r="I40" s="3" t="str">
        <x:f>IF(D40="","",IFERROR(VLOOKUP(D40,'Base Sectores'!$A$5:$J$47,6,FALSE),""))</x:f>
      </x:c>
      <x:c r="J40" s="3" t="str">
        <x:f>IF(D40="","",IFERROR(VLOOKUP(D40,'Base Sectores'!$A$5:$J$47,7,FALSE),""))</x:f>
      </x:c>
      <x:c r="K40" s="3" t="str">
        <x:f>IF(D40="","",IFERROR(VLOOKUP(D40,'Base Sectores'!$A$5:$J$47,9,FALSE),""))</x:f>
      </x:c>
      <x:c r="L40" s="6"/>
      <x:c r="M40" s="3" t="str">
        <x:f>IF(L40="","",IFERROR(VLOOKUP(L40,Configuracion!$D$4:$H$15,2,FALSE),""))</x:f>
      </x:c>
      <x:c r="N40" s="3" t="str">
        <x:f>IF(L40="","",IFERROR(VLOOKUP(L40,Configuracion!$D$4:$H$15,3,FALSE),""))</x:f>
      </x:c>
      <x:c r="O40" s="6"/>
      <x:c r="P40" s="3" t="str">
        <x:f>IF(L40="","",IFERROR(VLOOKUP(L40,Configuracion!$D$4:$H$15,4,FALSE),0))</x:f>
      </x:c>
      <x:c r="Q40" s="10"/>
      <x:c r="R40" s="10"/>
      <x:c r="S40" s="4" t="str">
        <x:f t="shared" si="9"/>
      </x:c>
      <x:c r="T40" s="6"/>
      <x:c r="U40" s="6"/>
      <x:c r="V40" s="6"/>
      <x:c r="W40" s="6"/>
      <x:c r="X40" s="6"/>
      <x:c r="Y40" s="6"/>
      <x:c r="Z40" s="6"/>
      <x:c r="AA40" s="6"/>
      <x:c r="AB40" s="6"/>
      <x:c r="AC40" s="10"/>
      <x:c r="AD40" s="10"/>
      <x:c r="AE40" s="4" t="str">
        <x:f t="shared" si="1"/>
      </x:c>
      <x:c r="AF40" s="4" t="str">
        <x:f t="shared" si="2"/>
      </x:c>
      <x:c r="AG40" s="4" t="str">
        <x:f t="shared" si="3"/>
      </x:c>
      <x:c r="AH40" s="11">
        <x:f t="shared" si="4"/>
        <x:v>0</x:v>
      </x:c>
      <x:c r="AI40" s="4" t="str">
        <x:f t="shared" si="5"/>
      </x:c>
      <x:c r="AJ40" s="4">
        <x:f t="shared" si="6"/>
        <x:v>0</x:v>
      </x:c>
      <x:c r="AK40" s="4">
        <x:f t="shared" si="7"/>
        <x:v>0</x:v>
      </x:c>
      <x:c r="AL40" s="11">
        <x:f t="shared" si="8"/>
        <x:v>0</x:v>
      </x:c>
      <x:c r="AM40" s="6"/>
      <x:c r="AN40" s="6"/>
    </x:row>
    <x:row r="41">
      <x:c r="A41" s="3" t="str">
        <x:f t="shared" si="0"/>
      </x:c>
      <x:c r="B41" s="9"/>
      <x:c r="C41" s="36"/>
      <x:c r="D41" s="6"/>
      <x:c r="E41" s="3" t="str">
        <x:f>IF(D41="","",IFERROR(VLOOKUP(D41,'Base Sectores'!$A$5:$J$47,2,FALSE),""))</x:f>
      </x:c>
      <x:c r="F41" s="40" t="str">
        <x:f>IF(D41="","",IFERROR(VLOOKUP(D41,'Base Sectores'!$A$5:$J$47,3,FALSE),""))</x:f>
      </x:c>
      <x:c r="G41" s="3" t="str">
        <x:f>IF(D41="","",IFERROR(VLOOKUP(D41,'Base Sectores'!$A$5:$J$47,4,FALSE),""))</x:f>
      </x:c>
      <x:c r="H41" s="3" t="str">
        <x:f>IF(D41="","",IFERROR(VLOOKUP(D41,'Base Sectores'!$A$5:$J$47,5,FALSE),""))</x:f>
      </x:c>
      <x:c r="I41" s="3" t="str">
        <x:f>IF(D41="","",IFERROR(VLOOKUP(D41,'Base Sectores'!$A$5:$J$47,6,FALSE),""))</x:f>
      </x:c>
      <x:c r="J41" s="3" t="str">
        <x:f>IF(D41="","",IFERROR(VLOOKUP(D41,'Base Sectores'!$A$5:$J$47,7,FALSE),""))</x:f>
      </x:c>
      <x:c r="K41" s="3" t="str">
        <x:f>IF(D41="","",IFERROR(VLOOKUP(D41,'Base Sectores'!$A$5:$J$47,9,FALSE),""))</x:f>
      </x:c>
      <x:c r="L41" s="6"/>
      <x:c r="M41" s="3" t="str">
        <x:f>IF(L41="","",IFERROR(VLOOKUP(L41,Configuracion!$D$4:$H$15,2,FALSE),""))</x:f>
      </x:c>
      <x:c r="N41" s="3" t="str">
        <x:f>IF(L41="","",IFERROR(VLOOKUP(L41,Configuracion!$D$4:$H$15,3,FALSE),""))</x:f>
      </x:c>
      <x:c r="O41" s="6"/>
      <x:c r="P41" s="3" t="str">
        <x:f>IF(L41="","",IFERROR(VLOOKUP(L41,Configuracion!$D$4:$H$15,4,FALSE),0))</x:f>
      </x:c>
      <x:c r="Q41" s="10"/>
      <x:c r="R41" s="10"/>
      <x:c r="S41" s="4" t="str">
        <x:f t="shared" si="9"/>
      </x:c>
      <x:c r="T41" s="6"/>
      <x:c r="U41" s="6"/>
      <x:c r="V41" s="6"/>
      <x:c r="W41" s="6"/>
      <x:c r="X41" s="6"/>
      <x:c r="Y41" s="6"/>
      <x:c r="Z41" s="6"/>
      <x:c r="AA41" s="6"/>
      <x:c r="AB41" s="6"/>
      <x:c r="AC41" s="10"/>
      <x:c r="AD41" s="10"/>
      <x:c r="AE41" s="4" t="str">
        <x:f t="shared" si="1"/>
      </x:c>
      <x:c r="AF41" s="4" t="str">
        <x:f t="shared" si="2"/>
      </x:c>
      <x:c r="AG41" s="4" t="str">
        <x:f t="shared" si="3"/>
      </x:c>
      <x:c r="AH41" s="11">
        <x:f t="shared" si="4"/>
        <x:v>0</x:v>
      </x:c>
      <x:c r="AI41" s="4" t="str">
        <x:f t="shared" si="5"/>
      </x:c>
      <x:c r="AJ41" s="4">
        <x:f t="shared" si="6"/>
        <x:v>0</x:v>
      </x:c>
      <x:c r="AK41" s="4">
        <x:f t="shared" si="7"/>
        <x:v>0</x:v>
      </x:c>
      <x:c r="AL41" s="11">
        <x:f t="shared" si="8"/>
        <x:v>0</x:v>
      </x:c>
      <x:c r="AM41" s="6"/>
      <x:c r="AN41" s="6"/>
    </x:row>
    <x:row r="42">
      <x:c r="A42" s="3" t="str">
        <x:f t="shared" si="0"/>
      </x:c>
      <x:c r="B42" s="9"/>
      <x:c r="C42" s="36"/>
      <x:c r="D42" s="6"/>
      <x:c r="E42" s="3" t="str">
        <x:f>IF(D42="","",IFERROR(VLOOKUP(D42,'Base Sectores'!$A$5:$J$47,2,FALSE),""))</x:f>
      </x:c>
      <x:c r="F42" s="40" t="str">
        <x:f>IF(D42="","",IFERROR(VLOOKUP(D42,'Base Sectores'!$A$5:$J$47,3,FALSE),""))</x:f>
      </x:c>
      <x:c r="G42" s="3" t="str">
        <x:f>IF(D42="","",IFERROR(VLOOKUP(D42,'Base Sectores'!$A$5:$J$47,4,FALSE),""))</x:f>
      </x:c>
      <x:c r="H42" s="3" t="str">
        <x:f>IF(D42="","",IFERROR(VLOOKUP(D42,'Base Sectores'!$A$5:$J$47,5,FALSE),""))</x:f>
      </x:c>
      <x:c r="I42" s="3" t="str">
        <x:f>IF(D42="","",IFERROR(VLOOKUP(D42,'Base Sectores'!$A$5:$J$47,6,FALSE),""))</x:f>
      </x:c>
      <x:c r="J42" s="3" t="str">
        <x:f>IF(D42="","",IFERROR(VLOOKUP(D42,'Base Sectores'!$A$5:$J$47,7,FALSE),""))</x:f>
      </x:c>
      <x:c r="K42" s="3" t="str">
        <x:f>IF(D42="","",IFERROR(VLOOKUP(D42,'Base Sectores'!$A$5:$J$47,9,FALSE),""))</x:f>
      </x:c>
      <x:c r="L42" s="6"/>
      <x:c r="M42" s="3" t="str">
        <x:f>IF(L42="","",IFERROR(VLOOKUP(L42,Configuracion!$D$4:$H$15,2,FALSE),""))</x:f>
      </x:c>
      <x:c r="N42" s="3" t="str">
        <x:f>IF(L42="","",IFERROR(VLOOKUP(L42,Configuracion!$D$4:$H$15,3,FALSE),""))</x:f>
      </x:c>
      <x:c r="O42" s="6"/>
      <x:c r="P42" s="3" t="str">
        <x:f>IF(L42="","",IFERROR(VLOOKUP(L42,Configuracion!$D$4:$H$15,4,FALSE),0))</x:f>
      </x:c>
      <x:c r="Q42" s="10"/>
      <x:c r="R42" s="10"/>
      <x:c r="S42" s="4" t="str">
        <x:f t="shared" si="9"/>
      </x:c>
      <x:c r="T42" s="6"/>
      <x:c r="U42" s="6"/>
      <x:c r="V42" s="6"/>
      <x:c r="W42" s="6"/>
      <x:c r="X42" s="6"/>
      <x:c r="Y42" s="6"/>
      <x:c r="Z42" s="6"/>
      <x:c r="AA42" s="6"/>
      <x:c r="AB42" s="6"/>
      <x:c r="AC42" s="10"/>
      <x:c r="AD42" s="10"/>
      <x:c r="AE42" s="4" t="str">
        <x:f t="shared" si="1"/>
      </x:c>
      <x:c r="AF42" s="4" t="str">
        <x:f t="shared" si="2"/>
      </x:c>
      <x:c r="AG42" s="4" t="str">
        <x:f t="shared" si="3"/>
      </x:c>
      <x:c r="AH42" s="11">
        <x:f t="shared" si="4"/>
        <x:v>0</x:v>
      </x:c>
      <x:c r="AI42" s="4" t="str">
        <x:f t="shared" si="5"/>
      </x:c>
      <x:c r="AJ42" s="4">
        <x:f t="shared" si="6"/>
        <x:v>0</x:v>
      </x:c>
      <x:c r="AK42" s="4">
        <x:f t="shared" si="7"/>
        <x:v>0</x:v>
      </x:c>
      <x:c r="AL42" s="11">
        <x:f t="shared" si="8"/>
        <x:v>0</x:v>
      </x:c>
      <x:c r="AM42" s="6"/>
      <x:c r="AN42" s="6"/>
    </x:row>
    <x:row r="43">
      <x:c r="A43" s="3" t="str">
        <x:f t="shared" si="0"/>
      </x:c>
      <x:c r="B43" s="9"/>
      <x:c r="C43" s="36"/>
      <x:c r="D43" s="6"/>
      <x:c r="E43" s="3" t="str">
        <x:f>IF(D43="","",IFERROR(VLOOKUP(D43,'Base Sectores'!$A$5:$J$47,2,FALSE),""))</x:f>
      </x:c>
      <x:c r="F43" s="40" t="str">
        <x:f>IF(D43="","",IFERROR(VLOOKUP(D43,'Base Sectores'!$A$5:$J$47,3,FALSE),""))</x:f>
      </x:c>
      <x:c r="G43" s="3" t="str">
        <x:f>IF(D43="","",IFERROR(VLOOKUP(D43,'Base Sectores'!$A$5:$J$47,4,FALSE),""))</x:f>
      </x:c>
      <x:c r="H43" s="3" t="str">
        <x:f>IF(D43="","",IFERROR(VLOOKUP(D43,'Base Sectores'!$A$5:$J$47,5,FALSE),""))</x:f>
      </x:c>
      <x:c r="I43" s="3" t="str">
        <x:f>IF(D43="","",IFERROR(VLOOKUP(D43,'Base Sectores'!$A$5:$J$47,6,FALSE),""))</x:f>
      </x:c>
      <x:c r="J43" s="3" t="str">
        <x:f>IF(D43="","",IFERROR(VLOOKUP(D43,'Base Sectores'!$A$5:$J$47,7,FALSE),""))</x:f>
      </x:c>
      <x:c r="K43" s="3" t="str">
        <x:f>IF(D43="","",IFERROR(VLOOKUP(D43,'Base Sectores'!$A$5:$J$47,9,FALSE),""))</x:f>
      </x:c>
      <x:c r="L43" s="6"/>
      <x:c r="M43" s="3" t="str">
        <x:f>IF(L43="","",IFERROR(VLOOKUP(L43,Configuracion!$D$4:$H$15,2,FALSE),""))</x:f>
      </x:c>
      <x:c r="N43" s="3" t="str">
        <x:f>IF(L43="","",IFERROR(VLOOKUP(L43,Configuracion!$D$4:$H$15,3,FALSE),""))</x:f>
      </x:c>
      <x:c r="O43" s="6"/>
      <x:c r="P43" s="3" t="str">
        <x:f>IF(L43="","",IFERROR(VLOOKUP(L43,Configuracion!$D$4:$H$15,4,FALSE),0))</x:f>
      </x:c>
      <x:c r="Q43" s="10"/>
      <x:c r="R43" s="10"/>
      <x:c r="S43" s="4" t="str">
        <x:f t="shared" si="9"/>
      </x:c>
      <x:c r="T43" s="6"/>
      <x:c r="U43" s="6"/>
      <x:c r="V43" s="6"/>
      <x:c r="W43" s="6"/>
      <x:c r="X43" s="6"/>
      <x:c r="Y43" s="6"/>
      <x:c r="Z43" s="6"/>
      <x:c r="AA43" s="6"/>
      <x:c r="AB43" s="6"/>
      <x:c r="AC43" s="10"/>
      <x:c r="AD43" s="10"/>
      <x:c r="AE43" s="4" t="str">
        <x:f t="shared" si="1"/>
      </x:c>
      <x:c r="AF43" s="4" t="str">
        <x:f t="shared" si="2"/>
      </x:c>
      <x:c r="AG43" s="4" t="str">
        <x:f t="shared" si="3"/>
      </x:c>
      <x:c r="AH43" s="11">
        <x:f t="shared" si="4"/>
        <x:v>0</x:v>
      </x:c>
      <x:c r="AI43" s="4" t="str">
        <x:f t="shared" si="5"/>
      </x:c>
      <x:c r="AJ43" s="4">
        <x:f t="shared" si="6"/>
        <x:v>0</x:v>
      </x:c>
      <x:c r="AK43" s="4">
        <x:f t="shared" si="7"/>
        <x:v>0</x:v>
      </x:c>
      <x:c r="AL43" s="11">
        <x:f t="shared" si="8"/>
        <x:v>0</x:v>
      </x:c>
      <x:c r="AM43" s="6"/>
      <x:c r="AN43" s="6"/>
    </x:row>
    <x:row r="44">
      <x:c r="A44" s="3" t="str">
        <x:f t="shared" si="0"/>
      </x:c>
      <x:c r="B44" s="9"/>
      <x:c r="C44" s="36"/>
      <x:c r="D44" s="6"/>
      <x:c r="E44" s="3" t="str">
        <x:f>IF(D44="","",IFERROR(VLOOKUP(D44,'Base Sectores'!$A$5:$J$47,2,FALSE),""))</x:f>
      </x:c>
      <x:c r="F44" s="40" t="str">
        <x:f>IF(D44="","",IFERROR(VLOOKUP(D44,'Base Sectores'!$A$5:$J$47,3,FALSE),""))</x:f>
      </x:c>
      <x:c r="G44" s="3" t="str">
        <x:f>IF(D44="","",IFERROR(VLOOKUP(D44,'Base Sectores'!$A$5:$J$47,4,FALSE),""))</x:f>
      </x:c>
      <x:c r="H44" s="3" t="str">
        <x:f>IF(D44="","",IFERROR(VLOOKUP(D44,'Base Sectores'!$A$5:$J$47,5,FALSE),""))</x:f>
      </x:c>
      <x:c r="I44" s="3" t="str">
        <x:f>IF(D44="","",IFERROR(VLOOKUP(D44,'Base Sectores'!$A$5:$J$47,6,FALSE),""))</x:f>
      </x:c>
      <x:c r="J44" s="3" t="str">
        <x:f>IF(D44="","",IFERROR(VLOOKUP(D44,'Base Sectores'!$A$5:$J$47,7,FALSE),""))</x:f>
      </x:c>
      <x:c r="K44" s="3" t="str">
        <x:f>IF(D44="","",IFERROR(VLOOKUP(D44,'Base Sectores'!$A$5:$J$47,9,FALSE),""))</x:f>
      </x:c>
      <x:c r="L44" s="6"/>
      <x:c r="M44" s="3" t="str">
        <x:f>IF(L44="","",IFERROR(VLOOKUP(L44,Configuracion!$D$4:$H$15,2,FALSE),""))</x:f>
      </x:c>
      <x:c r="N44" s="3" t="str">
        <x:f>IF(L44="","",IFERROR(VLOOKUP(L44,Configuracion!$D$4:$H$15,3,FALSE),""))</x:f>
      </x:c>
      <x:c r="O44" s="6"/>
      <x:c r="P44" s="3" t="str">
        <x:f>IF(L44="","",IFERROR(VLOOKUP(L44,Configuracion!$D$4:$H$15,4,FALSE),0))</x:f>
      </x:c>
      <x:c r="Q44" s="10"/>
      <x:c r="R44" s="10"/>
      <x:c r="S44" s="4" t="str">
        <x:f t="shared" si="9"/>
      </x:c>
      <x:c r="T44" s="6"/>
      <x:c r="U44" s="6"/>
      <x:c r="V44" s="6"/>
      <x:c r="W44" s="6"/>
      <x:c r="X44" s="6"/>
      <x:c r="Y44" s="6"/>
      <x:c r="Z44" s="6"/>
      <x:c r="AA44" s="6"/>
      <x:c r="AB44" s="6"/>
      <x:c r="AC44" s="10"/>
      <x:c r="AD44" s="10"/>
      <x:c r="AE44" s="4" t="str">
        <x:f t="shared" si="1"/>
      </x:c>
      <x:c r="AF44" s="4" t="str">
        <x:f t="shared" si="2"/>
      </x:c>
      <x:c r="AG44" s="4" t="str">
        <x:f t="shared" si="3"/>
      </x:c>
      <x:c r="AH44" s="11">
        <x:f t="shared" si="4"/>
        <x:v>0</x:v>
      </x:c>
      <x:c r="AI44" s="4" t="str">
        <x:f t="shared" si="5"/>
      </x:c>
      <x:c r="AJ44" s="4">
        <x:f t="shared" si="6"/>
        <x:v>0</x:v>
      </x:c>
      <x:c r="AK44" s="4">
        <x:f t="shared" si="7"/>
        <x:v>0</x:v>
      </x:c>
      <x:c r="AL44" s="11">
        <x:f t="shared" si="8"/>
        <x:v>0</x:v>
      </x:c>
      <x:c r="AM44" s="6"/>
      <x:c r="AN44" s="6"/>
    </x:row>
    <x:row r="45">
      <x:c r="A45" s="3" t="str">
        <x:f t="shared" si="0"/>
      </x:c>
      <x:c r="B45" s="9"/>
      <x:c r="C45" s="36"/>
      <x:c r="D45" s="6"/>
      <x:c r="E45" s="3" t="str">
        <x:f>IF(D45="","",IFERROR(VLOOKUP(D45,'Base Sectores'!$A$5:$J$47,2,FALSE),""))</x:f>
      </x:c>
      <x:c r="F45" s="40" t="str">
        <x:f>IF(D45="","",IFERROR(VLOOKUP(D45,'Base Sectores'!$A$5:$J$47,3,FALSE),""))</x:f>
      </x:c>
      <x:c r="G45" s="3" t="str">
        <x:f>IF(D45="","",IFERROR(VLOOKUP(D45,'Base Sectores'!$A$5:$J$47,4,FALSE),""))</x:f>
      </x:c>
      <x:c r="H45" s="3" t="str">
        <x:f>IF(D45="","",IFERROR(VLOOKUP(D45,'Base Sectores'!$A$5:$J$47,5,FALSE),""))</x:f>
      </x:c>
      <x:c r="I45" s="3" t="str">
        <x:f>IF(D45="","",IFERROR(VLOOKUP(D45,'Base Sectores'!$A$5:$J$47,6,FALSE),""))</x:f>
      </x:c>
      <x:c r="J45" s="3" t="str">
        <x:f>IF(D45="","",IFERROR(VLOOKUP(D45,'Base Sectores'!$A$5:$J$47,7,FALSE),""))</x:f>
      </x:c>
      <x:c r="K45" s="3" t="str">
        <x:f>IF(D45="","",IFERROR(VLOOKUP(D45,'Base Sectores'!$A$5:$J$47,9,FALSE),""))</x:f>
      </x:c>
      <x:c r="L45" s="6"/>
      <x:c r="M45" s="3" t="str">
        <x:f>IF(L45="","",IFERROR(VLOOKUP(L45,Configuracion!$D$4:$H$15,2,FALSE),""))</x:f>
      </x:c>
      <x:c r="N45" s="3" t="str">
        <x:f>IF(L45="","",IFERROR(VLOOKUP(L45,Configuracion!$D$4:$H$15,3,FALSE),""))</x:f>
      </x:c>
      <x:c r="O45" s="6"/>
      <x:c r="P45" s="3" t="str">
        <x:f>IF(L45="","",IFERROR(VLOOKUP(L45,Configuracion!$D$4:$H$15,4,FALSE),0))</x:f>
      </x:c>
      <x:c r="Q45" s="10"/>
      <x:c r="R45" s="10"/>
      <x:c r="S45" s="4" t="str">
        <x:f t="shared" si="9"/>
      </x:c>
      <x:c r="T45" s="6"/>
      <x:c r="U45" s="6"/>
      <x:c r="V45" s="6"/>
      <x:c r="W45" s="6"/>
      <x:c r="X45" s="6"/>
      <x:c r="Y45" s="6"/>
      <x:c r="Z45" s="6"/>
      <x:c r="AA45" s="6"/>
      <x:c r="AB45" s="6"/>
      <x:c r="AC45" s="10"/>
      <x:c r="AD45" s="10"/>
      <x:c r="AE45" s="4" t="str">
        <x:f t="shared" si="1"/>
      </x:c>
      <x:c r="AF45" s="4" t="str">
        <x:f t="shared" si="2"/>
      </x:c>
      <x:c r="AG45" s="4" t="str">
        <x:f t="shared" si="3"/>
      </x:c>
      <x:c r="AH45" s="11">
        <x:f t="shared" si="4"/>
        <x:v>0</x:v>
      </x:c>
      <x:c r="AI45" s="4" t="str">
        <x:f t="shared" si="5"/>
      </x:c>
      <x:c r="AJ45" s="4">
        <x:f t="shared" si="6"/>
        <x:v>0</x:v>
      </x:c>
      <x:c r="AK45" s="4">
        <x:f t="shared" si="7"/>
        <x:v>0</x:v>
      </x:c>
      <x:c r="AL45" s="11">
        <x:f t="shared" si="8"/>
        <x:v>0</x:v>
      </x:c>
      <x:c r="AM45" s="6"/>
      <x:c r="AN45" s="6"/>
    </x:row>
    <x:row r="46">
      <x:c r="A46" s="3" t="str">
        <x:f t="shared" si="0"/>
      </x:c>
      <x:c r="B46" s="9"/>
      <x:c r="C46" s="36"/>
      <x:c r="D46" s="6"/>
      <x:c r="E46" s="3" t="str">
        <x:f>IF(D46="","",IFERROR(VLOOKUP(D46,'Base Sectores'!$A$5:$J$47,2,FALSE),""))</x:f>
      </x:c>
      <x:c r="F46" s="40" t="str">
        <x:f>IF(D46="","",IFERROR(VLOOKUP(D46,'Base Sectores'!$A$5:$J$47,3,FALSE),""))</x:f>
      </x:c>
      <x:c r="G46" s="3" t="str">
        <x:f>IF(D46="","",IFERROR(VLOOKUP(D46,'Base Sectores'!$A$5:$J$47,4,FALSE),""))</x:f>
      </x:c>
      <x:c r="H46" s="3" t="str">
        <x:f>IF(D46="","",IFERROR(VLOOKUP(D46,'Base Sectores'!$A$5:$J$47,5,FALSE),""))</x:f>
      </x:c>
      <x:c r="I46" s="3" t="str">
        <x:f>IF(D46="","",IFERROR(VLOOKUP(D46,'Base Sectores'!$A$5:$J$47,6,FALSE),""))</x:f>
      </x:c>
      <x:c r="J46" s="3" t="str">
        <x:f>IF(D46="","",IFERROR(VLOOKUP(D46,'Base Sectores'!$A$5:$J$47,7,FALSE),""))</x:f>
      </x:c>
      <x:c r="K46" s="3" t="str">
        <x:f>IF(D46="","",IFERROR(VLOOKUP(D46,'Base Sectores'!$A$5:$J$47,9,FALSE),""))</x:f>
      </x:c>
      <x:c r="L46" s="6"/>
      <x:c r="M46" s="3" t="str">
        <x:f>IF(L46="","",IFERROR(VLOOKUP(L46,Configuracion!$D$4:$H$15,2,FALSE),""))</x:f>
      </x:c>
      <x:c r="N46" s="3" t="str">
        <x:f>IF(L46="","",IFERROR(VLOOKUP(L46,Configuracion!$D$4:$H$15,3,FALSE),""))</x:f>
      </x:c>
      <x:c r="O46" s="6"/>
      <x:c r="P46" s="3" t="str">
        <x:f>IF(L46="","",IFERROR(VLOOKUP(L46,Configuracion!$D$4:$H$15,4,FALSE),0))</x:f>
      </x:c>
      <x:c r="Q46" s="10"/>
      <x:c r="R46" s="10"/>
      <x:c r="S46" s="4" t="str">
        <x:f t="shared" si="9"/>
      </x:c>
      <x:c r="T46" s="6"/>
      <x:c r="U46" s="6"/>
      <x:c r="V46" s="6"/>
      <x:c r="W46" s="6"/>
      <x:c r="X46" s="6"/>
      <x:c r="Y46" s="6"/>
      <x:c r="Z46" s="6"/>
      <x:c r="AA46" s="6"/>
      <x:c r="AB46" s="6"/>
      <x:c r="AC46" s="10"/>
      <x:c r="AD46" s="10"/>
      <x:c r="AE46" s="4" t="str">
        <x:f t="shared" si="1"/>
      </x:c>
      <x:c r="AF46" s="4" t="str">
        <x:f t="shared" si="2"/>
      </x:c>
      <x:c r="AG46" s="4" t="str">
        <x:f t="shared" si="3"/>
      </x:c>
      <x:c r="AH46" s="11">
        <x:f t="shared" si="4"/>
        <x:v>0</x:v>
      </x:c>
      <x:c r="AI46" s="4" t="str">
        <x:f t="shared" si="5"/>
      </x:c>
      <x:c r="AJ46" s="4">
        <x:f t="shared" si="6"/>
        <x:v>0</x:v>
      </x:c>
      <x:c r="AK46" s="4">
        <x:f t="shared" si="7"/>
        <x:v>0</x:v>
      </x:c>
      <x:c r="AL46" s="11">
        <x:f t="shared" si="8"/>
        <x:v>0</x:v>
      </x:c>
      <x:c r="AM46" s="6"/>
      <x:c r="AN46" s="6"/>
    </x:row>
    <x:row r="47">
      <x:c r="A47" s="3" t="str">
        <x:f t="shared" si="0"/>
      </x:c>
      <x:c r="B47" s="9"/>
      <x:c r="C47" s="36"/>
      <x:c r="D47" s="6"/>
      <x:c r="E47" s="3" t="str">
        <x:f>IF(D47="","",IFERROR(VLOOKUP(D47,'Base Sectores'!$A$5:$J$47,2,FALSE),""))</x:f>
      </x:c>
      <x:c r="F47" s="40" t="str">
        <x:f>IF(D47="","",IFERROR(VLOOKUP(D47,'Base Sectores'!$A$5:$J$47,3,FALSE),""))</x:f>
      </x:c>
      <x:c r="G47" s="3" t="str">
        <x:f>IF(D47="","",IFERROR(VLOOKUP(D47,'Base Sectores'!$A$5:$J$47,4,FALSE),""))</x:f>
      </x:c>
      <x:c r="H47" s="3" t="str">
        <x:f>IF(D47="","",IFERROR(VLOOKUP(D47,'Base Sectores'!$A$5:$J$47,5,FALSE),""))</x:f>
      </x:c>
      <x:c r="I47" s="3" t="str">
        <x:f>IF(D47="","",IFERROR(VLOOKUP(D47,'Base Sectores'!$A$5:$J$47,6,FALSE),""))</x:f>
      </x:c>
      <x:c r="J47" s="3" t="str">
        <x:f>IF(D47="","",IFERROR(VLOOKUP(D47,'Base Sectores'!$A$5:$J$47,7,FALSE),""))</x:f>
      </x:c>
      <x:c r="K47" s="3" t="str">
        <x:f>IF(D47="","",IFERROR(VLOOKUP(D47,'Base Sectores'!$A$5:$J$47,9,FALSE),""))</x:f>
      </x:c>
      <x:c r="L47" s="6"/>
      <x:c r="M47" s="3" t="str">
        <x:f>IF(L47="","",IFERROR(VLOOKUP(L47,Configuracion!$D$4:$H$15,2,FALSE),""))</x:f>
      </x:c>
      <x:c r="N47" s="3" t="str">
        <x:f>IF(L47="","",IFERROR(VLOOKUP(L47,Configuracion!$D$4:$H$15,3,FALSE),""))</x:f>
      </x:c>
      <x:c r="O47" s="6"/>
      <x:c r="P47" s="3" t="str">
        <x:f>IF(L47="","",IFERROR(VLOOKUP(L47,Configuracion!$D$4:$H$15,4,FALSE),0))</x:f>
      </x:c>
      <x:c r="Q47" s="10"/>
      <x:c r="R47" s="10"/>
      <x:c r="S47" s="4" t="str">
        <x:f t="shared" si="9"/>
      </x:c>
      <x:c r="T47" s="6"/>
      <x:c r="U47" s="6"/>
      <x:c r="V47" s="6"/>
      <x:c r="W47" s="6"/>
      <x:c r="X47" s="6"/>
      <x:c r="Y47" s="6"/>
      <x:c r="Z47" s="6"/>
      <x:c r="AA47" s="6"/>
      <x:c r="AB47" s="6"/>
      <x:c r="AC47" s="10"/>
      <x:c r="AD47" s="10"/>
      <x:c r="AE47" s="4" t="str">
        <x:f t="shared" si="1"/>
      </x:c>
      <x:c r="AF47" s="4" t="str">
        <x:f t="shared" si="2"/>
      </x:c>
      <x:c r="AG47" s="4" t="str">
        <x:f t="shared" si="3"/>
      </x:c>
      <x:c r="AH47" s="11">
        <x:f t="shared" si="4"/>
        <x:v>0</x:v>
      </x:c>
      <x:c r="AI47" s="4" t="str">
        <x:f t="shared" si="5"/>
      </x:c>
      <x:c r="AJ47" s="4">
        <x:f t="shared" si="6"/>
        <x:v>0</x:v>
      </x:c>
      <x:c r="AK47" s="4">
        <x:f t="shared" si="7"/>
        <x:v>0</x:v>
      </x:c>
      <x:c r="AL47" s="11">
        <x:f t="shared" si="8"/>
        <x:v>0</x:v>
      </x:c>
      <x:c r="AM47" s="6"/>
      <x:c r="AN47" s="6"/>
    </x:row>
    <x:row r="48">
      <x:c r="A48" s="3" t="str">
        <x:f t="shared" si="0"/>
      </x:c>
      <x:c r="B48" s="9"/>
      <x:c r="C48" s="36"/>
      <x:c r="D48" s="6"/>
      <x:c r="E48" s="3" t="str">
        <x:f>IF(D48="","",IFERROR(VLOOKUP(D48,'Base Sectores'!$A$5:$J$47,2,FALSE),""))</x:f>
      </x:c>
      <x:c r="F48" s="40" t="str">
        <x:f>IF(D48="","",IFERROR(VLOOKUP(D48,'Base Sectores'!$A$5:$J$47,3,FALSE),""))</x:f>
      </x:c>
      <x:c r="G48" s="3" t="str">
        <x:f>IF(D48="","",IFERROR(VLOOKUP(D48,'Base Sectores'!$A$5:$J$47,4,FALSE),""))</x:f>
      </x:c>
      <x:c r="H48" s="3" t="str">
        <x:f>IF(D48="","",IFERROR(VLOOKUP(D48,'Base Sectores'!$A$5:$J$47,5,FALSE),""))</x:f>
      </x:c>
      <x:c r="I48" s="3" t="str">
        <x:f>IF(D48="","",IFERROR(VLOOKUP(D48,'Base Sectores'!$A$5:$J$47,6,FALSE),""))</x:f>
      </x:c>
      <x:c r="J48" s="3" t="str">
        <x:f>IF(D48="","",IFERROR(VLOOKUP(D48,'Base Sectores'!$A$5:$J$47,7,FALSE),""))</x:f>
      </x:c>
      <x:c r="K48" s="3" t="str">
        <x:f>IF(D48="","",IFERROR(VLOOKUP(D48,'Base Sectores'!$A$5:$J$47,9,FALSE),""))</x:f>
      </x:c>
      <x:c r="L48" s="6"/>
      <x:c r="M48" s="3" t="str">
        <x:f>IF(L48="","",IFERROR(VLOOKUP(L48,Configuracion!$D$4:$H$15,2,FALSE),""))</x:f>
      </x:c>
      <x:c r="N48" s="3" t="str">
        <x:f>IF(L48="","",IFERROR(VLOOKUP(L48,Configuracion!$D$4:$H$15,3,FALSE),""))</x:f>
      </x:c>
      <x:c r="O48" s="6"/>
      <x:c r="P48" s="3" t="str">
        <x:f>IF(L48="","",IFERROR(VLOOKUP(L48,Configuracion!$D$4:$H$15,4,FALSE),0))</x:f>
      </x:c>
      <x:c r="Q48" s="10"/>
      <x:c r="R48" s="10"/>
      <x:c r="S48" s="4" t="str">
        <x:f t="shared" si="9"/>
      </x:c>
      <x:c r="T48" s="6"/>
      <x:c r="U48" s="6"/>
      <x:c r="V48" s="6"/>
      <x:c r="W48" s="6"/>
      <x:c r="X48" s="6"/>
      <x:c r="Y48" s="6"/>
      <x:c r="Z48" s="6"/>
      <x:c r="AA48" s="6"/>
      <x:c r="AB48" s="6"/>
      <x:c r="AC48" s="10"/>
      <x:c r="AD48" s="10"/>
      <x:c r="AE48" s="4" t="str">
        <x:f t="shared" si="1"/>
      </x:c>
      <x:c r="AF48" s="4" t="str">
        <x:f t="shared" si="2"/>
      </x:c>
      <x:c r="AG48" s="4" t="str">
        <x:f t="shared" si="3"/>
      </x:c>
      <x:c r="AH48" s="11">
        <x:f t="shared" si="4"/>
        <x:v>0</x:v>
      </x:c>
      <x:c r="AI48" s="4" t="str">
        <x:f t="shared" si="5"/>
      </x:c>
      <x:c r="AJ48" s="4">
        <x:f t="shared" si="6"/>
        <x:v>0</x:v>
      </x:c>
      <x:c r="AK48" s="4">
        <x:f t="shared" si="7"/>
        <x:v>0</x:v>
      </x:c>
      <x:c r="AL48" s="11">
        <x:f t="shared" si="8"/>
        <x:v>0</x:v>
      </x:c>
      <x:c r="AM48" s="6"/>
      <x:c r="AN48" s="6"/>
    </x:row>
    <x:row r="49">
      <x:c r="A49" s="3" t="str">
        <x:f t="shared" si="0"/>
      </x:c>
      <x:c r="B49" s="9"/>
      <x:c r="C49" s="36"/>
      <x:c r="D49" s="6"/>
      <x:c r="E49" s="3" t="str">
        <x:f>IF(D49="","",IFERROR(VLOOKUP(D49,'Base Sectores'!$A$5:$J$47,2,FALSE),""))</x:f>
      </x:c>
      <x:c r="F49" s="40" t="str">
        <x:f>IF(D49="","",IFERROR(VLOOKUP(D49,'Base Sectores'!$A$5:$J$47,3,FALSE),""))</x:f>
      </x:c>
      <x:c r="G49" s="3" t="str">
        <x:f>IF(D49="","",IFERROR(VLOOKUP(D49,'Base Sectores'!$A$5:$J$47,4,FALSE),""))</x:f>
      </x:c>
      <x:c r="H49" s="3" t="str">
        <x:f>IF(D49="","",IFERROR(VLOOKUP(D49,'Base Sectores'!$A$5:$J$47,5,FALSE),""))</x:f>
      </x:c>
      <x:c r="I49" s="3" t="str">
        <x:f>IF(D49="","",IFERROR(VLOOKUP(D49,'Base Sectores'!$A$5:$J$47,6,FALSE),""))</x:f>
      </x:c>
      <x:c r="J49" s="3" t="str">
        <x:f>IF(D49="","",IFERROR(VLOOKUP(D49,'Base Sectores'!$A$5:$J$47,7,FALSE),""))</x:f>
      </x:c>
      <x:c r="K49" s="3" t="str">
        <x:f>IF(D49="","",IFERROR(VLOOKUP(D49,'Base Sectores'!$A$5:$J$47,9,FALSE),""))</x:f>
      </x:c>
      <x:c r="L49" s="6"/>
      <x:c r="M49" s="3" t="str">
        <x:f>IF(L49="","",IFERROR(VLOOKUP(L49,Configuracion!$D$4:$H$15,2,FALSE),""))</x:f>
      </x:c>
      <x:c r="N49" s="3" t="str">
        <x:f>IF(L49="","",IFERROR(VLOOKUP(L49,Configuracion!$D$4:$H$15,3,FALSE),""))</x:f>
      </x:c>
      <x:c r="O49" s="6"/>
      <x:c r="P49" s="3" t="str">
        <x:f>IF(L49="","",IFERROR(VLOOKUP(L49,Configuracion!$D$4:$H$15,4,FALSE),0))</x:f>
      </x:c>
      <x:c r="Q49" s="10"/>
      <x:c r="R49" s="10"/>
      <x:c r="S49" s="4" t="str">
        <x:f t="shared" si="9"/>
      </x:c>
      <x:c r="T49" s="6"/>
      <x:c r="U49" s="6"/>
      <x:c r="V49" s="6"/>
      <x:c r="W49" s="6"/>
      <x:c r="X49" s="6"/>
      <x:c r="Y49" s="6"/>
      <x:c r="Z49" s="6"/>
      <x:c r="AA49" s="6"/>
      <x:c r="AB49" s="6"/>
      <x:c r="AC49" s="10"/>
      <x:c r="AD49" s="10"/>
      <x:c r="AE49" s="4" t="str">
        <x:f t="shared" si="1"/>
      </x:c>
      <x:c r="AF49" s="4" t="str">
        <x:f t="shared" si="2"/>
      </x:c>
      <x:c r="AG49" s="4" t="str">
        <x:f t="shared" si="3"/>
      </x:c>
      <x:c r="AH49" s="11">
        <x:f t="shared" si="4"/>
        <x:v>0</x:v>
      </x:c>
      <x:c r="AI49" s="4" t="str">
        <x:f t="shared" si="5"/>
      </x:c>
      <x:c r="AJ49" s="4">
        <x:f t="shared" si="6"/>
        <x:v>0</x:v>
      </x:c>
      <x:c r="AK49" s="4">
        <x:f t="shared" si="7"/>
        <x:v>0</x:v>
      </x:c>
      <x:c r="AL49" s="11">
        <x:f t="shared" si="8"/>
        <x:v>0</x:v>
      </x:c>
      <x:c r="AM49" s="6"/>
      <x:c r="AN49" s="6"/>
    </x:row>
    <x:row r="50">
      <x:c r="A50" s="3" t="str">
        <x:f t="shared" si="0"/>
      </x:c>
      <x:c r="B50" s="9"/>
      <x:c r="C50" s="36"/>
      <x:c r="D50" s="6"/>
      <x:c r="E50" s="3" t="str">
        <x:f>IF(D50="","",IFERROR(VLOOKUP(D50,'Base Sectores'!$A$5:$J$47,2,FALSE),""))</x:f>
      </x:c>
      <x:c r="F50" s="40" t="str">
        <x:f>IF(D50="","",IFERROR(VLOOKUP(D50,'Base Sectores'!$A$5:$J$47,3,FALSE),""))</x:f>
      </x:c>
      <x:c r="G50" s="3" t="str">
        <x:f>IF(D50="","",IFERROR(VLOOKUP(D50,'Base Sectores'!$A$5:$J$47,4,FALSE),""))</x:f>
      </x:c>
      <x:c r="H50" s="3" t="str">
        <x:f>IF(D50="","",IFERROR(VLOOKUP(D50,'Base Sectores'!$A$5:$J$47,5,FALSE),""))</x:f>
      </x:c>
      <x:c r="I50" s="3" t="str">
        <x:f>IF(D50="","",IFERROR(VLOOKUP(D50,'Base Sectores'!$A$5:$J$47,6,FALSE),""))</x:f>
      </x:c>
      <x:c r="J50" s="3" t="str">
        <x:f>IF(D50="","",IFERROR(VLOOKUP(D50,'Base Sectores'!$A$5:$J$47,7,FALSE),""))</x:f>
      </x:c>
      <x:c r="K50" s="3" t="str">
        <x:f>IF(D50="","",IFERROR(VLOOKUP(D50,'Base Sectores'!$A$5:$J$47,9,FALSE),""))</x:f>
      </x:c>
      <x:c r="L50" s="6"/>
      <x:c r="M50" s="3" t="str">
        <x:f>IF(L50="","",IFERROR(VLOOKUP(L50,Configuracion!$D$4:$H$15,2,FALSE),""))</x:f>
      </x:c>
      <x:c r="N50" s="3" t="str">
        <x:f>IF(L50="","",IFERROR(VLOOKUP(L50,Configuracion!$D$4:$H$15,3,FALSE),""))</x:f>
      </x:c>
      <x:c r="O50" s="6"/>
      <x:c r="P50" s="3" t="str">
        <x:f>IF(L50="","",IFERROR(VLOOKUP(L50,Configuracion!$D$4:$H$15,4,FALSE),0))</x:f>
      </x:c>
      <x:c r="Q50" s="10"/>
      <x:c r="R50" s="10"/>
      <x:c r="S50" s="4" t="str">
        <x:f t="shared" si="9"/>
      </x:c>
      <x:c r="T50" s="6"/>
      <x:c r="U50" s="6"/>
      <x:c r="V50" s="6"/>
      <x:c r="W50" s="6"/>
      <x:c r="X50" s="6"/>
      <x:c r="Y50" s="6"/>
      <x:c r="Z50" s="6"/>
      <x:c r="AA50" s="6"/>
      <x:c r="AB50" s="6"/>
      <x:c r="AC50" s="10"/>
      <x:c r="AD50" s="10"/>
      <x:c r="AE50" s="4" t="str">
        <x:f t="shared" si="1"/>
      </x:c>
      <x:c r="AF50" s="4" t="str">
        <x:f t="shared" si="2"/>
      </x:c>
      <x:c r="AG50" s="4" t="str">
        <x:f t="shared" si="3"/>
      </x:c>
      <x:c r="AH50" s="11">
        <x:f t="shared" si="4"/>
        <x:v>0</x:v>
      </x:c>
      <x:c r="AI50" s="4" t="str">
        <x:f t="shared" si="5"/>
      </x:c>
      <x:c r="AJ50" s="4">
        <x:f t="shared" si="6"/>
        <x:v>0</x:v>
      </x:c>
      <x:c r="AK50" s="4">
        <x:f t="shared" si="7"/>
        <x:v>0</x:v>
      </x:c>
      <x:c r="AL50" s="11">
        <x:f t="shared" si="8"/>
        <x:v>0</x:v>
      </x:c>
      <x:c r="AM50" s="6"/>
      <x:c r="AN50" s="6"/>
    </x:row>
    <x:row r="51">
      <x:c r="A51" s="3" t="str">
        <x:f t="shared" si="0"/>
      </x:c>
      <x:c r="B51" s="9"/>
      <x:c r="C51" s="36"/>
      <x:c r="D51" s="6"/>
      <x:c r="E51" s="3" t="str">
        <x:f>IF(D51="","",IFERROR(VLOOKUP(D51,'Base Sectores'!$A$5:$J$47,2,FALSE),""))</x:f>
      </x:c>
      <x:c r="F51" s="40" t="str">
        <x:f>IF(D51="","",IFERROR(VLOOKUP(D51,'Base Sectores'!$A$5:$J$47,3,FALSE),""))</x:f>
      </x:c>
      <x:c r="G51" s="3" t="str">
        <x:f>IF(D51="","",IFERROR(VLOOKUP(D51,'Base Sectores'!$A$5:$J$47,4,FALSE),""))</x:f>
      </x:c>
      <x:c r="H51" s="3" t="str">
        <x:f>IF(D51="","",IFERROR(VLOOKUP(D51,'Base Sectores'!$A$5:$J$47,5,FALSE),""))</x:f>
      </x:c>
      <x:c r="I51" s="3" t="str">
        <x:f>IF(D51="","",IFERROR(VLOOKUP(D51,'Base Sectores'!$A$5:$J$47,6,FALSE),""))</x:f>
      </x:c>
      <x:c r="J51" s="3" t="str">
        <x:f>IF(D51="","",IFERROR(VLOOKUP(D51,'Base Sectores'!$A$5:$J$47,7,FALSE),""))</x:f>
      </x:c>
      <x:c r="K51" s="3" t="str">
        <x:f>IF(D51="","",IFERROR(VLOOKUP(D51,'Base Sectores'!$A$5:$J$47,9,FALSE),""))</x:f>
      </x:c>
      <x:c r="L51" s="6"/>
      <x:c r="M51" s="3" t="str">
        <x:f>IF(L51="","",IFERROR(VLOOKUP(L51,Configuracion!$D$4:$H$15,2,FALSE),""))</x:f>
      </x:c>
      <x:c r="N51" s="3" t="str">
        <x:f>IF(L51="","",IFERROR(VLOOKUP(L51,Configuracion!$D$4:$H$15,3,FALSE),""))</x:f>
      </x:c>
      <x:c r="O51" s="6"/>
      <x:c r="P51" s="3" t="str">
        <x:f>IF(L51="","",IFERROR(VLOOKUP(L51,Configuracion!$D$4:$H$15,4,FALSE),0))</x:f>
      </x:c>
      <x:c r="Q51" s="10"/>
      <x:c r="R51" s="10"/>
      <x:c r="S51" s="4" t="str">
        <x:f t="shared" si="9"/>
      </x:c>
      <x:c r="T51" s="6"/>
      <x:c r="U51" s="6"/>
      <x:c r="V51" s="6"/>
      <x:c r="W51" s="6"/>
      <x:c r="X51" s="6"/>
      <x:c r="Y51" s="6"/>
      <x:c r="Z51" s="6"/>
      <x:c r="AA51" s="6"/>
      <x:c r="AB51" s="6"/>
      <x:c r="AC51" s="10"/>
      <x:c r="AD51" s="10"/>
      <x:c r="AE51" s="4" t="str">
        <x:f t="shared" si="1"/>
      </x:c>
      <x:c r="AF51" s="4" t="str">
        <x:f t="shared" si="2"/>
      </x:c>
      <x:c r="AG51" s="4" t="str">
        <x:f t="shared" si="3"/>
      </x:c>
      <x:c r="AH51" s="11">
        <x:f t="shared" si="4"/>
        <x:v>0</x:v>
      </x:c>
      <x:c r="AI51" s="4" t="str">
        <x:f t="shared" si="5"/>
      </x:c>
      <x:c r="AJ51" s="4">
        <x:f t="shared" si="6"/>
        <x:v>0</x:v>
      </x:c>
      <x:c r="AK51" s="4">
        <x:f t="shared" si="7"/>
        <x:v>0</x:v>
      </x:c>
      <x:c r="AL51" s="11">
        <x:f t="shared" si="8"/>
        <x:v>0</x:v>
      </x:c>
      <x:c r="AM51" s="6"/>
      <x:c r="AN51" s="6"/>
    </x:row>
    <x:row r="52">
      <x:c r="A52" s="3" t="str">
        <x:f t="shared" si="0"/>
      </x:c>
      <x:c r="B52" s="9"/>
      <x:c r="C52" s="36"/>
      <x:c r="D52" s="6"/>
      <x:c r="E52" s="3" t="str">
        <x:f>IF(D52="","",IFERROR(VLOOKUP(D52,'Base Sectores'!$A$5:$J$47,2,FALSE),""))</x:f>
      </x:c>
      <x:c r="F52" s="40" t="str">
        <x:f>IF(D52="","",IFERROR(VLOOKUP(D52,'Base Sectores'!$A$5:$J$47,3,FALSE),""))</x:f>
      </x:c>
      <x:c r="G52" s="3" t="str">
        <x:f>IF(D52="","",IFERROR(VLOOKUP(D52,'Base Sectores'!$A$5:$J$47,4,FALSE),""))</x:f>
      </x:c>
      <x:c r="H52" s="3" t="str">
        <x:f>IF(D52="","",IFERROR(VLOOKUP(D52,'Base Sectores'!$A$5:$J$47,5,FALSE),""))</x:f>
      </x:c>
      <x:c r="I52" s="3" t="str">
        <x:f>IF(D52="","",IFERROR(VLOOKUP(D52,'Base Sectores'!$A$5:$J$47,6,FALSE),""))</x:f>
      </x:c>
      <x:c r="J52" s="3" t="str">
        <x:f>IF(D52="","",IFERROR(VLOOKUP(D52,'Base Sectores'!$A$5:$J$47,7,FALSE),""))</x:f>
      </x:c>
      <x:c r="K52" s="3" t="str">
        <x:f>IF(D52="","",IFERROR(VLOOKUP(D52,'Base Sectores'!$A$5:$J$47,9,FALSE),""))</x:f>
      </x:c>
      <x:c r="L52" s="6"/>
      <x:c r="M52" s="3" t="str">
        <x:f>IF(L52="","",IFERROR(VLOOKUP(L52,Configuracion!$D$4:$H$15,2,FALSE),""))</x:f>
      </x:c>
      <x:c r="N52" s="3" t="str">
        <x:f>IF(L52="","",IFERROR(VLOOKUP(L52,Configuracion!$D$4:$H$15,3,FALSE),""))</x:f>
      </x:c>
      <x:c r="O52" s="6"/>
      <x:c r="P52" s="3" t="str">
        <x:f>IF(L52="","",IFERROR(VLOOKUP(L52,Configuracion!$D$4:$H$15,4,FALSE),0))</x:f>
      </x:c>
      <x:c r="Q52" s="10"/>
      <x:c r="R52" s="10"/>
      <x:c r="S52" s="4" t="str">
        <x:f t="shared" si="9"/>
      </x:c>
      <x:c r="T52" s="6"/>
      <x:c r="U52" s="6"/>
      <x:c r="V52" s="6"/>
      <x:c r="W52" s="6"/>
      <x:c r="X52" s="6"/>
      <x:c r="Y52" s="6"/>
      <x:c r="Z52" s="6"/>
      <x:c r="AA52" s="6"/>
      <x:c r="AB52" s="6"/>
      <x:c r="AC52" s="10"/>
      <x:c r="AD52" s="10"/>
      <x:c r="AE52" s="4" t="str">
        <x:f t="shared" si="1"/>
      </x:c>
      <x:c r="AF52" s="4" t="str">
        <x:f t="shared" si="2"/>
      </x:c>
      <x:c r="AG52" s="4" t="str">
        <x:f t="shared" si="3"/>
      </x:c>
      <x:c r="AH52" s="11">
        <x:f t="shared" si="4"/>
        <x:v>0</x:v>
      </x:c>
      <x:c r="AI52" s="4" t="str">
        <x:f t="shared" si="5"/>
      </x:c>
      <x:c r="AJ52" s="4">
        <x:f t="shared" si="6"/>
        <x:v>0</x:v>
      </x:c>
      <x:c r="AK52" s="4">
        <x:f t="shared" si="7"/>
        <x:v>0</x:v>
      </x:c>
      <x:c r="AL52" s="11">
        <x:f t="shared" si="8"/>
        <x:v>0</x:v>
      </x:c>
      <x:c r="AM52" s="6"/>
      <x:c r="AN52" s="6"/>
    </x:row>
    <x:row r="53">
      <x:c r="A53" s="3" t="str">
        <x:f t="shared" si="0"/>
      </x:c>
      <x:c r="B53" s="9"/>
      <x:c r="C53" s="36"/>
      <x:c r="D53" s="6"/>
      <x:c r="E53" s="3" t="str">
        <x:f>IF(D53="","",IFERROR(VLOOKUP(D53,'Base Sectores'!$A$5:$J$47,2,FALSE),""))</x:f>
      </x:c>
      <x:c r="F53" s="40" t="str">
        <x:f>IF(D53="","",IFERROR(VLOOKUP(D53,'Base Sectores'!$A$5:$J$47,3,FALSE),""))</x:f>
      </x:c>
      <x:c r="G53" s="3" t="str">
        <x:f>IF(D53="","",IFERROR(VLOOKUP(D53,'Base Sectores'!$A$5:$J$47,4,FALSE),""))</x:f>
      </x:c>
      <x:c r="H53" s="3" t="str">
        <x:f>IF(D53="","",IFERROR(VLOOKUP(D53,'Base Sectores'!$A$5:$J$47,5,FALSE),""))</x:f>
      </x:c>
      <x:c r="I53" s="3" t="str">
        <x:f>IF(D53="","",IFERROR(VLOOKUP(D53,'Base Sectores'!$A$5:$J$47,6,FALSE),""))</x:f>
      </x:c>
      <x:c r="J53" s="3" t="str">
        <x:f>IF(D53="","",IFERROR(VLOOKUP(D53,'Base Sectores'!$A$5:$J$47,7,FALSE),""))</x:f>
      </x:c>
      <x:c r="K53" s="3" t="str">
        <x:f>IF(D53="","",IFERROR(VLOOKUP(D53,'Base Sectores'!$A$5:$J$47,9,FALSE),""))</x:f>
      </x:c>
      <x:c r="L53" s="6"/>
      <x:c r="M53" s="3" t="str">
        <x:f>IF(L53="","",IFERROR(VLOOKUP(L53,Configuracion!$D$4:$H$15,2,FALSE),""))</x:f>
      </x:c>
      <x:c r="N53" s="3" t="str">
        <x:f>IF(L53="","",IFERROR(VLOOKUP(L53,Configuracion!$D$4:$H$15,3,FALSE),""))</x:f>
      </x:c>
      <x:c r="O53" s="6"/>
      <x:c r="P53" s="3" t="str">
        <x:f>IF(L53="","",IFERROR(VLOOKUP(L53,Configuracion!$D$4:$H$15,4,FALSE),0))</x:f>
      </x:c>
      <x:c r="Q53" s="10"/>
      <x:c r="R53" s="10"/>
      <x:c r="S53" s="4" t="str">
        <x:f t="shared" si="9"/>
      </x:c>
      <x:c r="T53" s="6"/>
      <x:c r="U53" s="6"/>
      <x:c r="V53" s="6"/>
      <x:c r="W53" s="6"/>
      <x:c r="X53" s="6"/>
      <x:c r="Y53" s="6"/>
      <x:c r="Z53" s="6"/>
      <x:c r="AA53" s="6"/>
      <x:c r="AB53" s="6"/>
      <x:c r="AC53" s="10"/>
      <x:c r="AD53" s="10"/>
      <x:c r="AE53" s="4" t="str">
        <x:f t="shared" si="1"/>
      </x:c>
      <x:c r="AF53" s="4" t="str">
        <x:f t="shared" si="2"/>
      </x:c>
      <x:c r="AG53" s="4" t="str">
        <x:f t="shared" si="3"/>
      </x:c>
      <x:c r="AH53" s="11">
        <x:f t="shared" si="4"/>
        <x:v>0</x:v>
      </x:c>
      <x:c r="AI53" s="4" t="str">
        <x:f t="shared" si="5"/>
      </x:c>
      <x:c r="AJ53" s="4">
        <x:f t="shared" si="6"/>
        <x:v>0</x:v>
      </x:c>
      <x:c r="AK53" s="4">
        <x:f t="shared" si="7"/>
        <x:v>0</x:v>
      </x:c>
      <x:c r="AL53" s="11">
        <x:f t="shared" si="8"/>
        <x:v>0</x:v>
      </x:c>
      <x:c r="AM53" s="6"/>
      <x:c r="AN53" s="6"/>
    </x:row>
    <x:row r="54">
      <x:c r="A54" s="3" t="str">
        <x:f t="shared" si="0"/>
      </x:c>
      <x:c r="B54" s="9"/>
      <x:c r="C54" s="36"/>
      <x:c r="D54" s="6"/>
      <x:c r="E54" s="3" t="str">
        <x:f>IF(D54="","",IFERROR(VLOOKUP(D54,'Base Sectores'!$A$5:$J$47,2,FALSE),""))</x:f>
      </x:c>
      <x:c r="F54" s="40" t="str">
        <x:f>IF(D54="","",IFERROR(VLOOKUP(D54,'Base Sectores'!$A$5:$J$47,3,FALSE),""))</x:f>
      </x:c>
      <x:c r="G54" s="3" t="str">
        <x:f>IF(D54="","",IFERROR(VLOOKUP(D54,'Base Sectores'!$A$5:$J$47,4,FALSE),""))</x:f>
      </x:c>
      <x:c r="H54" s="3" t="str">
        <x:f>IF(D54="","",IFERROR(VLOOKUP(D54,'Base Sectores'!$A$5:$J$47,5,FALSE),""))</x:f>
      </x:c>
      <x:c r="I54" s="3" t="str">
        <x:f>IF(D54="","",IFERROR(VLOOKUP(D54,'Base Sectores'!$A$5:$J$47,6,FALSE),""))</x:f>
      </x:c>
      <x:c r="J54" s="3" t="str">
        <x:f>IF(D54="","",IFERROR(VLOOKUP(D54,'Base Sectores'!$A$5:$J$47,7,FALSE),""))</x:f>
      </x:c>
      <x:c r="K54" s="3" t="str">
        <x:f>IF(D54="","",IFERROR(VLOOKUP(D54,'Base Sectores'!$A$5:$J$47,9,FALSE),""))</x:f>
      </x:c>
      <x:c r="L54" s="6"/>
      <x:c r="M54" s="3" t="str">
        <x:f>IF(L54="","",IFERROR(VLOOKUP(L54,Configuracion!$D$4:$H$15,2,FALSE),""))</x:f>
      </x:c>
      <x:c r="N54" s="3" t="str">
        <x:f>IF(L54="","",IFERROR(VLOOKUP(L54,Configuracion!$D$4:$H$15,3,FALSE),""))</x:f>
      </x:c>
      <x:c r="O54" s="6"/>
      <x:c r="P54" s="3" t="str">
        <x:f>IF(L54="","",IFERROR(VLOOKUP(L54,Configuracion!$D$4:$H$15,4,FALSE),0))</x:f>
      </x:c>
      <x:c r="Q54" s="10"/>
      <x:c r="R54" s="10"/>
      <x:c r="S54" s="4" t="str">
        <x:f t="shared" si="9"/>
      </x:c>
      <x:c r="T54" s="6"/>
      <x:c r="U54" s="6"/>
      <x:c r="V54" s="6"/>
      <x:c r="W54" s="6"/>
      <x:c r="X54" s="6"/>
      <x:c r="Y54" s="6"/>
      <x:c r="Z54" s="6"/>
      <x:c r="AA54" s="6"/>
      <x:c r="AB54" s="6"/>
      <x:c r="AC54" s="10"/>
      <x:c r="AD54" s="10"/>
      <x:c r="AE54" s="4" t="str">
        <x:f t="shared" si="1"/>
      </x:c>
      <x:c r="AF54" s="4" t="str">
        <x:f t="shared" si="2"/>
      </x:c>
      <x:c r="AG54" s="4" t="str">
        <x:f t="shared" si="3"/>
      </x:c>
      <x:c r="AH54" s="11">
        <x:f t="shared" si="4"/>
        <x:v>0</x:v>
      </x:c>
      <x:c r="AI54" s="4" t="str">
        <x:f t="shared" si="5"/>
      </x:c>
      <x:c r="AJ54" s="4">
        <x:f t="shared" si="6"/>
        <x:v>0</x:v>
      </x:c>
      <x:c r="AK54" s="4">
        <x:f t="shared" si="7"/>
        <x:v>0</x:v>
      </x:c>
      <x:c r="AL54" s="11">
        <x:f t="shared" si="8"/>
        <x:v>0</x:v>
      </x:c>
      <x:c r="AM54" s="6"/>
      <x:c r="AN54" s="6"/>
    </x:row>
    <x:row r="55">
      <x:c r="A55" s="3" t="str">
        <x:f t="shared" si="0"/>
      </x:c>
      <x:c r="B55" s="9"/>
      <x:c r="C55" s="36"/>
      <x:c r="D55" s="6"/>
      <x:c r="E55" s="3" t="str">
        <x:f>IF(D55="","",IFERROR(VLOOKUP(D55,'Base Sectores'!$A$5:$J$47,2,FALSE),""))</x:f>
      </x:c>
      <x:c r="F55" s="40" t="str">
        <x:f>IF(D55="","",IFERROR(VLOOKUP(D55,'Base Sectores'!$A$5:$J$47,3,FALSE),""))</x:f>
      </x:c>
      <x:c r="G55" s="3" t="str">
        <x:f>IF(D55="","",IFERROR(VLOOKUP(D55,'Base Sectores'!$A$5:$J$47,4,FALSE),""))</x:f>
      </x:c>
      <x:c r="H55" s="3" t="str">
        <x:f>IF(D55="","",IFERROR(VLOOKUP(D55,'Base Sectores'!$A$5:$J$47,5,FALSE),""))</x:f>
      </x:c>
      <x:c r="I55" s="3" t="str">
        <x:f>IF(D55="","",IFERROR(VLOOKUP(D55,'Base Sectores'!$A$5:$J$47,6,FALSE),""))</x:f>
      </x:c>
      <x:c r="J55" s="3" t="str">
        <x:f>IF(D55="","",IFERROR(VLOOKUP(D55,'Base Sectores'!$A$5:$J$47,7,FALSE),""))</x:f>
      </x:c>
      <x:c r="K55" s="3" t="str">
        <x:f>IF(D55="","",IFERROR(VLOOKUP(D55,'Base Sectores'!$A$5:$J$47,9,FALSE),""))</x:f>
      </x:c>
      <x:c r="L55" s="6"/>
      <x:c r="M55" s="3" t="str">
        <x:f>IF(L55="","",IFERROR(VLOOKUP(L55,Configuracion!$D$4:$H$15,2,FALSE),""))</x:f>
      </x:c>
      <x:c r="N55" s="3" t="str">
        <x:f>IF(L55="","",IFERROR(VLOOKUP(L55,Configuracion!$D$4:$H$15,3,FALSE),""))</x:f>
      </x:c>
      <x:c r="O55" s="6"/>
      <x:c r="P55" s="3" t="str">
        <x:f>IF(L55="","",IFERROR(VLOOKUP(L55,Configuracion!$D$4:$H$15,4,FALSE),0))</x:f>
      </x:c>
      <x:c r="Q55" s="10"/>
      <x:c r="R55" s="10"/>
      <x:c r="S55" s="4" t="str">
        <x:f t="shared" si="9"/>
      </x:c>
      <x:c r="T55" s="6"/>
      <x:c r="U55" s="6"/>
      <x:c r="V55" s="6"/>
      <x:c r="W55" s="6"/>
      <x:c r="X55" s="6"/>
      <x:c r="Y55" s="6"/>
      <x:c r="Z55" s="6"/>
      <x:c r="AA55" s="6"/>
      <x:c r="AB55" s="6"/>
      <x:c r="AC55" s="10"/>
      <x:c r="AD55" s="10"/>
      <x:c r="AE55" s="4" t="str">
        <x:f t="shared" si="1"/>
      </x:c>
      <x:c r="AF55" s="4" t="str">
        <x:f t="shared" si="2"/>
      </x:c>
      <x:c r="AG55" s="4" t="str">
        <x:f t="shared" si="3"/>
      </x:c>
      <x:c r="AH55" s="11">
        <x:f t="shared" si="4"/>
        <x:v>0</x:v>
      </x:c>
      <x:c r="AI55" s="4" t="str">
        <x:f t="shared" si="5"/>
      </x:c>
      <x:c r="AJ55" s="4">
        <x:f t="shared" si="6"/>
        <x:v>0</x:v>
      </x:c>
      <x:c r="AK55" s="4">
        <x:f t="shared" si="7"/>
        <x:v>0</x:v>
      </x:c>
      <x:c r="AL55" s="11">
        <x:f t="shared" si="8"/>
        <x:v>0</x:v>
      </x:c>
      <x:c r="AM55" s="6"/>
      <x:c r="AN55" s="6"/>
    </x:row>
    <x:row r="56">
      <x:c r="A56" s="3" t="str">
        <x:f t="shared" si="0"/>
      </x:c>
      <x:c r="B56" s="9"/>
      <x:c r="C56" s="36"/>
      <x:c r="D56" s="6"/>
      <x:c r="E56" s="3" t="str">
        <x:f>IF(D56="","",IFERROR(VLOOKUP(D56,'Base Sectores'!$A$5:$J$47,2,FALSE),""))</x:f>
      </x:c>
      <x:c r="F56" s="40" t="str">
        <x:f>IF(D56="","",IFERROR(VLOOKUP(D56,'Base Sectores'!$A$5:$J$47,3,FALSE),""))</x:f>
      </x:c>
      <x:c r="G56" s="3" t="str">
        <x:f>IF(D56="","",IFERROR(VLOOKUP(D56,'Base Sectores'!$A$5:$J$47,4,FALSE),""))</x:f>
      </x:c>
      <x:c r="H56" s="3" t="str">
        <x:f>IF(D56="","",IFERROR(VLOOKUP(D56,'Base Sectores'!$A$5:$J$47,5,FALSE),""))</x:f>
      </x:c>
      <x:c r="I56" s="3" t="str">
        <x:f>IF(D56="","",IFERROR(VLOOKUP(D56,'Base Sectores'!$A$5:$J$47,6,FALSE),""))</x:f>
      </x:c>
      <x:c r="J56" s="3" t="str">
        <x:f>IF(D56="","",IFERROR(VLOOKUP(D56,'Base Sectores'!$A$5:$J$47,7,FALSE),""))</x:f>
      </x:c>
      <x:c r="K56" s="3" t="str">
        <x:f>IF(D56="","",IFERROR(VLOOKUP(D56,'Base Sectores'!$A$5:$J$47,9,FALSE),""))</x:f>
      </x:c>
      <x:c r="L56" s="6"/>
      <x:c r="M56" s="3" t="str">
        <x:f>IF(L56="","",IFERROR(VLOOKUP(L56,Configuracion!$D$4:$H$15,2,FALSE),""))</x:f>
      </x:c>
      <x:c r="N56" s="3" t="str">
        <x:f>IF(L56="","",IFERROR(VLOOKUP(L56,Configuracion!$D$4:$H$15,3,FALSE),""))</x:f>
      </x:c>
      <x:c r="O56" s="6"/>
      <x:c r="P56" s="3" t="str">
        <x:f>IF(L56="","",IFERROR(VLOOKUP(L56,Configuracion!$D$4:$H$15,4,FALSE),0))</x:f>
      </x:c>
      <x:c r="Q56" s="10"/>
      <x:c r="R56" s="10"/>
      <x:c r="S56" s="4" t="str">
        <x:f t="shared" si="9"/>
      </x:c>
      <x:c r="T56" s="6"/>
      <x:c r="U56" s="6"/>
      <x:c r="V56" s="6"/>
      <x:c r="W56" s="6"/>
      <x:c r="X56" s="6"/>
      <x:c r="Y56" s="6"/>
      <x:c r="Z56" s="6"/>
      <x:c r="AA56" s="6"/>
      <x:c r="AB56" s="6"/>
      <x:c r="AC56" s="10"/>
      <x:c r="AD56" s="10"/>
      <x:c r="AE56" s="4" t="str">
        <x:f t="shared" si="1"/>
      </x:c>
      <x:c r="AF56" s="4" t="str">
        <x:f t="shared" si="2"/>
      </x:c>
      <x:c r="AG56" s="4" t="str">
        <x:f t="shared" si="3"/>
      </x:c>
      <x:c r="AH56" s="11">
        <x:f t="shared" si="4"/>
        <x:v>0</x:v>
      </x:c>
      <x:c r="AI56" s="4" t="str">
        <x:f t="shared" si="5"/>
      </x:c>
      <x:c r="AJ56" s="4">
        <x:f t="shared" si="6"/>
        <x:v>0</x:v>
      </x:c>
      <x:c r="AK56" s="4">
        <x:f t="shared" si="7"/>
        <x:v>0</x:v>
      </x:c>
      <x:c r="AL56" s="11">
        <x:f t="shared" si="8"/>
        <x:v>0</x:v>
      </x:c>
      <x:c r="AM56" s="6"/>
      <x:c r="AN56" s="6"/>
    </x:row>
    <x:row r="57">
      <x:c r="A57" s="3" t="str">
        <x:f t="shared" si="0"/>
      </x:c>
      <x:c r="B57" s="9"/>
      <x:c r="C57" s="36"/>
      <x:c r="D57" s="6"/>
      <x:c r="E57" s="3" t="str">
        <x:f>IF(D57="","",IFERROR(VLOOKUP(D57,'Base Sectores'!$A$5:$J$47,2,FALSE),""))</x:f>
      </x:c>
      <x:c r="F57" s="40" t="str">
        <x:f>IF(D57="","",IFERROR(VLOOKUP(D57,'Base Sectores'!$A$5:$J$47,3,FALSE),""))</x:f>
      </x:c>
      <x:c r="G57" s="3" t="str">
        <x:f>IF(D57="","",IFERROR(VLOOKUP(D57,'Base Sectores'!$A$5:$J$47,4,FALSE),""))</x:f>
      </x:c>
      <x:c r="H57" s="3" t="str">
        <x:f>IF(D57="","",IFERROR(VLOOKUP(D57,'Base Sectores'!$A$5:$J$47,5,FALSE),""))</x:f>
      </x:c>
      <x:c r="I57" s="3" t="str">
        <x:f>IF(D57="","",IFERROR(VLOOKUP(D57,'Base Sectores'!$A$5:$J$47,6,FALSE),""))</x:f>
      </x:c>
      <x:c r="J57" s="3" t="str">
        <x:f>IF(D57="","",IFERROR(VLOOKUP(D57,'Base Sectores'!$A$5:$J$47,7,FALSE),""))</x:f>
      </x:c>
      <x:c r="K57" s="3" t="str">
        <x:f>IF(D57="","",IFERROR(VLOOKUP(D57,'Base Sectores'!$A$5:$J$47,9,FALSE),""))</x:f>
      </x:c>
      <x:c r="L57" s="6"/>
      <x:c r="M57" s="3" t="str">
        <x:f>IF(L57="","",IFERROR(VLOOKUP(L57,Configuracion!$D$4:$H$15,2,FALSE),""))</x:f>
      </x:c>
      <x:c r="N57" s="3" t="str">
        <x:f>IF(L57="","",IFERROR(VLOOKUP(L57,Configuracion!$D$4:$H$15,3,FALSE),""))</x:f>
      </x:c>
      <x:c r="O57" s="6"/>
      <x:c r="P57" s="3" t="str">
        <x:f>IF(L57="","",IFERROR(VLOOKUP(L57,Configuracion!$D$4:$H$15,4,FALSE),0))</x:f>
      </x:c>
      <x:c r="Q57" s="10"/>
      <x:c r="R57" s="10"/>
      <x:c r="S57" s="4" t="str">
        <x:f t="shared" si="9"/>
      </x:c>
      <x:c r="T57" s="6"/>
      <x:c r="U57" s="6"/>
      <x:c r="V57" s="6"/>
      <x:c r="W57" s="6"/>
      <x:c r="X57" s="6"/>
      <x:c r="Y57" s="6"/>
      <x:c r="Z57" s="6"/>
      <x:c r="AA57" s="6"/>
      <x:c r="AB57" s="6"/>
      <x:c r="AC57" s="10"/>
      <x:c r="AD57" s="10"/>
      <x:c r="AE57" s="4" t="str">
        <x:f t="shared" si="1"/>
      </x:c>
      <x:c r="AF57" s="4" t="str">
        <x:f t="shared" si="2"/>
      </x:c>
      <x:c r="AG57" s="4" t="str">
        <x:f t="shared" si="3"/>
      </x:c>
      <x:c r="AH57" s="11">
        <x:f t="shared" si="4"/>
        <x:v>0</x:v>
      </x:c>
      <x:c r="AI57" s="4" t="str">
        <x:f t="shared" si="5"/>
      </x:c>
      <x:c r="AJ57" s="4">
        <x:f t="shared" si="6"/>
        <x:v>0</x:v>
      </x:c>
      <x:c r="AK57" s="4">
        <x:f t="shared" si="7"/>
        <x:v>0</x:v>
      </x:c>
      <x:c r="AL57" s="11">
        <x:f t="shared" si="8"/>
        <x:v>0</x:v>
      </x:c>
      <x:c r="AM57" s="6"/>
      <x:c r="AN57" s="6"/>
    </x:row>
    <x:row r="58">
      <x:c r="A58" s="3" t="str">
        <x:f t="shared" si="0"/>
      </x:c>
      <x:c r="B58" s="9"/>
      <x:c r="C58" s="36"/>
      <x:c r="D58" s="6"/>
      <x:c r="E58" s="3" t="str">
        <x:f>IF(D58="","",IFERROR(VLOOKUP(D58,'Base Sectores'!$A$5:$J$47,2,FALSE),""))</x:f>
      </x:c>
      <x:c r="F58" s="40" t="str">
        <x:f>IF(D58="","",IFERROR(VLOOKUP(D58,'Base Sectores'!$A$5:$J$47,3,FALSE),""))</x:f>
      </x:c>
      <x:c r="G58" s="3" t="str">
        <x:f>IF(D58="","",IFERROR(VLOOKUP(D58,'Base Sectores'!$A$5:$J$47,4,FALSE),""))</x:f>
      </x:c>
      <x:c r="H58" s="3" t="str">
        <x:f>IF(D58="","",IFERROR(VLOOKUP(D58,'Base Sectores'!$A$5:$J$47,5,FALSE),""))</x:f>
      </x:c>
      <x:c r="I58" s="3" t="str">
        <x:f>IF(D58="","",IFERROR(VLOOKUP(D58,'Base Sectores'!$A$5:$J$47,6,FALSE),""))</x:f>
      </x:c>
      <x:c r="J58" s="3" t="str">
        <x:f>IF(D58="","",IFERROR(VLOOKUP(D58,'Base Sectores'!$A$5:$J$47,7,FALSE),""))</x:f>
      </x:c>
      <x:c r="K58" s="3" t="str">
        <x:f>IF(D58="","",IFERROR(VLOOKUP(D58,'Base Sectores'!$A$5:$J$47,9,FALSE),""))</x:f>
      </x:c>
      <x:c r="L58" s="6"/>
      <x:c r="M58" s="3" t="str">
        <x:f>IF(L58="","",IFERROR(VLOOKUP(L58,Configuracion!$D$4:$H$15,2,FALSE),""))</x:f>
      </x:c>
      <x:c r="N58" s="3" t="str">
        <x:f>IF(L58="","",IFERROR(VLOOKUP(L58,Configuracion!$D$4:$H$15,3,FALSE),""))</x:f>
      </x:c>
      <x:c r="O58" s="6"/>
      <x:c r="P58" s="3" t="str">
        <x:f>IF(L58="","",IFERROR(VLOOKUP(L58,Configuracion!$D$4:$H$15,4,FALSE),0))</x:f>
      </x:c>
      <x:c r="Q58" s="10"/>
      <x:c r="R58" s="10"/>
      <x:c r="S58" s="4" t="str">
        <x:f t="shared" si="9"/>
      </x:c>
      <x:c r="T58" s="6"/>
      <x:c r="U58" s="6"/>
      <x:c r="V58" s="6"/>
      <x:c r="W58" s="6"/>
      <x:c r="X58" s="6"/>
      <x:c r="Y58" s="6"/>
      <x:c r="Z58" s="6"/>
      <x:c r="AA58" s="6"/>
      <x:c r="AB58" s="6"/>
      <x:c r="AC58" s="10"/>
      <x:c r="AD58" s="10"/>
      <x:c r="AE58" s="4" t="str">
        <x:f t="shared" si="1"/>
      </x:c>
      <x:c r="AF58" s="4" t="str">
        <x:f t="shared" si="2"/>
      </x:c>
      <x:c r="AG58" s="4" t="str">
        <x:f t="shared" si="3"/>
      </x:c>
      <x:c r="AH58" s="11">
        <x:f t="shared" si="4"/>
        <x:v>0</x:v>
      </x:c>
      <x:c r="AI58" s="4" t="str">
        <x:f t="shared" si="5"/>
      </x:c>
      <x:c r="AJ58" s="4">
        <x:f t="shared" si="6"/>
        <x:v>0</x:v>
      </x:c>
      <x:c r="AK58" s="4">
        <x:f t="shared" si="7"/>
        <x:v>0</x:v>
      </x:c>
      <x:c r="AL58" s="11">
        <x:f t="shared" si="8"/>
        <x:v>0</x:v>
      </x:c>
      <x:c r="AM58" s="6"/>
      <x:c r="AN58" s="6"/>
    </x:row>
    <x:row r="59">
      <x:c r="A59" s="3" t="str">
        <x:f t="shared" si="0"/>
      </x:c>
      <x:c r="B59" s="9"/>
      <x:c r="C59" s="36"/>
      <x:c r="D59" s="6"/>
      <x:c r="E59" s="3" t="str">
        <x:f>IF(D59="","",IFERROR(VLOOKUP(D59,'Base Sectores'!$A$5:$J$47,2,FALSE),""))</x:f>
      </x:c>
      <x:c r="F59" s="40" t="str">
        <x:f>IF(D59="","",IFERROR(VLOOKUP(D59,'Base Sectores'!$A$5:$J$47,3,FALSE),""))</x:f>
      </x:c>
      <x:c r="G59" s="3" t="str">
        <x:f>IF(D59="","",IFERROR(VLOOKUP(D59,'Base Sectores'!$A$5:$J$47,4,FALSE),""))</x:f>
      </x:c>
      <x:c r="H59" s="3" t="str">
        <x:f>IF(D59="","",IFERROR(VLOOKUP(D59,'Base Sectores'!$A$5:$J$47,5,FALSE),""))</x:f>
      </x:c>
      <x:c r="I59" s="3" t="str">
        <x:f>IF(D59="","",IFERROR(VLOOKUP(D59,'Base Sectores'!$A$5:$J$47,6,FALSE),""))</x:f>
      </x:c>
      <x:c r="J59" s="3" t="str">
        <x:f>IF(D59="","",IFERROR(VLOOKUP(D59,'Base Sectores'!$A$5:$J$47,7,FALSE),""))</x:f>
      </x:c>
      <x:c r="K59" s="3" t="str">
        <x:f>IF(D59="","",IFERROR(VLOOKUP(D59,'Base Sectores'!$A$5:$J$47,9,FALSE),""))</x:f>
      </x:c>
      <x:c r="L59" s="6"/>
      <x:c r="M59" s="3" t="str">
        <x:f>IF(L59="","",IFERROR(VLOOKUP(L59,Configuracion!$D$4:$H$15,2,FALSE),""))</x:f>
      </x:c>
      <x:c r="N59" s="3" t="str">
        <x:f>IF(L59="","",IFERROR(VLOOKUP(L59,Configuracion!$D$4:$H$15,3,FALSE),""))</x:f>
      </x:c>
      <x:c r="O59" s="6"/>
      <x:c r="P59" s="3" t="str">
        <x:f>IF(L59="","",IFERROR(VLOOKUP(L59,Configuracion!$D$4:$H$15,4,FALSE),0))</x:f>
      </x:c>
      <x:c r="Q59" s="10"/>
      <x:c r="R59" s="10"/>
      <x:c r="S59" s="4" t="str">
        <x:f t="shared" si="9"/>
      </x:c>
      <x:c r="T59" s="6"/>
      <x:c r="U59" s="6"/>
      <x:c r="V59" s="6"/>
      <x:c r="W59" s="6"/>
      <x:c r="X59" s="6"/>
      <x:c r="Y59" s="6"/>
      <x:c r="Z59" s="6"/>
      <x:c r="AA59" s="6"/>
      <x:c r="AB59" s="6"/>
      <x:c r="AC59" s="10"/>
      <x:c r="AD59" s="10"/>
      <x:c r="AE59" s="4" t="str">
        <x:f t="shared" si="1"/>
      </x:c>
      <x:c r="AF59" s="4" t="str">
        <x:f t="shared" si="2"/>
      </x:c>
      <x:c r="AG59" s="4" t="str">
        <x:f t="shared" si="3"/>
      </x:c>
      <x:c r="AH59" s="11">
        <x:f t="shared" si="4"/>
        <x:v>0</x:v>
      </x:c>
      <x:c r="AI59" s="4" t="str">
        <x:f t="shared" si="5"/>
      </x:c>
      <x:c r="AJ59" s="4">
        <x:f t="shared" si="6"/>
        <x:v>0</x:v>
      </x:c>
      <x:c r="AK59" s="4">
        <x:f t="shared" si="7"/>
        <x:v>0</x:v>
      </x:c>
      <x:c r="AL59" s="11">
        <x:f t="shared" si="8"/>
        <x:v>0</x:v>
      </x:c>
      <x:c r="AM59" s="6"/>
      <x:c r="AN59" s="6"/>
    </x:row>
    <x:row r="60">
      <x:c r="A60" s="3" t="str">
        <x:f t="shared" si="0"/>
      </x:c>
      <x:c r="B60" s="9"/>
      <x:c r="C60" s="36"/>
      <x:c r="D60" s="6"/>
      <x:c r="E60" s="3" t="str">
        <x:f>IF(D60="","",IFERROR(VLOOKUP(D60,'Base Sectores'!$A$5:$J$47,2,FALSE),""))</x:f>
      </x:c>
      <x:c r="F60" s="40" t="str">
        <x:f>IF(D60="","",IFERROR(VLOOKUP(D60,'Base Sectores'!$A$5:$J$47,3,FALSE),""))</x:f>
      </x:c>
      <x:c r="G60" s="3" t="str">
        <x:f>IF(D60="","",IFERROR(VLOOKUP(D60,'Base Sectores'!$A$5:$J$47,4,FALSE),""))</x:f>
      </x:c>
      <x:c r="H60" s="3" t="str">
        <x:f>IF(D60="","",IFERROR(VLOOKUP(D60,'Base Sectores'!$A$5:$J$47,5,FALSE),""))</x:f>
      </x:c>
      <x:c r="I60" s="3" t="str">
        <x:f>IF(D60="","",IFERROR(VLOOKUP(D60,'Base Sectores'!$A$5:$J$47,6,FALSE),""))</x:f>
      </x:c>
      <x:c r="J60" s="3" t="str">
        <x:f>IF(D60="","",IFERROR(VLOOKUP(D60,'Base Sectores'!$A$5:$J$47,7,FALSE),""))</x:f>
      </x:c>
      <x:c r="K60" s="3" t="str">
        <x:f>IF(D60="","",IFERROR(VLOOKUP(D60,'Base Sectores'!$A$5:$J$47,9,FALSE),""))</x:f>
      </x:c>
      <x:c r="L60" s="6"/>
      <x:c r="M60" s="3" t="str">
        <x:f>IF(L60="","",IFERROR(VLOOKUP(L60,Configuracion!$D$4:$H$15,2,FALSE),""))</x:f>
      </x:c>
      <x:c r="N60" s="3" t="str">
        <x:f>IF(L60="","",IFERROR(VLOOKUP(L60,Configuracion!$D$4:$H$15,3,FALSE),""))</x:f>
      </x:c>
      <x:c r="O60" s="6"/>
      <x:c r="P60" s="3" t="str">
        <x:f>IF(L60="","",IFERROR(VLOOKUP(L60,Configuracion!$D$4:$H$15,4,FALSE),0))</x:f>
      </x:c>
      <x:c r="Q60" s="10"/>
      <x:c r="R60" s="10"/>
      <x:c r="S60" s="4" t="str">
        <x:f t="shared" si="9"/>
      </x:c>
      <x:c r="T60" s="6"/>
      <x:c r="U60" s="6"/>
      <x:c r="V60" s="6"/>
      <x:c r="W60" s="6"/>
      <x:c r="X60" s="6"/>
      <x:c r="Y60" s="6"/>
      <x:c r="Z60" s="6"/>
      <x:c r="AA60" s="6"/>
      <x:c r="AB60" s="6"/>
      <x:c r="AC60" s="10"/>
      <x:c r="AD60" s="10"/>
      <x:c r="AE60" s="4" t="str">
        <x:f t="shared" si="1"/>
      </x:c>
      <x:c r="AF60" s="4" t="str">
        <x:f t="shared" si="2"/>
      </x:c>
      <x:c r="AG60" s="4" t="str">
        <x:f t="shared" si="3"/>
      </x:c>
      <x:c r="AH60" s="11">
        <x:f t="shared" si="4"/>
        <x:v>0</x:v>
      </x:c>
      <x:c r="AI60" s="4" t="str">
        <x:f t="shared" si="5"/>
      </x:c>
      <x:c r="AJ60" s="4">
        <x:f t="shared" si="6"/>
        <x:v>0</x:v>
      </x:c>
      <x:c r="AK60" s="4">
        <x:f t="shared" si="7"/>
        <x:v>0</x:v>
      </x:c>
      <x:c r="AL60" s="11">
        <x:f t="shared" si="8"/>
        <x:v>0</x:v>
      </x:c>
      <x:c r="AM60" s="6"/>
      <x:c r="AN60" s="6"/>
    </x:row>
    <x:row r="61">
      <x:c r="A61" s="3" t="str">
        <x:f t="shared" si="0"/>
      </x:c>
      <x:c r="B61" s="9"/>
      <x:c r="C61" s="36"/>
      <x:c r="D61" s="6"/>
      <x:c r="E61" s="3" t="str">
        <x:f>IF(D61="","",IFERROR(VLOOKUP(D61,'Base Sectores'!$A$5:$J$47,2,FALSE),""))</x:f>
      </x:c>
      <x:c r="F61" s="40" t="str">
        <x:f>IF(D61="","",IFERROR(VLOOKUP(D61,'Base Sectores'!$A$5:$J$47,3,FALSE),""))</x:f>
      </x:c>
      <x:c r="G61" s="3" t="str">
        <x:f>IF(D61="","",IFERROR(VLOOKUP(D61,'Base Sectores'!$A$5:$J$47,4,FALSE),""))</x:f>
      </x:c>
      <x:c r="H61" s="3" t="str">
        <x:f>IF(D61="","",IFERROR(VLOOKUP(D61,'Base Sectores'!$A$5:$J$47,5,FALSE),""))</x:f>
      </x:c>
      <x:c r="I61" s="3" t="str">
        <x:f>IF(D61="","",IFERROR(VLOOKUP(D61,'Base Sectores'!$A$5:$J$47,6,FALSE),""))</x:f>
      </x:c>
      <x:c r="J61" s="3" t="str">
        <x:f>IF(D61="","",IFERROR(VLOOKUP(D61,'Base Sectores'!$A$5:$J$47,7,FALSE),""))</x:f>
      </x:c>
      <x:c r="K61" s="3" t="str">
        <x:f>IF(D61="","",IFERROR(VLOOKUP(D61,'Base Sectores'!$A$5:$J$47,9,FALSE),""))</x:f>
      </x:c>
      <x:c r="L61" s="6"/>
      <x:c r="M61" s="3" t="str">
        <x:f>IF(L61="","",IFERROR(VLOOKUP(L61,Configuracion!$D$4:$H$15,2,FALSE),""))</x:f>
      </x:c>
      <x:c r="N61" s="3" t="str">
        <x:f>IF(L61="","",IFERROR(VLOOKUP(L61,Configuracion!$D$4:$H$15,3,FALSE),""))</x:f>
      </x:c>
      <x:c r="O61" s="6"/>
      <x:c r="P61" s="3" t="str">
        <x:f>IF(L61="","",IFERROR(VLOOKUP(L61,Configuracion!$D$4:$H$15,4,FALSE),0))</x:f>
      </x:c>
      <x:c r="Q61" s="10"/>
      <x:c r="R61" s="10"/>
      <x:c r="S61" s="4" t="str">
        <x:f t="shared" si="9"/>
      </x:c>
      <x:c r="T61" s="6"/>
      <x:c r="U61" s="6"/>
      <x:c r="V61" s="6"/>
      <x:c r="W61" s="6"/>
      <x:c r="X61" s="6"/>
      <x:c r="Y61" s="6"/>
      <x:c r="Z61" s="6"/>
      <x:c r="AA61" s="6"/>
      <x:c r="AB61" s="6"/>
      <x:c r="AC61" s="10"/>
      <x:c r="AD61" s="10"/>
      <x:c r="AE61" s="4" t="str">
        <x:f t="shared" si="1"/>
      </x:c>
      <x:c r="AF61" s="4" t="str">
        <x:f t="shared" si="2"/>
      </x:c>
      <x:c r="AG61" s="4" t="str">
        <x:f t="shared" si="3"/>
      </x:c>
      <x:c r="AH61" s="11">
        <x:f t="shared" si="4"/>
        <x:v>0</x:v>
      </x:c>
      <x:c r="AI61" s="4" t="str">
        <x:f t="shared" si="5"/>
      </x:c>
      <x:c r="AJ61" s="4">
        <x:f t="shared" si="6"/>
        <x:v>0</x:v>
      </x:c>
      <x:c r="AK61" s="4">
        <x:f t="shared" si="7"/>
        <x:v>0</x:v>
      </x:c>
      <x:c r="AL61" s="11">
        <x:f t="shared" si="8"/>
        <x:v>0</x:v>
      </x:c>
      <x:c r="AM61" s="6"/>
      <x:c r="AN61" s="6"/>
    </x:row>
    <x:row r="62">
      <x:c r="A62" s="3" t="str">
        <x:f t="shared" si="0"/>
      </x:c>
      <x:c r="B62" s="9"/>
      <x:c r="C62" s="36"/>
      <x:c r="D62" s="6"/>
      <x:c r="E62" s="3" t="str">
        <x:f>IF(D62="","",IFERROR(VLOOKUP(D62,'Base Sectores'!$A$5:$J$47,2,FALSE),""))</x:f>
      </x:c>
      <x:c r="F62" s="40" t="str">
        <x:f>IF(D62="","",IFERROR(VLOOKUP(D62,'Base Sectores'!$A$5:$J$47,3,FALSE),""))</x:f>
      </x:c>
      <x:c r="G62" s="3" t="str">
        <x:f>IF(D62="","",IFERROR(VLOOKUP(D62,'Base Sectores'!$A$5:$J$47,4,FALSE),""))</x:f>
      </x:c>
      <x:c r="H62" s="3" t="str">
        <x:f>IF(D62="","",IFERROR(VLOOKUP(D62,'Base Sectores'!$A$5:$J$47,5,FALSE),""))</x:f>
      </x:c>
      <x:c r="I62" s="3" t="str">
        <x:f>IF(D62="","",IFERROR(VLOOKUP(D62,'Base Sectores'!$A$5:$J$47,6,FALSE),""))</x:f>
      </x:c>
      <x:c r="J62" s="3" t="str">
        <x:f>IF(D62="","",IFERROR(VLOOKUP(D62,'Base Sectores'!$A$5:$J$47,7,FALSE),""))</x:f>
      </x:c>
      <x:c r="K62" s="3" t="str">
        <x:f>IF(D62="","",IFERROR(VLOOKUP(D62,'Base Sectores'!$A$5:$J$47,9,FALSE),""))</x:f>
      </x:c>
      <x:c r="L62" s="6"/>
      <x:c r="M62" s="3" t="str">
        <x:f>IF(L62="","",IFERROR(VLOOKUP(L62,Configuracion!$D$4:$H$15,2,FALSE),""))</x:f>
      </x:c>
      <x:c r="N62" s="3" t="str">
        <x:f>IF(L62="","",IFERROR(VLOOKUP(L62,Configuracion!$D$4:$H$15,3,FALSE),""))</x:f>
      </x:c>
      <x:c r="O62" s="6"/>
      <x:c r="P62" s="3" t="str">
        <x:f>IF(L62="","",IFERROR(VLOOKUP(L62,Configuracion!$D$4:$H$15,4,FALSE),0))</x:f>
      </x:c>
      <x:c r="Q62" s="10"/>
      <x:c r="R62" s="10"/>
      <x:c r="S62" s="4" t="str">
        <x:f t="shared" si="9"/>
      </x:c>
      <x:c r="T62" s="6"/>
      <x:c r="U62" s="6"/>
      <x:c r="V62" s="6"/>
      <x:c r="W62" s="6"/>
      <x:c r="X62" s="6"/>
      <x:c r="Y62" s="6"/>
      <x:c r="Z62" s="6"/>
      <x:c r="AA62" s="6"/>
      <x:c r="AB62" s="6"/>
      <x:c r="AC62" s="10"/>
      <x:c r="AD62" s="10"/>
      <x:c r="AE62" s="4" t="str">
        <x:f t="shared" si="1"/>
      </x:c>
      <x:c r="AF62" s="4" t="str">
        <x:f t="shared" si="2"/>
      </x:c>
      <x:c r="AG62" s="4" t="str">
        <x:f t="shared" si="3"/>
      </x:c>
      <x:c r="AH62" s="11">
        <x:f t="shared" si="4"/>
        <x:v>0</x:v>
      </x:c>
      <x:c r="AI62" s="4" t="str">
        <x:f t="shared" si="5"/>
      </x:c>
      <x:c r="AJ62" s="4">
        <x:f t="shared" si="6"/>
        <x:v>0</x:v>
      </x:c>
      <x:c r="AK62" s="4">
        <x:f t="shared" si="7"/>
        <x:v>0</x:v>
      </x:c>
      <x:c r="AL62" s="11">
        <x:f t="shared" si="8"/>
        <x:v>0</x:v>
      </x:c>
      <x:c r="AM62" s="6"/>
      <x:c r="AN62" s="6"/>
    </x:row>
    <x:row r="63">
      <x:c r="A63" s="3" t="str">
        <x:f t="shared" si="0"/>
      </x:c>
      <x:c r="B63" s="9"/>
      <x:c r="C63" s="36"/>
      <x:c r="D63" s="6"/>
      <x:c r="E63" s="3" t="str">
        <x:f>IF(D63="","",IFERROR(VLOOKUP(D63,'Base Sectores'!$A$5:$J$47,2,FALSE),""))</x:f>
      </x:c>
      <x:c r="F63" s="40" t="str">
        <x:f>IF(D63="","",IFERROR(VLOOKUP(D63,'Base Sectores'!$A$5:$J$47,3,FALSE),""))</x:f>
      </x:c>
      <x:c r="G63" s="3" t="str">
        <x:f>IF(D63="","",IFERROR(VLOOKUP(D63,'Base Sectores'!$A$5:$J$47,4,FALSE),""))</x:f>
      </x:c>
      <x:c r="H63" s="3" t="str">
        <x:f>IF(D63="","",IFERROR(VLOOKUP(D63,'Base Sectores'!$A$5:$J$47,5,FALSE),""))</x:f>
      </x:c>
      <x:c r="I63" s="3" t="str">
        <x:f>IF(D63="","",IFERROR(VLOOKUP(D63,'Base Sectores'!$A$5:$J$47,6,FALSE),""))</x:f>
      </x:c>
      <x:c r="J63" s="3" t="str">
        <x:f>IF(D63="","",IFERROR(VLOOKUP(D63,'Base Sectores'!$A$5:$J$47,7,FALSE),""))</x:f>
      </x:c>
      <x:c r="K63" s="3" t="str">
        <x:f>IF(D63="","",IFERROR(VLOOKUP(D63,'Base Sectores'!$A$5:$J$47,9,FALSE),""))</x:f>
      </x:c>
      <x:c r="L63" s="6"/>
      <x:c r="M63" s="3" t="str">
        <x:f>IF(L63="","",IFERROR(VLOOKUP(L63,Configuracion!$D$4:$H$15,2,FALSE),""))</x:f>
      </x:c>
      <x:c r="N63" s="3" t="str">
        <x:f>IF(L63="","",IFERROR(VLOOKUP(L63,Configuracion!$D$4:$H$15,3,FALSE),""))</x:f>
      </x:c>
      <x:c r="O63" s="6"/>
      <x:c r="P63" s="3" t="str">
        <x:f>IF(L63="","",IFERROR(VLOOKUP(L63,Configuracion!$D$4:$H$15,4,FALSE),0))</x:f>
      </x:c>
      <x:c r="Q63" s="10"/>
      <x:c r="R63" s="10"/>
      <x:c r="S63" s="4" t="str">
        <x:f t="shared" si="9"/>
      </x:c>
      <x:c r="T63" s="6"/>
      <x:c r="U63" s="6"/>
      <x:c r="V63" s="6"/>
      <x:c r="W63" s="6"/>
      <x:c r="X63" s="6"/>
      <x:c r="Y63" s="6"/>
      <x:c r="Z63" s="6"/>
      <x:c r="AA63" s="6"/>
      <x:c r="AB63" s="6"/>
      <x:c r="AC63" s="10"/>
      <x:c r="AD63" s="10"/>
      <x:c r="AE63" s="4" t="str">
        <x:f t="shared" si="1"/>
      </x:c>
      <x:c r="AF63" s="4" t="str">
        <x:f t="shared" si="2"/>
      </x:c>
      <x:c r="AG63" s="4" t="str">
        <x:f t="shared" si="3"/>
      </x:c>
      <x:c r="AH63" s="11">
        <x:f t="shared" si="4"/>
        <x:v>0</x:v>
      </x:c>
      <x:c r="AI63" s="4" t="str">
        <x:f t="shared" si="5"/>
      </x:c>
      <x:c r="AJ63" s="4">
        <x:f t="shared" si="6"/>
        <x:v>0</x:v>
      </x:c>
      <x:c r="AK63" s="4">
        <x:f t="shared" si="7"/>
        <x:v>0</x:v>
      </x:c>
      <x:c r="AL63" s="11">
        <x:f t="shared" si="8"/>
        <x:v>0</x:v>
      </x:c>
      <x:c r="AM63" s="6"/>
      <x:c r="AN63" s="6"/>
    </x:row>
    <x:row r="64">
      <x:c r="A64" s="3" t="str">
        <x:f t="shared" si="0"/>
      </x:c>
      <x:c r="B64" s="9"/>
      <x:c r="C64" s="36"/>
      <x:c r="D64" s="6"/>
      <x:c r="E64" s="3" t="str">
        <x:f>IF(D64="","",IFERROR(VLOOKUP(D64,'Base Sectores'!$A$5:$J$47,2,FALSE),""))</x:f>
      </x:c>
      <x:c r="F64" s="40" t="str">
        <x:f>IF(D64="","",IFERROR(VLOOKUP(D64,'Base Sectores'!$A$5:$J$47,3,FALSE),""))</x:f>
      </x:c>
      <x:c r="G64" s="3" t="str">
        <x:f>IF(D64="","",IFERROR(VLOOKUP(D64,'Base Sectores'!$A$5:$J$47,4,FALSE),""))</x:f>
      </x:c>
      <x:c r="H64" s="3" t="str">
        <x:f>IF(D64="","",IFERROR(VLOOKUP(D64,'Base Sectores'!$A$5:$J$47,5,FALSE),""))</x:f>
      </x:c>
      <x:c r="I64" s="3" t="str">
        <x:f>IF(D64="","",IFERROR(VLOOKUP(D64,'Base Sectores'!$A$5:$J$47,6,FALSE),""))</x:f>
      </x:c>
      <x:c r="J64" s="3" t="str">
        <x:f>IF(D64="","",IFERROR(VLOOKUP(D64,'Base Sectores'!$A$5:$J$47,7,FALSE),""))</x:f>
      </x:c>
      <x:c r="K64" s="3" t="str">
        <x:f>IF(D64="","",IFERROR(VLOOKUP(D64,'Base Sectores'!$A$5:$J$47,9,FALSE),""))</x:f>
      </x:c>
      <x:c r="L64" s="6"/>
      <x:c r="M64" s="3" t="str">
        <x:f>IF(L64="","",IFERROR(VLOOKUP(L64,Configuracion!$D$4:$H$15,2,FALSE),""))</x:f>
      </x:c>
      <x:c r="N64" s="3" t="str">
        <x:f>IF(L64="","",IFERROR(VLOOKUP(L64,Configuracion!$D$4:$H$15,3,FALSE),""))</x:f>
      </x:c>
      <x:c r="O64" s="6"/>
      <x:c r="P64" s="3" t="str">
        <x:f>IF(L64="","",IFERROR(VLOOKUP(L64,Configuracion!$D$4:$H$15,4,FALSE),0))</x:f>
      </x:c>
      <x:c r="Q64" s="10"/>
      <x:c r="R64" s="10"/>
      <x:c r="S64" s="4" t="str">
        <x:f t="shared" si="9"/>
      </x:c>
      <x:c r="T64" s="6"/>
      <x:c r="U64" s="6"/>
      <x:c r="V64" s="6"/>
      <x:c r="W64" s="6"/>
      <x:c r="X64" s="6"/>
      <x:c r="Y64" s="6"/>
      <x:c r="Z64" s="6"/>
      <x:c r="AA64" s="6"/>
      <x:c r="AB64" s="6"/>
      <x:c r="AC64" s="10"/>
      <x:c r="AD64" s="10"/>
      <x:c r="AE64" s="4" t="str">
        <x:f t="shared" si="1"/>
      </x:c>
      <x:c r="AF64" s="4" t="str">
        <x:f t="shared" si="2"/>
      </x:c>
      <x:c r="AG64" s="4" t="str">
        <x:f t="shared" si="3"/>
      </x:c>
      <x:c r="AH64" s="11">
        <x:f t="shared" si="4"/>
        <x:v>0</x:v>
      </x:c>
      <x:c r="AI64" s="4" t="str">
        <x:f t="shared" si="5"/>
      </x:c>
      <x:c r="AJ64" s="4">
        <x:f t="shared" si="6"/>
        <x:v>0</x:v>
      </x:c>
      <x:c r="AK64" s="4">
        <x:f t="shared" si="7"/>
        <x:v>0</x:v>
      </x:c>
      <x:c r="AL64" s="11">
        <x:f t="shared" si="8"/>
        <x:v>0</x:v>
      </x:c>
      <x:c r="AM64" s="6"/>
      <x:c r="AN64" s="6"/>
    </x:row>
    <x:row r="65">
      <x:c r="A65" s="3" t="str">
        <x:f t="shared" si="0"/>
      </x:c>
      <x:c r="B65" s="9"/>
      <x:c r="C65" s="36"/>
      <x:c r="D65" s="6"/>
      <x:c r="E65" s="3" t="str">
        <x:f>IF(D65="","",IFERROR(VLOOKUP(D65,'Base Sectores'!$A$5:$J$47,2,FALSE),""))</x:f>
      </x:c>
      <x:c r="F65" s="40" t="str">
        <x:f>IF(D65="","",IFERROR(VLOOKUP(D65,'Base Sectores'!$A$5:$J$47,3,FALSE),""))</x:f>
      </x:c>
      <x:c r="G65" s="3" t="str">
        <x:f>IF(D65="","",IFERROR(VLOOKUP(D65,'Base Sectores'!$A$5:$J$47,4,FALSE),""))</x:f>
      </x:c>
      <x:c r="H65" s="3" t="str">
        <x:f>IF(D65="","",IFERROR(VLOOKUP(D65,'Base Sectores'!$A$5:$J$47,5,FALSE),""))</x:f>
      </x:c>
      <x:c r="I65" s="3" t="str">
        <x:f>IF(D65="","",IFERROR(VLOOKUP(D65,'Base Sectores'!$A$5:$J$47,6,FALSE),""))</x:f>
      </x:c>
      <x:c r="J65" s="3" t="str">
        <x:f>IF(D65="","",IFERROR(VLOOKUP(D65,'Base Sectores'!$A$5:$J$47,7,FALSE),""))</x:f>
      </x:c>
      <x:c r="K65" s="3" t="str">
        <x:f>IF(D65="","",IFERROR(VLOOKUP(D65,'Base Sectores'!$A$5:$J$47,9,FALSE),""))</x:f>
      </x:c>
      <x:c r="L65" s="6"/>
      <x:c r="M65" s="3" t="str">
        <x:f>IF(L65="","",IFERROR(VLOOKUP(L65,Configuracion!$D$4:$H$15,2,FALSE),""))</x:f>
      </x:c>
      <x:c r="N65" s="3" t="str">
        <x:f>IF(L65="","",IFERROR(VLOOKUP(L65,Configuracion!$D$4:$H$15,3,FALSE),""))</x:f>
      </x:c>
      <x:c r="O65" s="6"/>
      <x:c r="P65" s="3" t="str">
        <x:f>IF(L65="","",IFERROR(VLOOKUP(L65,Configuracion!$D$4:$H$15,4,FALSE),0))</x:f>
      </x:c>
      <x:c r="Q65" s="10"/>
      <x:c r="R65" s="10"/>
      <x:c r="S65" s="4" t="str">
        <x:f t="shared" si="9"/>
      </x:c>
      <x:c r="T65" s="6"/>
      <x:c r="U65" s="6"/>
      <x:c r="V65" s="6"/>
      <x:c r="W65" s="6"/>
      <x:c r="X65" s="6"/>
      <x:c r="Y65" s="6"/>
      <x:c r="Z65" s="6"/>
      <x:c r="AA65" s="6"/>
      <x:c r="AB65" s="6"/>
      <x:c r="AC65" s="10"/>
      <x:c r="AD65" s="10"/>
      <x:c r="AE65" s="4" t="str">
        <x:f t="shared" si="1"/>
      </x:c>
      <x:c r="AF65" s="4" t="str">
        <x:f t="shared" si="2"/>
      </x:c>
      <x:c r="AG65" s="4" t="str">
        <x:f t="shared" si="3"/>
      </x:c>
      <x:c r="AH65" s="11">
        <x:f t="shared" si="4"/>
        <x:v>0</x:v>
      </x:c>
      <x:c r="AI65" s="4" t="str">
        <x:f t="shared" si="5"/>
      </x:c>
      <x:c r="AJ65" s="4">
        <x:f t="shared" si="6"/>
        <x:v>0</x:v>
      </x:c>
      <x:c r="AK65" s="4">
        <x:f t="shared" si="7"/>
        <x:v>0</x:v>
      </x:c>
      <x:c r="AL65" s="11">
        <x:f t="shared" si="8"/>
        <x:v>0</x:v>
      </x:c>
      <x:c r="AM65" s="6"/>
      <x:c r="AN65" s="6"/>
    </x:row>
    <x:row r="66">
      <x:c r="A66" s="3" t="str">
        <x:f t="shared" si="0"/>
      </x:c>
      <x:c r="B66" s="9"/>
      <x:c r="C66" s="36"/>
      <x:c r="D66" s="6"/>
      <x:c r="E66" s="3" t="str">
        <x:f>IF(D66="","",IFERROR(VLOOKUP(D66,'Base Sectores'!$A$5:$J$47,2,FALSE),""))</x:f>
      </x:c>
      <x:c r="F66" s="40" t="str">
        <x:f>IF(D66="","",IFERROR(VLOOKUP(D66,'Base Sectores'!$A$5:$J$47,3,FALSE),""))</x:f>
      </x:c>
      <x:c r="G66" s="3" t="str">
        <x:f>IF(D66="","",IFERROR(VLOOKUP(D66,'Base Sectores'!$A$5:$J$47,4,FALSE),""))</x:f>
      </x:c>
      <x:c r="H66" s="3" t="str">
        <x:f>IF(D66="","",IFERROR(VLOOKUP(D66,'Base Sectores'!$A$5:$J$47,5,FALSE),""))</x:f>
      </x:c>
      <x:c r="I66" s="3" t="str">
        <x:f>IF(D66="","",IFERROR(VLOOKUP(D66,'Base Sectores'!$A$5:$J$47,6,FALSE),""))</x:f>
      </x:c>
      <x:c r="J66" s="3" t="str">
        <x:f>IF(D66="","",IFERROR(VLOOKUP(D66,'Base Sectores'!$A$5:$J$47,7,FALSE),""))</x:f>
      </x:c>
      <x:c r="K66" s="3" t="str">
        <x:f>IF(D66="","",IFERROR(VLOOKUP(D66,'Base Sectores'!$A$5:$J$47,9,FALSE),""))</x:f>
      </x:c>
      <x:c r="L66" s="6"/>
      <x:c r="M66" s="3" t="str">
        <x:f>IF(L66="","",IFERROR(VLOOKUP(L66,Configuracion!$D$4:$H$15,2,FALSE),""))</x:f>
      </x:c>
      <x:c r="N66" s="3" t="str">
        <x:f>IF(L66="","",IFERROR(VLOOKUP(L66,Configuracion!$D$4:$H$15,3,FALSE),""))</x:f>
      </x:c>
      <x:c r="O66" s="6"/>
      <x:c r="P66" s="3" t="str">
        <x:f>IF(L66="","",IFERROR(VLOOKUP(L66,Configuracion!$D$4:$H$15,4,FALSE),0))</x:f>
      </x:c>
      <x:c r="Q66" s="10"/>
      <x:c r="R66" s="10"/>
      <x:c r="S66" s="4" t="str">
        <x:f t="shared" si="9"/>
      </x:c>
      <x:c r="T66" s="6"/>
      <x:c r="U66" s="6"/>
      <x:c r="V66" s="6"/>
      <x:c r="W66" s="6"/>
      <x:c r="X66" s="6"/>
      <x:c r="Y66" s="6"/>
      <x:c r="Z66" s="6"/>
      <x:c r="AA66" s="6"/>
      <x:c r="AB66" s="6"/>
      <x:c r="AC66" s="10"/>
      <x:c r="AD66" s="10"/>
      <x:c r="AE66" s="4" t="str">
        <x:f t="shared" si="1"/>
      </x:c>
      <x:c r="AF66" s="4" t="str">
        <x:f t="shared" si="2"/>
      </x:c>
      <x:c r="AG66" s="4" t="str">
        <x:f t="shared" si="3"/>
      </x:c>
      <x:c r="AH66" s="11">
        <x:f t="shared" si="4"/>
        <x:v>0</x:v>
      </x:c>
      <x:c r="AI66" s="4" t="str">
        <x:f t="shared" si="5"/>
      </x:c>
      <x:c r="AJ66" s="4">
        <x:f t="shared" si="6"/>
        <x:v>0</x:v>
      </x:c>
      <x:c r="AK66" s="4">
        <x:f t="shared" si="7"/>
        <x:v>0</x:v>
      </x:c>
      <x:c r="AL66" s="11">
        <x:f t="shared" si="8"/>
        <x:v>0</x:v>
      </x:c>
      <x:c r="AM66" s="6"/>
      <x:c r="AN66" s="6"/>
    </x:row>
    <x:row r="67">
      <x:c r="A67" s="3" t="str">
        <x:f t="shared" si="0"/>
      </x:c>
      <x:c r="B67" s="9"/>
      <x:c r="C67" s="36"/>
      <x:c r="D67" s="6"/>
      <x:c r="E67" s="3" t="str">
        <x:f>IF(D67="","",IFERROR(VLOOKUP(D67,'Base Sectores'!$A$5:$J$47,2,FALSE),""))</x:f>
      </x:c>
      <x:c r="F67" s="40" t="str">
        <x:f>IF(D67="","",IFERROR(VLOOKUP(D67,'Base Sectores'!$A$5:$J$47,3,FALSE),""))</x:f>
      </x:c>
      <x:c r="G67" s="3" t="str">
        <x:f>IF(D67="","",IFERROR(VLOOKUP(D67,'Base Sectores'!$A$5:$J$47,4,FALSE),""))</x:f>
      </x:c>
      <x:c r="H67" s="3" t="str">
        <x:f>IF(D67="","",IFERROR(VLOOKUP(D67,'Base Sectores'!$A$5:$J$47,5,FALSE),""))</x:f>
      </x:c>
      <x:c r="I67" s="3" t="str">
        <x:f>IF(D67="","",IFERROR(VLOOKUP(D67,'Base Sectores'!$A$5:$J$47,6,FALSE),""))</x:f>
      </x:c>
      <x:c r="J67" s="3" t="str">
        <x:f>IF(D67="","",IFERROR(VLOOKUP(D67,'Base Sectores'!$A$5:$J$47,7,FALSE),""))</x:f>
      </x:c>
      <x:c r="K67" s="3" t="str">
        <x:f>IF(D67="","",IFERROR(VLOOKUP(D67,'Base Sectores'!$A$5:$J$47,9,FALSE),""))</x:f>
      </x:c>
      <x:c r="L67" s="6"/>
      <x:c r="M67" s="3" t="str">
        <x:f>IF(L67="","",IFERROR(VLOOKUP(L67,Configuracion!$D$4:$H$15,2,FALSE),""))</x:f>
      </x:c>
      <x:c r="N67" s="3" t="str">
        <x:f>IF(L67="","",IFERROR(VLOOKUP(L67,Configuracion!$D$4:$H$15,3,FALSE),""))</x:f>
      </x:c>
      <x:c r="O67" s="6"/>
      <x:c r="P67" s="3" t="str">
        <x:f>IF(L67="","",IFERROR(VLOOKUP(L67,Configuracion!$D$4:$H$15,4,FALSE),0))</x:f>
      </x:c>
      <x:c r="Q67" s="10"/>
      <x:c r="R67" s="10"/>
      <x:c r="S67" s="4" t="str">
        <x:f t="shared" si="9"/>
      </x:c>
      <x:c r="T67" s="6"/>
      <x:c r="U67" s="6"/>
      <x:c r="V67" s="6"/>
      <x:c r="W67" s="6"/>
      <x:c r="X67" s="6"/>
      <x:c r="Y67" s="6"/>
      <x:c r="Z67" s="6"/>
      <x:c r="AA67" s="6"/>
      <x:c r="AB67" s="6"/>
      <x:c r="AC67" s="10"/>
      <x:c r="AD67" s="10"/>
      <x:c r="AE67" s="4" t="str">
        <x:f t="shared" si="1"/>
      </x:c>
      <x:c r="AF67" s="4" t="str">
        <x:f t="shared" si="2"/>
      </x:c>
      <x:c r="AG67" s="4" t="str">
        <x:f t="shared" si="3"/>
      </x:c>
      <x:c r="AH67" s="11">
        <x:f t="shared" si="4"/>
        <x:v>0</x:v>
      </x:c>
      <x:c r="AI67" s="4" t="str">
        <x:f t="shared" si="5"/>
      </x:c>
      <x:c r="AJ67" s="4">
        <x:f t="shared" si="6"/>
        <x:v>0</x:v>
      </x:c>
      <x:c r="AK67" s="4">
        <x:f t="shared" si="7"/>
        <x:v>0</x:v>
      </x:c>
      <x:c r="AL67" s="11">
        <x:f t="shared" si="8"/>
        <x:v>0</x:v>
      </x:c>
      <x:c r="AM67" s="6"/>
      <x:c r="AN67" s="6"/>
    </x:row>
    <x:row r="68">
      <x:c r="A68" s="3" t="str">
        <x:f t="shared" si="0"/>
      </x:c>
      <x:c r="B68" s="9"/>
      <x:c r="C68" s="36"/>
      <x:c r="D68" s="6"/>
      <x:c r="E68" s="3" t="str">
        <x:f>IF(D68="","",IFERROR(VLOOKUP(D68,'Base Sectores'!$A$5:$J$47,2,FALSE),""))</x:f>
      </x:c>
      <x:c r="F68" s="40" t="str">
        <x:f>IF(D68="","",IFERROR(VLOOKUP(D68,'Base Sectores'!$A$5:$J$47,3,FALSE),""))</x:f>
      </x:c>
      <x:c r="G68" s="3" t="str">
        <x:f>IF(D68="","",IFERROR(VLOOKUP(D68,'Base Sectores'!$A$5:$J$47,4,FALSE),""))</x:f>
      </x:c>
      <x:c r="H68" s="3" t="str">
        <x:f>IF(D68="","",IFERROR(VLOOKUP(D68,'Base Sectores'!$A$5:$J$47,5,FALSE),""))</x:f>
      </x:c>
      <x:c r="I68" s="3" t="str">
        <x:f>IF(D68="","",IFERROR(VLOOKUP(D68,'Base Sectores'!$A$5:$J$47,6,FALSE),""))</x:f>
      </x:c>
      <x:c r="J68" s="3" t="str">
        <x:f>IF(D68="","",IFERROR(VLOOKUP(D68,'Base Sectores'!$A$5:$J$47,7,FALSE),""))</x:f>
      </x:c>
      <x:c r="K68" s="3" t="str">
        <x:f>IF(D68="","",IFERROR(VLOOKUP(D68,'Base Sectores'!$A$5:$J$47,9,FALSE),""))</x:f>
      </x:c>
      <x:c r="L68" s="6"/>
      <x:c r="M68" s="3" t="str">
        <x:f>IF(L68="","",IFERROR(VLOOKUP(L68,Configuracion!$D$4:$H$15,2,FALSE),""))</x:f>
      </x:c>
      <x:c r="N68" s="3" t="str">
        <x:f>IF(L68="","",IFERROR(VLOOKUP(L68,Configuracion!$D$4:$H$15,3,FALSE),""))</x:f>
      </x:c>
      <x:c r="O68" s="6"/>
      <x:c r="P68" s="3" t="str">
        <x:f>IF(L68="","",IFERROR(VLOOKUP(L68,Configuracion!$D$4:$H$15,4,FALSE),0))</x:f>
      </x:c>
      <x:c r="Q68" s="10"/>
      <x:c r="R68" s="10"/>
      <x:c r="S68" s="4" t="str">
        <x:f t="shared" si="9"/>
      </x:c>
      <x:c r="T68" s="6"/>
      <x:c r="U68" s="6"/>
      <x:c r="V68" s="6"/>
      <x:c r="W68" s="6"/>
      <x:c r="X68" s="6"/>
      <x:c r="Y68" s="6"/>
      <x:c r="Z68" s="6"/>
      <x:c r="AA68" s="6"/>
      <x:c r="AB68" s="6"/>
      <x:c r="AC68" s="10"/>
      <x:c r="AD68" s="10"/>
      <x:c r="AE68" s="4" t="str">
        <x:f t="shared" si="1"/>
      </x:c>
      <x:c r="AF68" s="4" t="str">
        <x:f t="shared" si="2"/>
      </x:c>
      <x:c r="AG68" s="4" t="str">
        <x:f t="shared" si="3"/>
      </x:c>
      <x:c r="AH68" s="11">
        <x:f t="shared" si="4"/>
        <x:v>0</x:v>
      </x:c>
      <x:c r="AI68" s="4" t="str">
        <x:f t="shared" si="5"/>
      </x:c>
      <x:c r="AJ68" s="4">
        <x:f t="shared" si="6"/>
        <x:v>0</x:v>
      </x:c>
      <x:c r="AK68" s="4">
        <x:f t="shared" si="7"/>
        <x:v>0</x:v>
      </x:c>
      <x:c r="AL68" s="11">
        <x:f t="shared" si="8"/>
        <x:v>0</x:v>
      </x:c>
      <x:c r="AM68" s="6"/>
      <x:c r="AN68" s="6"/>
    </x:row>
    <x:row r="69">
      <x:c r="A69" s="3" t="str">
        <x:f t="shared" ref="A69:A132" si="10">IF(OR(B69="",C69=""),"",TEXT(B69,"yyyymmdd")&amp;"-"&amp;TEXT(C69,"00"))</x:f>
      </x:c>
      <x:c r="B69" s="9"/>
      <x:c r="C69" s="36"/>
      <x:c r="D69" s="6"/>
      <x:c r="E69" s="3" t="str">
        <x:f>IF(D69="","",IFERROR(VLOOKUP(D69,'Base Sectores'!$A$5:$J$47,2,FALSE),""))</x:f>
      </x:c>
      <x:c r="F69" s="40" t="str">
        <x:f>IF(D69="","",IFERROR(VLOOKUP(D69,'Base Sectores'!$A$5:$J$47,3,FALSE),""))</x:f>
      </x:c>
      <x:c r="G69" s="3" t="str">
        <x:f>IF(D69="","",IFERROR(VLOOKUP(D69,'Base Sectores'!$A$5:$J$47,4,FALSE),""))</x:f>
      </x:c>
      <x:c r="H69" s="3" t="str">
        <x:f>IF(D69="","",IFERROR(VLOOKUP(D69,'Base Sectores'!$A$5:$J$47,5,FALSE),""))</x:f>
      </x:c>
      <x:c r="I69" s="3" t="str">
        <x:f>IF(D69="","",IFERROR(VLOOKUP(D69,'Base Sectores'!$A$5:$J$47,6,FALSE),""))</x:f>
      </x:c>
      <x:c r="J69" s="3" t="str">
        <x:f>IF(D69="","",IFERROR(VLOOKUP(D69,'Base Sectores'!$A$5:$J$47,7,FALSE),""))</x:f>
      </x:c>
      <x:c r="K69" s="3" t="str">
        <x:f>IF(D69="","",IFERROR(VLOOKUP(D69,'Base Sectores'!$A$5:$J$47,9,FALSE),""))</x:f>
      </x:c>
      <x:c r="L69" s="6"/>
      <x:c r="M69" s="3" t="str">
        <x:f>IF(L69="","",IFERROR(VLOOKUP(L69,Configuracion!$D$4:$H$15,2,FALSE),""))</x:f>
      </x:c>
      <x:c r="N69" s="3" t="str">
        <x:f>IF(L69="","",IFERROR(VLOOKUP(L69,Configuracion!$D$4:$H$15,3,FALSE),""))</x:f>
      </x:c>
      <x:c r="O69" s="6"/>
      <x:c r="P69" s="3" t="str">
        <x:f>IF(L69="","",IFERROR(VLOOKUP(L69,Configuracion!$D$4:$H$15,4,FALSE),0))</x:f>
      </x:c>
      <x:c r="Q69" s="10"/>
      <x:c r="R69" s="10"/>
      <x:c r="S69" s="4" t="str">
        <x:f t="shared" ref="S69:S132" si="11">IF(OR(Q69="",R69=""),"",MOD(R69-Q69,1)*24)</x:f>
      </x:c>
      <x:c r="T69" s="6"/>
      <x:c r="U69" s="6"/>
      <x:c r="V69" s="6"/>
      <x:c r="W69" s="6"/>
      <x:c r="X69" s="6"/>
      <x:c r="Y69" s="6"/>
      <x:c r="Z69" s="6"/>
      <x:c r="AA69" s="6"/>
      <x:c r="AB69" s="6"/>
      <x:c r="AC69" s="10"/>
      <x:c r="AD69" s="10"/>
      <x:c r="AE69" s="4" t="str">
        <x:f t="shared" ref="AE69:AE132" si="12">IF(OR(AC69="",AD69=""),"",MOD(AD69-AC69,1)*24)</x:f>
      </x:c>
      <x:c r="AF69" s="4" t="str">
        <x:f t="shared" ref="AF69:AF132" si="13">IF(OR(S69="",U69=""),"",S69*U69)</x:f>
      </x:c>
      <x:c r="AG69" s="4" t="str">
        <x:f t="shared" ref="AG69:AG132" si="14">IF(OR(AE69="",U69=""),"",AE69*U69)</x:f>
      </x:c>
      <x:c r="AH69" s="11" t="n">
        <x:f t="shared" ref="AH69:AH132" si="15">IFERROR(AB69/O69,0)</x:f>
        <x:v>0</x:v>
      </x:c>
      <x:c r="AI69" s="4" t="str">
        <x:f t="shared" ref="AI69:AI132" si="16">IF(OR(S69="",AE69=""),"",AE69-S69)</x:f>
      </x:c>
      <x:c r="AJ69" s="4" t="n">
        <x:f t="shared" ref="AJ69:AJ132" si="17">IFERROR(O69/S69,0)</x:f>
        <x:v>0</x:v>
      </x:c>
      <x:c r="AK69" s="4" t="n">
        <x:f t="shared" ref="AK69:AK132" si="18">IFERROR(AB69/AE69,0)</x:f>
        <x:v>0</x:v>
      </x:c>
      <x:c r="AL69" s="11" t="n">
        <x:f t="shared" ref="AL69:AL132" si="19">IFERROR(AK69/AJ69,0)</x:f>
        <x:v>0</x:v>
      </x:c>
      <x:c r="AM69" s="6"/>
      <x:c r="AN69" s="6"/>
    </x:row>
    <x:row r="70">
      <x:c r="A70" s="3" t="str">
        <x:f t="shared" si="10"/>
      </x:c>
      <x:c r="B70" s="9"/>
      <x:c r="C70" s="36"/>
      <x:c r="D70" s="6"/>
      <x:c r="E70" s="3" t="str">
        <x:f>IF(D70="","",IFERROR(VLOOKUP(D70,'Base Sectores'!$A$5:$J$47,2,FALSE),""))</x:f>
      </x:c>
      <x:c r="F70" s="40" t="str">
        <x:f>IF(D70="","",IFERROR(VLOOKUP(D70,'Base Sectores'!$A$5:$J$47,3,FALSE),""))</x:f>
      </x:c>
      <x:c r="G70" s="3" t="str">
        <x:f>IF(D70="","",IFERROR(VLOOKUP(D70,'Base Sectores'!$A$5:$J$47,4,FALSE),""))</x:f>
      </x:c>
      <x:c r="H70" s="3" t="str">
        <x:f>IF(D70="","",IFERROR(VLOOKUP(D70,'Base Sectores'!$A$5:$J$47,5,FALSE),""))</x:f>
      </x:c>
      <x:c r="I70" s="3" t="str">
        <x:f>IF(D70="","",IFERROR(VLOOKUP(D70,'Base Sectores'!$A$5:$J$47,6,FALSE),""))</x:f>
      </x:c>
      <x:c r="J70" s="3" t="str">
        <x:f>IF(D70="","",IFERROR(VLOOKUP(D70,'Base Sectores'!$A$5:$J$47,7,FALSE),""))</x:f>
      </x:c>
      <x:c r="K70" s="3" t="str">
        <x:f>IF(D70="","",IFERROR(VLOOKUP(D70,'Base Sectores'!$A$5:$J$47,9,FALSE),""))</x:f>
      </x:c>
      <x:c r="L70" s="6"/>
      <x:c r="M70" s="3" t="str">
        <x:f>IF(L70="","",IFERROR(VLOOKUP(L70,Configuracion!$D$4:$H$15,2,FALSE),""))</x:f>
      </x:c>
      <x:c r="N70" s="3" t="str">
        <x:f>IF(L70="","",IFERROR(VLOOKUP(L70,Configuracion!$D$4:$H$15,3,FALSE),""))</x:f>
      </x:c>
      <x:c r="O70" s="6"/>
      <x:c r="P70" s="3" t="str">
        <x:f>IF(L70="","",IFERROR(VLOOKUP(L70,Configuracion!$D$4:$H$15,4,FALSE),0))</x:f>
      </x:c>
      <x:c r="Q70" s="10"/>
      <x:c r="R70" s="10"/>
      <x:c r="S70" s="4" t="str">
        <x:f t="shared" si="11"/>
      </x:c>
      <x:c r="T70" s="6"/>
      <x:c r="U70" s="6"/>
      <x:c r="V70" s="6"/>
      <x:c r="W70" s="6"/>
      <x:c r="X70" s="6"/>
      <x:c r="Y70" s="6"/>
      <x:c r="Z70" s="6"/>
      <x:c r="AA70" s="6"/>
      <x:c r="AB70" s="6"/>
      <x:c r="AC70" s="10"/>
      <x:c r="AD70" s="10"/>
      <x:c r="AE70" s="4" t="str">
        <x:f t="shared" si="12"/>
      </x:c>
      <x:c r="AF70" s="4" t="str">
        <x:f t="shared" si="13"/>
      </x:c>
      <x:c r="AG70" s="4" t="str">
        <x:f t="shared" si="14"/>
      </x:c>
      <x:c r="AH70" s="11">
        <x:f t="shared" si="15"/>
        <x:v>0</x:v>
      </x:c>
      <x:c r="AI70" s="4" t="str">
        <x:f t="shared" si="16"/>
      </x:c>
      <x:c r="AJ70" s="4">
        <x:f t="shared" si="17"/>
        <x:v>0</x:v>
      </x:c>
      <x:c r="AK70" s="4">
        <x:f t="shared" si="18"/>
        <x:v>0</x:v>
      </x:c>
      <x:c r="AL70" s="11">
        <x:f t="shared" si="19"/>
        <x:v>0</x:v>
      </x:c>
      <x:c r="AM70" s="6"/>
      <x:c r="AN70" s="6"/>
    </x:row>
    <x:row r="71">
      <x:c r="A71" s="3" t="str">
        <x:f t="shared" si="10"/>
      </x:c>
      <x:c r="B71" s="9"/>
      <x:c r="C71" s="36"/>
      <x:c r="D71" s="6"/>
      <x:c r="E71" s="3" t="str">
        <x:f>IF(D71="","",IFERROR(VLOOKUP(D71,'Base Sectores'!$A$5:$J$47,2,FALSE),""))</x:f>
      </x:c>
      <x:c r="F71" s="40" t="str">
        <x:f>IF(D71="","",IFERROR(VLOOKUP(D71,'Base Sectores'!$A$5:$J$47,3,FALSE),""))</x:f>
      </x:c>
      <x:c r="G71" s="3" t="str">
        <x:f>IF(D71="","",IFERROR(VLOOKUP(D71,'Base Sectores'!$A$5:$J$47,4,FALSE),""))</x:f>
      </x:c>
      <x:c r="H71" s="3" t="str">
        <x:f>IF(D71="","",IFERROR(VLOOKUP(D71,'Base Sectores'!$A$5:$J$47,5,FALSE),""))</x:f>
      </x:c>
      <x:c r="I71" s="3" t="str">
        <x:f>IF(D71="","",IFERROR(VLOOKUP(D71,'Base Sectores'!$A$5:$J$47,6,FALSE),""))</x:f>
      </x:c>
      <x:c r="J71" s="3" t="str">
        <x:f>IF(D71="","",IFERROR(VLOOKUP(D71,'Base Sectores'!$A$5:$J$47,7,FALSE),""))</x:f>
      </x:c>
      <x:c r="K71" s="3" t="str">
        <x:f>IF(D71="","",IFERROR(VLOOKUP(D71,'Base Sectores'!$A$5:$J$47,9,FALSE),""))</x:f>
      </x:c>
      <x:c r="L71" s="6"/>
      <x:c r="M71" s="3" t="str">
        <x:f>IF(L71="","",IFERROR(VLOOKUP(L71,Configuracion!$D$4:$H$15,2,FALSE),""))</x:f>
      </x:c>
      <x:c r="N71" s="3" t="str">
        <x:f>IF(L71="","",IFERROR(VLOOKUP(L71,Configuracion!$D$4:$H$15,3,FALSE),""))</x:f>
      </x:c>
      <x:c r="O71" s="6"/>
      <x:c r="P71" s="3" t="str">
        <x:f>IF(L71="","",IFERROR(VLOOKUP(L71,Configuracion!$D$4:$H$15,4,FALSE),0))</x:f>
      </x:c>
      <x:c r="Q71" s="10"/>
      <x:c r="R71" s="10"/>
      <x:c r="S71" s="4" t="str">
        <x:f t="shared" si="11"/>
      </x:c>
      <x:c r="T71" s="6"/>
      <x:c r="U71" s="6"/>
      <x:c r="V71" s="6"/>
      <x:c r="W71" s="6"/>
      <x:c r="X71" s="6"/>
      <x:c r="Y71" s="6"/>
      <x:c r="Z71" s="6"/>
      <x:c r="AA71" s="6"/>
      <x:c r="AB71" s="6"/>
      <x:c r="AC71" s="10"/>
      <x:c r="AD71" s="10"/>
      <x:c r="AE71" s="4" t="str">
        <x:f t="shared" si="12"/>
      </x:c>
      <x:c r="AF71" s="4" t="str">
        <x:f t="shared" si="13"/>
      </x:c>
      <x:c r="AG71" s="4" t="str">
        <x:f t="shared" si="14"/>
      </x:c>
      <x:c r="AH71" s="11">
        <x:f t="shared" si="15"/>
        <x:v>0</x:v>
      </x:c>
      <x:c r="AI71" s="4" t="str">
        <x:f t="shared" si="16"/>
      </x:c>
      <x:c r="AJ71" s="4">
        <x:f t="shared" si="17"/>
        <x:v>0</x:v>
      </x:c>
      <x:c r="AK71" s="4">
        <x:f t="shared" si="18"/>
        <x:v>0</x:v>
      </x:c>
      <x:c r="AL71" s="11">
        <x:f t="shared" si="19"/>
        <x:v>0</x:v>
      </x:c>
      <x:c r="AM71" s="6"/>
      <x:c r="AN71" s="6"/>
    </x:row>
    <x:row r="72">
      <x:c r="A72" s="3" t="str">
        <x:f t="shared" si="10"/>
      </x:c>
      <x:c r="B72" s="9"/>
      <x:c r="C72" s="36"/>
      <x:c r="D72" s="6"/>
      <x:c r="E72" s="3" t="str">
        <x:f>IF(D72="","",IFERROR(VLOOKUP(D72,'Base Sectores'!$A$5:$J$47,2,FALSE),""))</x:f>
      </x:c>
      <x:c r="F72" s="40" t="str">
        <x:f>IF(D72="","",IFERROR(VLOOKUP(D72,'Base Sectores'!$A$5:$J$47,3,FALSE),""))</x:f>
      </x:c>
      <x:c r="G72" s="3" t="str">
        <x:f>IF(D72="","",IFERROR(VLOOKUP(D72,'Base Sectores'!$A$5:$J$47,4,FALSE),""))</x:f>
      </x:c>
      <x:c r="H72" s="3" t="str">
        <x:f>IF(D72="","",IFERROR(VLOOKUP(D72,'Base Sectores'!$A$5:$J$47,5,FALSE),""))</x:f>
      </x:c>
      <x:c r="I72" s="3" t="str">
        <x:f>IF(D72="","",IFERROR(VLOOKUP(D72,'Base Sectores'!$A$5:$J$47,6,FALSE),""))</x:f>
      </x:c>
      <x:c r="J72" s="3" t="str">
        <x:f>IF(D72="","",IFERROR(VLOOKUP(D72,'Base Sectores'!$A$5:$J$47,7,FALSE),""))</x:f>
      </x:c>
      <x:c r="K72" s="3" t="str">
        <x:f>IF(D72="","",IFERROR(VLOOKUP(D72,'Base Sectores'!$A$5:$J$47,9,FALSE),""))</x:f>
      </x:c>
      <x:c r="L72" s="6"/>
      <x:c r="M72" s="3" t="str">
        <x:f>IF(L72="","",IFERROR(VLOOKUP(L72,Configuracion!$D$4:$H$15,2,FALSE),""))</x:f>
      </x:c>
      <x:c r="N72" s="3" t="str">
        <x:f>IF(L72="","",IFERROR(VLOOKUP(L72,Configuracion!$D$4:$H$15,3,FALSE),""))</x:f>
      </x:c>
      <x:c r="O72" s="6"/>
      <x:c r="P72" s="3" t="str">
        <x:f>IF(L72="","",IFERROR(VLOOKUP(L72,Configuracion!$D$4:$H$15,4,FALSE),0))</x:f>
      </x:c>
      <x:c r="Q72" s="10"/>
      <x:c r="R72" s="10"/>
      <x:c r="S72" s="4" t="str">
        <x:f t="shared" si="11"/>
      </x:c>
      <x:c r="T72" s="6"/>
      <x:c r="U72" s="6"/>
      <x:c r="V72" s="6"/>
      <x:c r="W72" s="6"/>
      <x:c r="X72" s="6"/>
      <x:c r="Y72" s="6"/>
      <x:c r="Z72" s="6"/>
      <x:c r="AA72" s="6"/>
      <x:c r="AB72" s="6"/>
      <x:c r="AC72" s="10"/>
      <x:c r="AD72" s="10"/>
      <x:c r="AE72" s="4" t="str">
        <x:f t="shared" si="12"/>
      </x:c>
      <x:c r="AF72" s="4" t="str">
        <x:f t="shared" si="13"/>
      </x:c>
      <x:c r="AG72" s="4" t="str">
        <x:f t="shared" si="14"/>
      </x:c>
      <x:c r="AH72" s="11">
        <x:f t="shared" si="15"/>
        <x:v>0</x:v>
      </x:c>
      <x:c r="AI72" s="4" t="str">
        <x:f t="shared" si="16"/>
      </x:c>
      <x:c r="AJ72" s="4">
        <x:f t="shared" si="17"/>
        <x:v>0</x:v>
      </x:c>
      <x:c r="AK72" s="4">
        <x:f t="shared" si="18"/>
        <x:v>0</x:v>
      </x:c>
      <x:c r="AL72" s="11">
        <x:f t="shared" si="19"/>
        <x:v>0</x:v>
      </x:c>
      <x:c r="AM72" s="6"/>
      <x:c r="AN72" s="6"/>
    </x:row>
    <x:row r="73">
      <x:c r="A73" s="3" t="str">
        <x:f t="shared" si="10"/>
      </x:c>
      <x:c r="B73" s="9"/>
      <x:c r="C73" s="36"/>
      <x:c r="D73" s="6"/>
      <x:c r="E73" s="3" t="str">
        <x:f>IF(D73="","",IFERROR(VLOOKUP(D73,'Base Sectores'!$A$5:$J$47,2,FALSE),""))</x:f>
      </x:c>
      <x:c r="F73" s="40" t="str">
        <x:f>IF(D73="","",IFERROR(VLOOKUP(D73,'Base Sectores'!$A$5:$J$47,3,FALSE),""))</x:f>
      </x:c>
      <x:c r="G73" s="3" t="str">
        <x:f>IF(D73="","",IFERROR(VLOOKUP(D73,'Base Sectores'!$A$5:$J$47,4,FALSE),""))</x:f>
      </x:c>
      <x:c r="H73" s="3" t="str">
        <x:f>IF(D73="","",IFERROR(VLOOKUP(D73,'Base Sectores'!$A$5:$J$47,5,FALSE),""))</x:f>
      </x:c>
      <x:c r="I73" s="3" t="str">
        <x:f>IF(D73="","",IFERROR(VLOOKUP(D73,'Base Sectores'!$A$5:$J$47,6,FALSE),""))</x:f>
      </x:c>
      <x:c r="J73" s="3" t="str">
        <x:f>IF(D73="","",IFERROR(VLOOKUP(D73,'Base Sectores'!$A$5:$J$47,7,FALSE),""))</x:f>
      </x:c>
      <x:c r="K73" s="3" t="str">
        <x:f>IF(D73="","",IFERROR(VLOOKUP(D73,'Base Sectores'!$A$5:$J$47,9,FALSE),""))</x:f>
      </x:c>
      <x:c r="L73" s="6"/>
      <x:c r="M73" s="3" t="str">
        <x:f>IF(L73="","",IFERROR(VLOOKUP(L73,Configuracion!$D$4:$H$15,2,FALSE),""))</x:f>
      </x:c>
      <x:c r="N73" s="3" t="str">
        <x:f>IF(L73="","",IFERROR(VLOOKUP(L73,Configuracion!$D$4:$H$15,3,FALSE),""))</x:f>
      </x:c>
      <x:c r="O73" s="6"/>
      <x:c r="P73" s="3" t="str">
        <x:f>IF(L73="","",IFERROR(VLOOKUP(L73,Configuracion!$D$4:$H$15,4,FALSE),0))</x:f>
      </x:c>
      <x:c r="Q73" s="10"/>
      <x:c r="R73" s="10"/>
      <x:c r="S73" s="4" t="str">
        <x:f t="shared" si="11"/>
      </x:c>
      <x:c r="T73" s="6"/>
      <x:c r="U73" s="6"/>
      <x:c r="V73" s="6"/>
      <x:c r="W73" s="6"/>
      <x:c r="X73" s="6"/>
      <x:c r="Y73" s="6"/>
      <x:c r="Z73" s="6"/>
      <x:c r="AA73" s="6"/>
      <x:c r="AB73" s="6"/>
      <x:c r="AC73" s="10"/>
      <x:c r="AD73" s="10"/>
      <x:c r="AE73" s="4" t="str">
        <x:f t="shared" si="12"/>
      </x:c>
      <x:c r="AF73" s="4" t="str">
        <x:f t="shared" si="13"/>
      </x:c>
      <x:c r="AG73" s="4" t="str">
        <x:f t="shared" si="14"/>
      </x:c>
      <x:c r="AH73" s="11">
        <x:f t="shared" si="15"/>
        <x:v>0</x:v>
      </x:c>
      <x:c r="AI73" s="4" t="str">
        <x:f t="shared" si="16"/>
      </x:c>
      <x:c r="AJ73" s="4">
        <x:f t="shared" si="17"/>
        <x:v>0</x:v>
      </x:c>
      <x:c r="AK73" s="4">
        <x:f t="shared" si="18"/>
        <x:v>0</x:v>
      </x:c>
      <x:c r="AL73" s="11">
        <x:f t="shared" si="19"/>
        <x:v>0</x:v>
      </x:c>
      <x:c r="AM73" s="6"/>
      <x:c r="AN73" s="6"/>
    </x:row>
    <x:row r="74">
      <x:c r="A74" s="3" t="str">
        <x:f t="shared" si="10"/>
      </x:c>
      <x:c r="B74" s="9"/>
      <x:c r="C74" s="36"/>
      <x:c r="D74" s="6"/>
      <x:c r="E74" s="3" t="str">
        <x:f>IF(D74="","",IFERROR(VLOOKUP(D74,'Base Sectores'!$A$5:$J$47,2,FALSE),""))</x:f>
      </x:c>
      <x:c r="F74" s="40" t="str">
        <x:f>IF(D74="","",IFERROR(VLOOKUP(D74,'Base Sectores'!$A$5:$J$47,3,FALSE),""))</x:f>
      </x:c>
      <x:c r="G74" s="3" t="str">
        <x:f>IF(D74="","",IFERROR(VLOOKUP(D74,'Base Sectores'!$A$5:$J$47,4,FALSE),""))</x:f>
      </x:c>
      <x:c r="H74" s="3" t="str">
        <x:f>IF(D74="","",IFERROR(VLOOKUP(D74,'Base Sectores'!$A$5:$J$47,5,FALSE),""))</x:f>
      </x:c>
      <x:c r="I74" s="3" t="str">
        <x:f>IF(D74="","",IFERROR(VLOOKUP(D74,'Base Sectores'!$A$5:$J$47,6,FALSE),""))</x:f>
      </x:c>
      <x:c r="J74" s="3" t="str">
        <x:f>IF(D74="","",IFERROR(VLOOKUP(D74,'Base Sectores'!$A$5:$J$47,7,FALSE),""))</x:f>
      </x:c>
      <x:c r="K74" s="3" t="str">
        <x:f>IF(D74="","",IFERROR(VLOOKUP(D74,'Base Sectores'!$A$5:$J$47,9,FALSE),""))</x:f>
      </x:c>
      <x:c r="L74" s="6"/>
      <x:c r="M74" s="3" t="str">
        <x:f>IF(L74="","",IFERROR(VLOOKUP(L74,Configuracion!$D$4:$H$15,2,FALSE),""))</x:f>
      </x:c>
      <x:c r="N74" s="3" t="str">
        <x:f>IF(L74="","",IFERROR(VLOOKUP(L74,Configuracion!$D$4:$H$15,3,FALSE),""))</x:f>
      </x:c>
      <x:c r="O74" s="6"/>
      <x:c r="P74" s="3" t="str">
        <x:f>IF(L74="","",IFERROR(VLOOKUP(L74,Configuracion!$D$4:$H$15,4,FALSE),0))</x:f>
      </x:c>
      <x:c r="Q74" s="10"/>
      <x:c r="R74" s="10"/>
      <x:c r="S74" s="4" t="str">
        <x:f t="shared" si="11"/>
      </x:c>
      <x:c r="T74" s="6"/>
      <x:c r="U74" s="6"/>
      <x:c r="V74" s="6"/>
      <x:c r="W74" s="6"/>
      <x:c r="X74" s="6"/>
      <x:c r="Y74" s="6"/>
      <x:c r="Z74" s="6"/>
      <x:c r="AA74" s="6"/>
      <x:c r="AB74" s="6"/>
      <x:c r="AC74" s="10"/>
      <x:c r="AD74" s="10"/>
      <x:c r="AE74" s="4" t="str">
        <x:f t="shared" si="12"/>
      </x:c>
      <x:c r="AF74" s="4" t="str">
        <x:f t="shared" si="13"/>
      </x:c>
      <x:c r="AG74" s="4" t="str">
        <x:f t="shared" si="14"/>
      </x:c>
      <x:c r="AH74" s="11">
        <x:f t="shared" si="15"/>
        <x:v>0</x:v>
      </x:c>
      <x:c r="AI74" s="4" t="str">
        <x:f t="shared" si="16"/>
      </x:c>
      <x:c r="AJ74" s="4">
        <x:f t="shared" si="17"/>
        <x:v>0</x:v>
      </x:c>
      <x:c r="AK74" s="4">
        <x:f t="shared" si="18"/>
        <x:v>0</x:v>
      </x:c>
      <x:c r="AL74" s="11">
        <x:f t="shared" si="19"/>
        <x:v>0</x:v>
      </x:c>
      <x:c r="AM74" s="6"/>
      <x:c r="AN74" s="6"/>
    </x:row>
    <x:row r="75">
      <x:c r="A75" s="3" t="str">
        <x:f t="shared" si="10"/>
      </x:c>
      <x:c r="B75" s="9"/>
      <x:c r="C75" s="36"/>
      <x:c r="D75" s="6"/>
      <x:c r="E75" s="3" t="str">
        <x:f>IF(D75="","",IFERROR(VLOOKUP(D75,'Base Sectores'!$A$5:$J$47,2,FALSE),""))</x:f>
      </x:c>
      <x:c r="F75" s="40" t="str">
        <x:f>IF(D75="","",IFERROR(VLOOKUP(D75,'Base Sectores'!$A$5:$J$47,3,FALSE),""))</x:f>
      </x:c>
      <x:c r="G75" s="3" t="str">
        <x:f>IF(D75="","",IFERROR(VLOOKUP(D75,'Base Sectores'!$A$5:$J$47,4,FALSE),""))</x:f>
      </x:c>
      <x:c r="H75" s="3" t="str">
        <x:f>IF(D75="","",IFERROR(VLOOKUP(D75,'Base Sectores'!$A$5:$J$47,5,FALSE),""))</x:f>
      </x:c>
      <x:c r="I75" s="3" t="str">
        <x:f>IF(D75="","",IFERROR(VLOOKUP(D75,'Base Sectores'!$A$5:$J$47,6,FALSE),""))</x:f>
      </x:c>
      <x:c r="J75" s="3" t="str">
        <x:f>IF(D75="","",IFERROR(VLOOKUP(D75,'Base Sectores'!$A$5:$J$47,7,FALSE),""))</x:f>
      </x:c>
      <x:c r="K75" s="3" t="str">
        <x:f>IF(D75="","",IFERROR(VLOOKUP(D75,'Base Sectores'!$A$5:$J$47,9,FALSE),""))</x:f>
      </x:c>
      <x:c r="L75" s="6"/>
      <x:c r="M75" s="3" t="str">
        <x:f>IF(L75="","",IFERROR(VLOOKUP(L75,Configuracion!$D$4:$H$15,2,FALSE),""))</x:f>
      </x:c>
      <x:c r="N75" s="3" t="str">
        <x:f>IF(L75="","",IFERROR(VLOOKUP(L75,Configuracion!$D$4:$H$15,3,FALSE),""))</x:f>
      </x:c>
      <x:c r="O75" s="6"/>
      <x:c r="P75" s="3" t="str">
        <x:f>IF(L75="","",IFERROR(VLOOKUP(L75,Configuracion!$D$4:$H$15,4,FALSE),0))</x:f>
      </x:c>
      <x:c r="Q75" s="10"/>
      <x:c r="R75" s="10"/>
      <x:c r="S75" s="4" t="str">
        <x:f t="shared" si="11"/>
      </x:c>
      <x:c r="T75" s="6"/>
      <x:c r="U75" s="6"/>
      <x:c r="V75" s="6"/>
      <x:c r="W75" s="6"/>
      <x:c r="X75" s="6"/>
      <x:c r="Y75" s="6"/>
      <x:c r="Z75" s="6"/>
      <x:c r="AA75" s="6"/>
      <x:c r="AB75" s="6"/>
      <x:c r="AC75" s="10"/>
      <x:c r="AD75" s="10"/>
      <x:c r="AE75" s="4" t="str">
        <x:f t="shared" si="12"/>
      </x:c>
      <x:c r="AF75" s="4" t="str">
        <x:f t="shared" si="13"/>
      </x:c>
      <x:c r="AG75" s="4" t="str">
        <x:f t="shared" si="14"/>
      </x:c>
      <x:c r="AH75" s="11">
        <x:f t="shared" si="15"/>
        <x:v>0</x:v>
      </x:c>
      <x:c r="AI75" s="4" t="str">
        <x:f t="shared" si="16"/>
      </x:c>
      <x:c r="AJ75" s="4">
        <x:f t="shared" si="17"/>
        <x:v>0</x:v>
      </x:c>
      <x:c r="AK75" s="4">
        <x:f t="shared" si="18"/>
        <x:v>0</x:v>
      </x:c>
      <x:c r="AL75" s="11">
        <x:f t="shared" si="19"/>
        <x:v>0</x:v>
      </x:c>
      <x:c r="AM75" s="6"/>
      <x:c r="AN75" s="6"/>
    </x:row>
    <x:row r="76">
      <x:c r="A76" s="3" t="str">
        <x:f t="shared" si="10"/>
      </x:c>
      <x:c r="B76" s="9"/>
      <x:c r="C76" s="36"/>
      <x:c r="D76" s="6"/>
      <x:c r="E76" s="3" t="str">
        <x:f>IF(D76="","",IFERROR(VLOOKUP(D76,'Base Sectores'!$A$5:$J$47,2,FALSE),""))</x:f>
      </x:c>
      <x:c r="F76" s="40" t="str">
        <x:f>IF(D76="","",IFERROR(VLOOKUP(D76,'Base Sectores'!$A$5:$J$47,3,FALSE),""))</x:f>
      </x:c>
      <x:c r="G76" s="3" t="str">
        <x:f>IF(D76="","",IFERROR(VLOOKUP(D76,'Base Sectores'!$A$5:$J$47,4,FALSE),""))</x:f>
      </x:c>
      <x:c r="H76" s="3" t="str">
        <x:f>IF(D76="","",IFERROR(VLOOKUP(D76,'Base Sectores'!$A$5:$J$47,5,FALSE),""))</x:f>
      </x:c>
      <x:c r="I76" s="3" t="str">
        <x:f>IF(D76="","",IFERROR(VLOOKUP(D76,'Base Sectores'!$A$5:$J$47,6,FALSE),""))</x:f>
      </x:c>
      <x:c r="J76" s="3" t="str">
        <x:f>IF(D76="","",IFERROR(VLOOKUP(D76,'Base Sectores'!$A$5:$J$47,7,FALSE),""))</x:f>
      </x:c>
      <x:c r="K76" s="3" t="str">
        <x:f>IF(D76="","",IFERROR(VLOOKUP(D76,'Base Sectores'!$A$5:$J$47,9,FALSE),""))</x:f>
      </x:c>
      <x:c r="L76" s="6"/>
      <x:c r="M76" s="3" t="str">
        <x:f>IF(L76="","",IFERROR(VLOOKUP(L76,Configuracion!$D$4:$H$15,2,FALSE),""))</x:f>
      </x:c>
      <x:c r="N76" s="3" t="str">
        <x:f>IF(L76="","",IFERROR(VLOOKUP(L76,Configuracion!$D$4:$H$15,3,FALSE),""))</x:f>
      </x:c>
      <x:c r="O76" s="6"/>
      <x:c r="P76" s="3" t="str">
        <x:f>IF(L76="","",IFERROR(VLOOKUP(L76,Configuracion!$D$4:$H$15,4,FALSE),0))</x:f>
      </x:c>
      <x:c r="Q76" s="10"/>
      <x:c r="R76" s="10"/>
      <x:c r="S76" s="4" t="str">
        <x:f t="shared" si="11"/>
      </x:c>
      <x:c r="T76" s="6"/>
      <x:c r="U76" s="6"/>
      <x:c r="V76" s="6"/>
      <x:c r="W76" s="6"/>
      <x:c r="X76" s="6"/>
      <x:c r="Y76" s="6"/>
      <x:c r="Z76" s="6"/>
      <x:c r="AA76" s="6"/>
      <x:c r="AB76" s="6"/>
      <x:c r="AC76" s="10"/>
      <x:c r="AD76" s="10"/>
      <x:c r="AE76" s="4" t="str">
        <x:f t="shared" si="12"/>
      </x:c>
      <x:c r="AF76" s="4" t="str">
        <x:f t="shared" si="13"/>
      </x:c>
      <x:c r="AG76" s="4" t="str">
        <x:f t="shared" si="14"/>
      </x:c>
      <x:c r="AH76" s="11">
        <x:f t="shared" si="15"/>
        <x:v>0</x:v>
      </x:c>
      <x:c r="AI76" s="4" t="str">
        <x:f t="shared" si="16"/>
      </x:c>
      <x:c r="AJ76" s="4">
        <x:f t="shared" si="17"/>
        <x:v>0</x:v>
      </x:c>
      <x:c r="AK76" s="4">
        <x:f t="shared" si="18"/>
        <x:v>0</x:v>
      </x:c>
      <x:c r="AL76" s="11">
        <x:f t="shared" si="19"/>
        <x:v>0</x:v>
      </x:c>
      <x:c r="AM76" s="6"/>
      <x:c r="AN76" s="6"/>
    </x:row>
    <x:row r="77">
      <x:c r="A77" s="3" t="str">
        <x:f t="shared" si="10"/>
      </x:c>
      <x:c r="B77" s="9"/>
      <x:c r="C77" s="36"/>
      <x:c r="D77" s="6"/>
      <x:c r="E77" s="3" t="str">
        <x:f>IF(D77="","",IFERROR(VLOOKUP(D77,'Base Sectores'!$A$5:$J$47,2,FALSE),""))</x:f>
      </x:c>
      <x:c r="F77" s="40" t="str">
        <x:f>IF(D77="","",IFERROR(VLOOKUP(D77,'Base Sectores'!$A$5:$J$47,3,FALSE),""))</x:f>
      </x:c>
      <x:c r="G77" s="3" t="str">
        <x:f>IF(D77="","",IFERROR(VLOOKUP(D77,'Base Sectores'!$A$5:$J$47,4,FALSE),""))</x:f>
      </x:c>
      <x:c r="H77" s="3" t="str">
        <x:f>IF(D77="","",IFERROR(VLOOKUP(D77,'Base Sectores'!$A$5:$J$47,5,FALSE),""))</x:f>
      </x:c>
      <x:c r="I77" s="3" t="str">
        <x:f>IF(D77="","",IFERROR(VLOOKUP(D77,'Base Sectores'!$A$5:$J$47,6,FALSE),""))</x:f>
      </x:c>
      <x:c r="J77" s="3" t="str">
        <x:f>IF(D77="","",IFERROR(VLOOKUP(D77,'Base Sectores'!$A$5:$J$47,7,FALSE),""))</x:f>
      </x:c>
      <x:c r="K77" s="3" t="str">
        <x:f>IF(D77="","",IFERROR(VLOOKUP(D77,'Base Sectores'!$A$5:$J$47,9,FALSE),""))</x:f>
      </x:c>
      <x:c r="L77" s="6"/>
      <x:c r="M77" s="3" t="str">
        <x:f>IF(L77="","",IFERROR(VLOOKUP(L77,Configuracion!$D$4:$H$15,2,FALSE),""))</x:f>
      </x:c>
      <x:c r="N77" s="3" t="str">
        <x:f>IF(L77="","",IFERROR(VLOOKUP(L77,Configuracion!$D$4:$H$15,3,FALSE),""))</x:f>
      </x:c>
      <x:c r="O77" s="6"/>
      <x:c r="P77" s="3" t="str">
        <x:f>IF(L77="","",IFERROR(VLOOKUP(L77,Configuracion!$D$4:$H$15,4,FALSE),0))</x:f>
      </x:c>
      <x:c r="Q77" s="10"/>
      <x:c r="R77" s="10"/>
      <x:c r="S77" s="4" t="str">
        <x:f t="shared" si="11"/>
      </x:c>
      <x:c r="T77" s="6"/>
      <x:c r="U77" s="6"/>
      <x:c r="V77" s="6"/>
      <x:c r="W77" s="6"/>
      <x:c r="X77" s="6"/>
      <x:c r="Y77" s="6"/>
      <x:c r="Z77" s="6"/>
      <x:c r="AA77" s="6"/>
      <x:c r="AB77" s="6"/>
      <x:c r="AC77" s="10"/>
      <x:c r="AD77" s="10"/>
      <x:c r="AE77" s="4" t="str">
        <x:f t="shared" si="12"/>
      </x:c>
      <x:c r="AF77" s="4" t="str">
        <x:f t="shared" si="13"/>
      </x:c>
      <x:c r="AG77" s="4" t="str">
        <x:f t="shared" si="14"/>
      </x:c>
      <x:c r="AH77" s="11">
        <x:f t="shared" si="15"/>
        <x:v>0</x:v>
      </x:c>
      <x:c r="AI77" s="4" t="str">
        <x:f t="shared" si="16"/>
      </x:c>
      <x:c r="AJ77" s="4">
        <x:f t="shared" si="17"/>
        <x:v>0</x:v>
      </x:c>
      <x:c r="AK77" s="4">
        <x:f t="shared" si="18"/>
        <x:v>0</x:v>
      </x:c>
      <x:c r="AL77" s="11">
        <x:f t="shared" si="19"/>
        <x:v>0</x:v>
      </x:c>
      <x:c r="AM77" s="6"/>
      <x:c r="AN77" s="6"/>
    </x:row>
    <x:row r="78">
      <x:c r="A78" s="3" t="str">
        <x:f t="shared" si="10"/>
      </x:c>
      <x:c r="B78" s="9"/>
      <x:c r="C78" s="36"/>
      <x:c r="D78" s="6"/>
      <x:c r="E78" s="3" t="str">
        <x:f>IF(D78="","",IFERROR(VLOOKUP(D78,'Base Sectores'!$A$5:$J$47,2,FALSE),""))</x:f>
      </x:c>
      <x:c r="F78" s="40" t="str">
        <x:f>IF(D78="","",IFERROR(VLOOKUP(D78,'Base Sectores'!$A$5:$J$47,3,FALSE),""))</x:f>
      </x:c>
      <x:c r="G78" s="3" t="str">
        <x:f>IF(D78="","",IFERROR(VLOOKUP(D78,'Base Sectores'!$A$5:$J$47,4,FALSE),""))</x:f>
      </x:c>
      <x:c r="H78" s="3" t="str">
        <x:f>IF(D78="","",IFERROR(VLOOKUP(D78,'Base Sectores'!$A$5:$J$47,5,FALSE),""))</x:f>
      </x:c>
      <x:c r="I78" s="3" t="str">
        <x:f>IF(D78="","",IFERROR(VLOOKUP(D78,'Base Sectores'!$A$5:$J$47,6,FALSE),""))</x:f>
      </x:c>
      <x:c r="J78" s="3" t="str">
        <x:f>IF(D78="","",IFERROR(VLOOKUP(D78,'Base Sectores'!$A$5:$J$47,7,FALSE),""))</x:f>
      </x:c>
      <x:c r="K78" s="3" t="str">
        <x:f>IF(D78="","",IFERROR(VLOOKUP(D78,'Base Sectores'!$A$5:$J$47,9,FALSE),""))</x:f>
      </x:c>
      <x:c r="L78" s="6"/>
      <x:c r="M78" s="3" t="str">
        <x:f>IF(L78="","",IFERROR(VLOOKUP(L78,Configuracion!$D$4:$H$15,2,FALSE),""))</x:f>
      </x:c>
      <x:c r="N78" s="3" t="str">
        <x:f>IF(L78="","",IFERROR(VLOOKUP(L78,Configuracion!$D$4:$H$15,3,FALSE),""))</x:f>
      </x:c>
      <x:c r="O78" s="6"/>
      <x:c r="P78" s="3" t="str">
        <x:f>IF(L78="","",IFERROR(VLOOKUP(L78,Configuracion!$D$4:$H$15,4,FALSE),0))</x:f>
      </x:c>
      <x:c r="Q78" s="10"/>
      <x:c r="R78" s="10"/>
      <x:c r="S78" s="4" t="str">
        <x:f t="shared" si="11"/>
      </x:c>
      <x:c r="T78" s="6"/>
      <x:c r="U78" s="6"/>
      <x:c r="V78" s="6"/>
      <x:c r="W78" s="6"/>
      <x:c r="X78" s="6"/>
      <x:c r="Y78" s="6"/>
      <x:c r="Z78" s="6"/>
      <x:c r="AA78" s="6"/>
      <x:c r="AB78" s="6"/>
      <x:c r="AC78" s="10"/>
      <x:c r="AD78" s="10"/>
      <x:c r="AE78" s="4" t="str">
        <x:f t="shared" si="12"/>
      </x:c>
      <x:c r="AF78" s="4" t="str">
        <x:f t="shared" si="13"/>
      </x:c>
      <x:c r="AG78" s="4" t="str">
        <x:f t="shared" si="14"/>
      </x:c>
      <x:c r="AH78" s="11">
        <x:f t="shared" si="15"/>
        <x:v>0</x:v>
      </x:c>
      <x:c r="AI78" s="4" t="str">
        <x:f t="shared" si="16"/>
      </x:c>
      <x:c r="AJ78" s="4">
        <x:f t="shared" si="17"/>
        <x:v>0</x:v>
      </x:c>
      <x:c r="AK78" s="4">
        <x:f t="shared" si="18"/>
        <x:v>0</x:v>
      </x:c>
      <x:c r="AL78" s="11">
        <x:f t="shared" si="19"/>
        <x:v>0</x:v>
      </x:c>
      <x:c r="AM78" s="6"/>
      <x:c r="AN78" s="6"/>
    </x:row>
    <x:row r="79">
      <x:c r="A79" s="3" t="str">
        <x:f t="shared" si="10"/>
      </x:c>
      <x:c r="B79" s="9"/>
      <x:c r="C79" s="36"/>
      <x:c r="D79" s="6"/>
      <x:c r="E79" s="3" t="str">
        <x:f>IF(D79="","",IFERROR(VLOOKUP(D79,'Base Sectores'!$A$5:$J$47,2,FALSE),""))</x:f>
      </x:c>
      <x:c r="F79" s="40" t="str">
        <x:f>IF(D79="","",IFERROR(VLOOKUP(D79,'Base Sectores'!$A$5:$J$47,3,FALSE),""))</x:f>
      </x:c>
      <x:c r="G79" s="3" t="str">
        <x:f>IF(D79="","",IFERROR(VLOOKUP(D79,'Base Sectores'!$A$5:$J$47,4,FALSE),""))</x:f>
      </x:c>
      <x:c r="H79" s="3" t="str">
        <x:f>IF(D79="","",IFERROR(VLOOKUP(D79,'Base Sectores'!$A$5:$J$47,5,FALSE),""))</x:f>
      </x:c>
      <x:c r="I79" s="3" t="str">
        <x:f>IF(D79="","",IFERROR(VLOOKUP(D79,'Base Sectores'!$A$5:$J$47,6,FALSE),""))</x:f>
      </x:c>
      <x:c r="J79" s="3" t="str">
        <x:f>IF(D79="","",IFERROR(VLOOKUP(D79,'Base Sectores'!$A$5:$J$47,7,FALSE),""))</x:f>
      </x:c>
      <x:c r="K79" s="3" t="str">
        <x:f>IF(D79="","",IFERROR(VLOOKUP(D79,'Base Sectores'!$A$5:$J$47,9,FALSE),""))</x:f>
      </x:c>
      <x:c r="L79" s="6"/>
      <x:c r="M79" s="3" t="str">
        <x:f>IF(L79="","",IFERROR(VLOOKUP(L79,Configuracion!$D$4:$H$15,2,FALSE),""))</x:f>
      </x:c>
      <x:c r="N79" s="3" t="str">
        <x:f>IF(L79="","",IFERROR(VLOOKUP(L79,Configuracion!$D$4:$H$15,3,FALSE),""))</x:f>
      </x:c>
      <x:c r="O79" s="6"/>
      <x:c r="P79" s="3" t="str">
        <x:f>IF(L79="","",IFERROR(VLOOKUP(L79,Configuracion!$D$4:$H$15,4,FALSE),0))</x:f>
      </x:c>
      <x:c r="Q79" s="10"/>
      <x:c r="R79" s="10"/>
      <x:c r="S79" s="4" t="str">
        <x:f t="shared" si="11"/>
      </x:c>
      <x:c r="T79" s="6"/>
      <x:c r="U79" s="6"/>
      <x:c r="V79" s="6"/>
      <x:c r="W79" s="6"/>
      <x:c r="X79" s="6"/>
      <x:c r="Y79" s="6"/>
      <x:c r="Z79" s="6"/>
      <x:c r="AA79" s="6"/>
      <x:c r="AB79" s="6"/>
      <x:c r="AC79" s="10"/>
      <x:c r="AD79" s="10"/>
      <x:c r="AE79" s="4" t="str">
        <x:f t="shared" si="12"/>
      </x:c>
      <x:c r="AF79" s="4" t="str">
        <x:f t="shared" si="13"/>
      </x:c>
      <x:c r="AG79" s="4" t="str">
        <x:f t="shared" si="14"/>
      </x:c>
      <x:c r="AH79" s="11">
        <x:f t="shared" si="15"/>
        <x:v>0</x:v>
      </x:c>
      <x:c r="AI79" s="4" t="str">
        <x:f t="shared" si="16"/>
      </x:c>
      <x:c r="AJ79" s="4">
        <x:f t="shared" si="17"/>
        <x:v>0</x:v>
      </x:c>
      <x:c r="AK79" s="4">
        <x:f t="shared" si="18"/>
        <x:v>0</x:v>
      </x:c>
      <x:c r="AL79" s="11">
        <x:f t="shared" si="19"/>
        <x:v>0</x:v>
      </x:c>
      <x:c r="AM79" s="6"/>
      <x:c r="AN79" s="6"/>
    </x:row>
    <x:row r="80">
      <x:c r="A80" s="3" t="str">
        <x:f t="shared" si="10"/>
      </x:c>
      <x:c r="B80" s="9"/>
      <x:c r="C80" s="36"/>
      <x:c r="D80" s="6"/>
      <x:c r="E80" s="3" t="str">
        <x:f>IF(D80="","",IFERROR(VLOOKUP(D80,'Base Sectores'!$A$5:$J$47,2,FALSE),""))</x:f>
      </x:c>
      <x:c r="F80" s="40" t="str">
        <x:f>IF(D80="","",IFERROR(VLOOKUP(D80,'Base Sectores'!$A$5:$J$47,3,FALSE),""))</x:f>
      </x:c>
      <x:c r="G80" s="3" t="str">
        <x:f>IF(D80="","",IFERROR(VLOOKUP(D80,'Base Sectores'!$A$5:$J$47,4,FALSE),""))</x:f>
      </x:c>
      <x:c r="H80" s="3" t="str">
        <x:f>IF(D80="","",IFERROR(VLOOKUP(D80,'Base Sectores'!$A$5:$J$47,5,FALSE),""))</x:f>
      </x:c>
      <x:c r="I80" s="3" t="str">
        <x:f>IF(D80="","",IFERROR(VLOOKUP(D80,'Base Sectores'!$A$5:$J$47,6,FALSE),""))</x:f>
      </x:c>
      <x:c r="J80" s="3" t="str">
        <x:f>IF(D80="","",IFERROR(VLOOKUP(D80,'Base Sectores'!$A$5:$J$47,7,FALSE),""))</x:f>
      </x:c>
      <x:c r="K80" s="3" t="str">
        <x:f>IF(D80="","",IFERROR(VLOOKUP(D80,'Base Sectores'!$A$5:$J$47,9,FALSE),""))</x:f>
      </x:c>
      <x:c r="L80" s="6"/>
      <x:c r="M80" s="3" t="str">
        <x:f>IF(L80="","",IFERROR(VLOOKUP(L80,Configuracion!$D$4:$H$15,2,FALSE),""))</x:f>
      </x:c>
      <x:c r="N80" s="3" t="str">
        <x:f>IF(L80="","",IFERROR(VLOOKUP(L80,Configuracion!$D$4:$H$15,3,FALSE),""))</x:f>
      </x:c>
      <x:c r="O80" s="6"/>
      <x:c r="P80" s="3" t="str">
        <x:f>IF(L80="","",IFERROR(VLOOKUP(L80,Configuracion!$D$4:$H$15,4,FALSE),0))</x:f>
      </x:c>
      <x:c r="Q80" s="10"/>
      <x:c r="R80" s="10"/>
      <x:c r="S80" s="4" t="str">
        <x:f t="shared" si="11"/>
      </x:c>
      <x:c r="T80" s="6"/>
      <x:c r="U80" s="6"/>
      <x:c r="V80" s="6"/>
      <x:c r="W80" s="6"/>
      <x:c r="X80" s="6"/>
      <x:c r="Y80" s="6"/>
      <x:c r="Z80" s="6"/>
      <x:c r="AA80" s="6"/>
      <x:c r="AB80" s="6"/>
      <x:c r="AC80" s="10"/>
      <x:c r="AD80" s="10"/>
      <x:c r="AE80" s="4" t="str">
        <x:f t="shared" si="12"/>
      </x:c>
      <x:c r="AF80" s="4" t="str">
        <x:f t="shared" si="13"/>
      </x:c>
      <x:c r="AG80" s="4" t="str">
        <x:f t="shared" si="14"/>
      </x:c>
      <x:c r="AH80" s="11">
        <x:f t="shared" si="15"/>
        <x:v>0</x:v>
      </x:c>
      <x:c r="AI80" s="4" t="str">
        <x:f t="shared" si="16"/>
      </x:c>
      <x:c r="AJ80" s="4">
        <x:f t="shared" si="17"/>
        <x:v>0</x:v>
      </x:c>
      <x:c r="AK80" s="4">
        <x:f t="shared" si="18"/>
        <x:v>0</x:v>
      </x:c>
      <x:c r="AL80" s="11">
        <x:f t="shared" si="19"/>
        <x:v>0</x:v>
      </x:c>
      <x:c r="AM80" s="6"/>
      <x:c r="AN80" s="6"/>
    </x:row>
    <x:row r="81">
      <x:c r="A81" s="3" t="str">
        <x:f t="shared" si="10"/>
      </x:c>
      <x:c r="B81" s="9"/>
      <x:c r="C81" s="36"/>
      <x:c r="D81" s="6"/>
      <x:c r="E81" s="3" t="str">
        <x:f>IF(D81="","",IFERROR(VLOOKUP(D81,'Base Sectores'!$A$5:$J$47,2,FALSE),""))</x:f>
      </x:c>
      <x:c r="F81" s="40" t="str">
        <x:f>IF(D81="","",IFERROR(VLOOKUP(D81,'Base Sectores'!$A$5:$J$47,3,FALSE),""))</x:f>
      </x:c>
      <x:c r="G81" s="3" t="str">
        <x:f>IF(D81="","",IFERROR(VLOOKUP(D81,'Base Sectores'!$A$5:$J$47,4,FALSE),""))</x:f>
      </x:c>
      <x:c r="H81" s="3" t="str">
        <x:f>IF(D81="","",IFERROR(VLOOKUP(D81,'Base Sectores'!$A$5:$J$47,5,FALSE),""))</x:f>
      </x:c>
      <x:c r="I81" s="3" t="str">
        <x:f>IF(D81="","",IFERROR(VLOOKUP(D81,'Base Sectores'!$A$5:$J$47,6,FALSE),""))</x:f>
      </x:c>
      <x:c r="J81" s="3" t="str">
        <x:f>IF(D81="","",IFERROR(VLOOKUP(D81,'Base Sectores'!$A$5:$J$47,7,FALSE),""))</x:f>
      </x:c>
      <x:c r="K81" s="3" t="str">
        <x:f>IF(D81="","",IFERROR(VLOOKUP(D81,'Base Sectores'!$A$5:$J$47,9,FALSE),""))</x:f>
      </x:c>
      <x:c r="L81" s="6"/>
      <x:c r="M81" s="3" t="str">
        <x:f>IF(L81="","",IFERROR(VLOOKUP(L81,Configuracion!$D$4:$H$15,2,FALSE),""))</x:f>
      </x:c>
      <x:c r="N81" s="3" t="str">
        <x:f>IF(L81="","",IFERROR(VLOOKUP(L81,Configuracion!$D$4:$H$15,3,FALSE),""))</x:f>
      </x:c>
      <x:c r="O81" s="6"/>
      <x:c r="P81" s="3" t="str">
        <x:f>IF(L81="","",IFERROR(VLOOKUP(L81,Configuracion!$D$4:$H$15,4,FALSE),0))</x:f>
      </x:c>
      <x:c r="Q81" s="10"/>
      <x:c r="R81" s="10"/>
      <x:c r="S81" s="4" t="str">
        <x:f t="shared" si="11"/>
      </x:c>
      <x:c r="T81" s="6"/>
      <x:c r="U81" s="6"/>
      <x:c r="V81" s="6"/>
      <x:c r="W81" s="6"/>
      <x:c r="X81" s="6"/>
      <x:c r="Y81" s="6"/>
      <x:c r="Z81" s="6"/>
      <x:c r="AA81" s="6"/>
      <x:c r="AB81" s="6"/>
      <x:c r="AC81" s="10"/>
      <x:c r="AD81" s="10"/>
      <x:c r="AE81" s="4" t="str">
        <x:f t="shared" si="12"/>
      </x:c>
      <x:c r="AF81" s="4" t="str">
        <x:f t="shared" si="13"/>
      </x:c>
      <x:c r="AG81" s="4" t="str">
        <x:f t="shared" si="14"/>
      </x:c>
      <x:c r="AH81" s="11">
        <x:f t="shared" si="15"/>
        <x:v>0</x:v>
      </x:c>
      <x:c r="AI81" s="4" t="str">
        <x:f t="shared" si="16"/>
      </x:c>
      <x:c r="AJ81" s="4">
        <x:f t="shared" si="17"/>
        <x:v>0</x:v>
      </x:c>
      <x:c r="AK81" s="4">
        <x:f t="shared" si="18"/>
        <x:v>0</x:v>
      </x:c>
      <x:c r="AL81" s="11">
        <x:f t="shared" si="19"/>
        <x:v>0</x:v>
      </x:c>
      <x:c r="AM81" s="6"/>
      <x:c r="AN81" s="6"/>
    </x:row>
    <x:row r="82">
      <x:c r="A82" s="3" t="str">
        <x:f t="shared" si="10"/>
      </x:c>
      <x:c r="B82" s="9"/>
      <x:c r="C82" s="36"/>
      <x:c r="D82" s="6"/>
      <x:c r="E82" s="3" t="str">
        <x:f>IF(D82="","",IFERROR(VLOOKUP(D82,'Base Sectores'!$A$5:$J$47,2,FALSE),""))</x:f>
      </x:c>
      <x:c r="F82" s="40" t="str">
        <x:f>IF(D82="","",IFERROR(VLOOKUP(D82,'Base Sectores'!$A$5:$J$47,3,FALSE),""))</x:f>
      </x:c>
      <x:c r="G82" s="3" t="str">
        <x:f>IF(D82="","",IFERROR(VLOOKUP(D82,'Base Sectores'!$A$5:$J$47,4,FALSE),""))</x:f>
      </x:c>
      <x:c r="H82" s="3" t="str">
        <x:f>IF(D82="","",IFERROR(VLOOKUP(D82,'Base Sectores'!$A$5:$J$47,5,FALSE),""))</x:f>
      </x:c>
      <x:c r="I82" s="3" t="str">
        <x:f>IF(D82="","",IFERROR(VLOOKUP(D82,'Base Sectores'!$A$5:$J$47,6,FALSE),""))</x:f>
      </x:c>
      <x:c r="J82" s="3" t="str">
        <x:f>IF(D82="","",IFERROR(VLOOKUP(D82,'Base Sectores'!$A$5:$J$47,7,FALSE),""))</x:f>
      </x:c>
      <x:c r="K82" s="3" t="str">
        <x:f>IF(D82="","",IFERROR(VLOOKUP(D82,'Base Sectores'!$A$5:$J$47,9,FALSE),""))</x:f>
      </x:c>
      <x:c r="L82" s="6"/>
      <x:c r="M82" s="3" t="str">
        <x:f>IF(L82="","",IFERROR(VLOOKUP(L82,Configuracion!$D$4:$H$15,2,FALSE),""))</x:f>
      </x:c>
      <x:c r="N82" s="3" t="str">
        <x:f>IF(L82="","",IFERROR(VLOOKUP(L82,Configuracion!$D$4:$H$15,3,FALSE),""))</x:f>
      </x:c>
      <x:c r="O82" s="6"/>
      <x:c r="P82" s="3" t="str">
        <x:f>IF(L82="","",IFERROR(VLOOKUP(L82,Configuracion!$D$4:$H$15,4,FALSE),0))</x:f>
      </x:c>
      <x:c r="Q82" s="10"/>
      <x:c r="R82" s="10"/>
      <x:c r="S82" s="4" t="str">
        <x:f t="shared" si="11"/>
      </x:c>
      <x:c r="T82" s="6"/>
      <x:c r="U82" s="6"/>
      <x:c r="V82" s="6"/>
      <x:c r="W82" s="6"/>
      <x:c r="X82" s="6"/>
      <x:c r="Y82" s="6"/>
      <x:c r="Z82" s="6"/>
      <x:c r="AA82" s="6"/>
      <x:c r="AB82" s="6"/>
      <x:c r="AC82" s="10"/>
      <x:c r="AD82" s="10"/>
      <x:c r="AE82" s="4" t="str">
        <x:f t="shared" si="12"/>
      </x:c>
      <x:c r="AF82" s="4" t="str">
        <x:f t="shared" si="13"/>
      </x:c>
      <x:c r="AG82" s="4" t="str">
        <x:f t="shared" si="14"/>
      </x:c>
      <x:c r="AH82" s="11">
        <x:f t="shared" si="15"/>
        <x:v>0</x:v>
      </x:c>
      <x:c r="AI82" s="4" t="str">
        <x:f t="shared" si="16"/>
      </x:c>
      <x:c r="AJ82" s="4">
        <x:f t="shared" si="17"/>
        <x:v>0</x:v>
      </x:c>
      <x:c r="AK82" s="4">
        <x:f t="shared" si="18"/>
        <x:v>0</x:v>
      </x:c>
      <x:c r="AL82" s="11">
        <x:f t="shared" si="19"/>
        <x:v>0</x:v>
      </x:c>
      <x:c r="AM82" s="6"/>
      <x:c r="AN82" s="6"/>
    </x:row>
    <x:row r="83">
      <x:c r="A83" s="3" t="str">
        <x:f t="shared" si="10"/>
      </x:c>
      <x:c r="B83" s="9"/>
      <x:c r="C83" s="36"/>
      <x:c r="D83" s="6"/>
      <x:c r="E83" s="3" t="str">
        <x:f>IF(D83="","",IFERROR(VLOOKUP(D83,'Base Sectores'!$A$5:$J$47,2,FALSE),""))</x:f>
      </x:c>
      <x:c r="F83" s="40" t="str">
        <x:f>IF(D83="","",IFERROR(VLOOKUP(D83,'Base Sectores'!$A$5:$J$47,3,FALSE),""))</x:f>
      </x:c>
      <x:c r="G83" s="3" t="str">
        <x:f>IF(D83="","",IFERROR(VLOOKUP(D83,'Base Sectores'!$A$5:$J$47,4,FALSE),""))</x:f>
      </x:c>
      <x:c r="H83" s="3" t="str">
        <x:f>IF(D83="","",IFERROR(VLOOKUP(D83,'Base Sectores'!$A$5:$J$47,5,FALSE),""))</x:f>
      </x:c>
      <x:c r="I83" s="3" t="str">
        <x:f>IF(D83="","",IFERROR(VLOOKUP(D83,'Base Sectores'!$A$5:$J$47,6,FALSE),""))</x:f>
      </x:c>
      <x:c r="J83" s="3" t="str">
        <x:f>IF(D83="","",IFERROR(VLOOKUP(D83,'Base Sectores'!$A$5:$J$47,7,FALSE),""))</x:f>
      </x:c>
      <x:c r="K83" s="3" t="str">
        <x:f>IF(D83="","",IFERROR(VLOOKUP(D83,'Base Sectores'!$A$5:$J$47,9,FALSE),""))</x:f>
      </x:c>
      <x:c r="L83" s="6"/>
      <x:c r="M83" s="3" t="str">
        <x:f>IF(L83="","",IFERROR(VLOOKUP(L83,Configuracion!$D$4:$H$15,2,FALSE),""))</x:f>
      </x:c>
      <x:c r="N83" s="3" t="str">
        <x:f>IF(L83="","",IFERROR(VLOOKUP(L83,Configuracion!$D$4:$H$15,3,FALSE),""))</x:f>
      </x:c>
      <x:c r="O83" s="6"/>
      <x:c r="P83" s="3" t="str">
        <x:f>IF(L83="","",IFERROR(VLOOKUP(L83,Configuracion!$D$4:$H$15,4,FALSE),0))</x:f>
      </x:c>
      <x:c r="Q83" s="10"/>
      <x:c r="R83" s="10"/>
      <x:c r="S83" s="4" t="str">
        <x:f t="shared" si="11"/>
      </x:c>
      <x:c r="T83" s="6"/>
      <x:c r="U83" s="6"/>
      <x:c r="V83" s="6"/>
      <x:c r="W83" s="6"/>
      <x:c r="X83" s="6"/>
      <x:c r="Y83" s="6"/>
      <x:c r="Z83" s="6"/>
      <x:c r="AA83" s="6"/>
      <x:c r="AB83" s="6"/>
      <x:c r="AC83" s="10"/>
      <x:c r="AD83" s="10"/>
      <x:c r="AE83" s="4" t="str">
        <x:f t="shared" si="12"/>
      </x:c>
      <x:c r="AF83" s="4" t="str">
        <x:f t="shared" si="13"/>
      </x:c>
      <x:c r="AG83" s="4" t="str">
        <x:f t="shared" si="14"/>
      </x:c>
      <x:c r="AH83" s="11">
        <x:f t="shared" si="15"/>
        <x:v>0</x:v>
      </x:c>
      <x:c r="AI83" s="4" t="str">
        <x:f t="shared" si="16"/>
      </x:c>
      <x:c r="AJ83" s="4">
        <x:f t="shared" si="17"/>
        <x:v>0</x:v>
      </x:c>
      <x:c r="AK83" s="4">
        <x:f t="shared" si="18"/>
        <x:v>0</x:v>
      </x:c>
      <x:c r="AL83" s="11">
        <x:f t="shared" si="19"/>
        <x:v>0</x:v>
      </x:c>
      <x:c r="AM83" s="6"/>
      <x:c r="AN83" s="6"/>
    </x:row>
    <x:row r="84">
      <x:c r="A84" s="3" t="str">
        <x:f t="shared" si="10"/>
      </x:c>
      <x:c r="B84" s="9"/>
      <x:c r="C84" s="36"/>
      <x:c r="D84" s="6"/>
      <x:c r="E84" s="3" t="str">
        <x:f>IF(D84="","",IFERROR(VLOOKUP(D84,'Base Sectores'!$A$5:$J$47,2,FALSE),""))</x:f>
      </x:c>
      <x:c r="F84" s="40" t="str">
        <x:f>IF(D84="","",IFERROR(VLOOKUP(D84,'Base Sectores'!$A$5:$J$47,3,FALSE),""))</x:f>
      </x:c>
      <x:c r="G84" s="3" t="str">
        <x:f>IF(D84="","",IFERROR(VLOOKUP(D84,'Base Sectores'!$A$5:$J$47,4,FALSE),""))</x:f>
      </x:c>
      <x:c r="H84" s="3" t="str">
        <x:f>IF(D84="","",IFERROR(VLOOKUP(D84,'Base Sectores'!$A$5:$J$47,5,FALSE),""))</x:f>
      </x:c>
      <x:c r="I84" s="3" t="str">
        <x:f>IF(D84="","",IFERROR(VLOOKUP(D84,'Base Sectores'!$A$5:$J$47,6,FALSE),""))</x:f>
      </x:c>
      <x:c r="J84" s="3" t="str">
        <x:f>IF(D84="","",IFERROR(VLOOKUP(D84,'Base Sectores'!$A$5:$J$47,7,FALSE),""))</x:f>
      </x:c>
      <x:c r="K84" s="3" t="str">
        <x:f>IF(D84="","",IFERROR(VLOOKUP(D84,'Base Sectores'!$A$5:$J$47,9,FALSE),""))</x:f>
      </x:c>
      <x:c r="L84" s="6"/>
      <x:c r="M84" s="3" t="str">
        <x:f>IF(L84="","",IFERROR(VLOOKUP(L84,Configuracion!$D$4:$H$15,2,FALSE),""))</x:f>
      </x:c>
      <x:c r="N84" s="3" t="str">
        <x:f>IF(L84="","",IFERROR(VLOOKUP(L84,Configuracion!$D$4:$H$15,3,FALSE),""))</x:f>
      </x:c>
      <x:c r="O84" s="6"/>
      <x:c r="P84" s="3" t="str">
        <x:f>IF(L84="","",IFERROR(VLOOKUP(L84,Configuracion!$D$4:$H$15,4,FALSE),0))</x:f>
      </x:c>
      <x:c r="Q84" s="10"/>
      <x:c r="R84" s="10"/>
      <x:c r="S84" s="4" t="str">
        <x:f t="shared" si="11"/>
      </x:c>
      <x:c r="T84" s="6"/>
      <x:c r="U84" s="6"/>
      <x:c r="V84" s="6"/>
      <x:c r="W84" s="6"/>
      <x:c r="X84" s="6"/>
      <x:c r="Y84" s="6"/>
      <x:c r="Z84" s="6"/>
      <x:c r="AA84" s="6"/>
      <x:c r="AB84" s="6"/>
      <x:c r="AC84" s="10"/>
      <x:c r="AD84" s="10"/>
      <x:c r="AE84" s="4" t="str">
        <x:f t="shared" si="12"/>
      </x:c>
      <x:c r="AF84" s="4" t="str">
        <x:f t="shared" si="13"/>
      </x:c>
      <x:c r="AG84" s="4" t="str">
        <x:f t="shared" si="14"/>
      </x:c>
      <x:c r="AH84" s="11">
        <x:f t="shared" si="15"/>
        <x:v>0</x:v>
      </x:c>
      <x:c r="AI84" s="4" t="str">
        <x:f t="shared" si="16"/>
      </x:c>
      <x:c r="AJ84" s="4">
        <x:f t="shared" si="17"/>
        <x:v>0</x:v>
      </x:c>
      <x:c r="AK84" s="4">
        <x:f t="shared" si="18"/>
        <x:v>0</x:v>
      </x:c>
      <x:c r="AL84" s="11">
        <x:f t="shared" si="19"/>
        <x:v>0</x:v>
      </x:c>
      <x:c r="AM84" s="6"/>
      <x:c r="AN84" s="6"/>
    </x:row>
    <x:row r="85">
      <x:c r="A85" s="3" t="str">
        <x:f t="shared" si="10"/>
      </x:c>
      <x:c r="B85" s="9"/>
      <x:c r="C85" s="36"/>
      <x:c r="D85" s="6"/>
      <x:c r="E85" s="3" t="str">
        <x:f>IF(D85="","",IFERROR(VLOOKUP(D85,'Base Sectores'!$A$5:$J$47,2,FALSE),""))</x:f>
      </x:c>
      <x:c r="F85" s="40" t="str">
        <x:f>IF(D85="","",IFERROR(VLOOKUP(D85,'Base Sectores'!$A$5:$J$47,3,FALSE),""))</x:f>
      </x:c>
      <x:c r="G85" s="3" t="str">
        <x:f>IF(D85="","",IFERROR(VLOOKUP(D85,'Base Sectores'!$A$5:$J$47,4,FALSE),""))</x:f>
      </x:c>
      <x:c r="H85" s="3" t="str">
        <x:f>IF(D85="","",IFERROR(VLOOKUP(D85,'Base Sectores'!$A$5:$J$47,5,FALSE),""))</x:f>
      </x:c>
      <x:c r="I85" s="3" t="str">
        <x:f>IF(D85="","",IFERROR(VLOOKUP(D85,'Base Sectores'!$A$5:$J$47,6,FALSE),""))</x:f>
      </x:c>
      <x:c r="J85" s="3" t="str">
        <x:f>IF(D85="","",IFERROR(VLOOKUP(D85,'Base Sectores'!$A$5:$J$47,7,FALSE),""))</x:f>
      </x:c>
      <x:c r="K85" s="3" t="str">
        <x:f>IF(D85="","",IFERROR(VLOOKUP(D85,'Base Sectores'!$A$5:$J$47,9,FALSE),""))</x:f>
      </x:c>
      <x:c r="L85" s="6"/>
      <x:c r="M85" s="3" t="str">
        <x:f>IF(L85="","",IFERROR(VLOOKUP(L85,Configuracion!$D$4:$H$15,2,FALSE),""))</x:f>
      </x:c>
      <x:c r="N85" s="3" t="str">
        <x:f>IF(L85="","",IFERROR(VLOOKUP(L85,Configuracion!$D$4:$H$15,3,FALSE),""))</x:f>
      </x:c>
      <x:c r="O85" s="6"/>
      <x:c r="P85" s="3" t="str">
        <x:f>IF(L85="","",IFERROR(VLOOKUP(L85,Configuracion!$D$4:$H$15,4,FALSE),0))</x:f>
      </x:c>
      <x:c r="Q85" s="10"/>
      <x:c r="R85" s="10"/>
      <x:c r="S85" s="4" t="str">
        <x:f t="shared" si="11"/>
      </x:c>
      <x:c r="T85" s="6"/>
      <x:c r="U85" s="6"/>
      <x:c r="V85" s="6"/>
      <x:c r="W85" s="6"/>
      <x:c r="X85" s="6"/>
      <x:c r="Y85" s="6"/>
      <x:c r="Z85" s="6"/>
      <x:c r="AA85" s="6"/>
      <x:c r="AB85" s="6"/>
      <x:c r="AC85" s="10"/>
      <x:c r="AD85" s="10"/>
      <x:c r="AE85" s="4" t="str">
        <x:f t="shared" si="12"/>
      </x:c>
      <x:c r="AF85" s="4" t="str">
        <x:f t="shared" si="13"/>
      </x:c>
      <x:c r="AG85" s="4" t="str">
        <x:f t="shared" si="14"/>
      </x:c>
      <x:c r="AH85" s="11">
        <x:f t="shared" si="15"/>
        <x:v>0</x:v>
      </x:c>
      <x:c r="AI85" s="4" t="str">
        <x:f t="shared" si="16"/>
      </x:c>
      <x:c r="AJ85" s="4">
        <x:f t="shared" si="17"/>
        <x:v>0</x:v>
      </x:c>
      <x:c r="AK85" s="4">
        <x:f t="shared" si="18"/>
        <x:v>0</x:v>
      </x:c>
      <x:c r="AL85" s="11">
        <x:f t="shared" si="19"/>
        <x:v>0</x:v>
      </x:c>
      <x:c r="AM85" s="6"/>
      <x:c r="AN85" s="6"/>
    </x:row>
    <x:row r="86">
      <x:c r="A86" s="3" t="str">
        <x:f t="shared" si="10"/>
      </x:c>
      <x:c r="B86" s="9"/>
      <x:c r="C86" s="36"/>
      <x:c r="D86" s="6"/>
      <x:c r="E86" s="3" t="str">
        <x:f>IF(D86="","",IFERROR(VLOOKUP(D86,'Base Sectores'!$A$5:$J$47,2,FALSE),""))</x:f>
      </x:c>
      <x:c r="F86" s="40" t="str">
        <x:f>IF(D86="","",IFERROR(VLOOKUP(D86,'Base Sectores'!$A$5:$J$47,3,FALSE),""))</x:f>
      </x:c>
      <x:c r="G86" s="3" t="str">
        <x:f>IF(D86="","",IFERROR(VLOOKUP(D86,'Base Sectores'!$A$5:$J$47,4,FALSE),""))</x:f>
      </x:c>
      <x:c r="H86" s="3" t="str">
        <x:f>IF(D86="","",IFERROR(VLOOKUP(D86,'Base Sectores'!$A$5:$J$47,5,FALSE),""))</x:f>
      </x:c>
      <x:c r="I86" s="3" t="str">
        <x:f>IF(D86="","",IFERROR(VLOOKUP(D86,'Base Sectores'!$A$5:$J$47,6,FALSE),""))</x:f>
      </x:c>
      <x:c r="J86" s="3" t="str">
        <x:f>IF(D86="","",IFERROR(VLOOKUP(D86,'Base Sectores'!$A$5:$J$47,7,FALSE),""))</x:f>
      </x:c>
      <x:c r="K86" s="3" t="str">
        <x:f>IF(D86="","",IFERROR(VLOOKUP(D86,'Base Sectores'!$A$5:$J$47,9,FALSE),""))</x:f>
      </x:c>
      <x:c r="L86" s="6"/>
      <x:c r="M86" s="3" t="str">
        <x:f>IF(L86="","",IFERROR(VLOOKUP(L86,Configuracion!$D$4:$H$15,2,FALSE),""))</x:f>
      </x:c>
      <x:c r="N86" s="3" t="str">
        <x:f>IF(L86="","",IFERROR(VLOOKUP(L86,Configuracion!$D$4:$H$15,3,FALSE),""))</x:f>
      </x:c>
      <x:c r="O86" s="6"/>
      <x:c r="P86" s="3" t="str">
        <x:f>IF(L86="","",IFERROR(VLOOKUP(L86,Configuracion!$D$4:$H$15,4,FALSE),0))</x:f>
      </x:c>
      <x:c r="Q86" s="10"/>
      <x:c r="R86" s="10"/>
      <x:c r="S86" s="4" t="str">
        <x:f t="shared" si="11"/>
      </x:c>
      <x:c r="T86" s="6"/>
      <x:c r="U86" s="6"/>
      <x:c r="V86" s="6"/>
      <x:c r="W86" s="6"/>
      <x:c r="X86" s="6"/>
      <x:c r="Y86" s="6"/>
      <x:c r="Z86" s="6"/>
      <x:c r="AA86" s="6"/>
      <x:c r="AB86" s="6"/>
      <x:c r="AC86" s="10"/>
      <x:c r="AD86" s="10"/>
      <x:c r="AE86" s="4" t="str">
        <x:f t="shared" si="12"/>
      </x:c>
      <x:c r="AF86" s="4" t="str">
        <x:f t="shared" si="13"/>
      </x:c>
      <x:c r="AG86" s="4" t="str">
        <x:f t="shared" si="14"/>
      </x:c>
      <x:c r="AH86" s="11">
        <x:f t="shared" si="15"/>
        <x:v>0</x:v>
      </x:c>
      <x:c r="AI86" s="4" t="str">
        <x:f t="shared" si="16"/>
      </x:c>
      <x:c r="AJ86" s="4">
        <x:f t="shared" si="17"/>
        <x:v>0</x:v>
      </x:c>
      <x:c r="AK86" s="4">
        <x:f t="shared" si="18"/>
        <x:v>0</x:v>
      </x:c>
      <x:c r="AL86" s="11">
        <x:f t="shared" si="19"/>
        <x:v>0</x:v>
      </x:c>
      <x:c r="AM86" s="6"/>
      <x:c r="AN86" s="6"/>
    </x:row>
    <x:row r="87">
      <x:c r="A87" s="3" t="str">
        <x:f t="shared" si="10"/>
      </x:c>
      <x:c r="B87" s="9"/>
      <x:c r="C87" s="36"/>
      <x:c r="D87" s="6"/>
      <x:c r="E87" s="3" t="str">
        <x:f>IF(D87="","",IFERROR(VLOOKUP(D87,'Base Sectores'!$A$5:$J$47,2,FALSE),""))</x:f>
      </x:c>
      <x:c r="F87" s="40" t="str">
        <x:f>IF(D87="","",IFERROR(VLOOKUP(D87,'Base Sectores'!$A$5:$J$47,3,FALSE),""))</x:f>
      </x:c>
      <x:c r="G87" s="3" t="str">
        <x:f>IF(D87="","",IFERROR(VLOOKUP(D87,'Base Sectores'!$A$5:$J$47,4,FALSE),""))</x:f>
      </x:c>
      <x:c r="H87" s="3" t="str">
        <x:f>IF(D87="","",IFERROR(VLOOKUP(D87,'Base Sectores'!$A$5:$J$47,5,FALSE),""))</x:f>
      </x:c>
      <x:c r="I87" s="3" t="str">
        <x:f>IF(D87="","",IFERROR(VLOOKUP(D87,'Base Sectores'!$A$5:$J$47,6,FALSE),""))</x:f>
      </x:c>
      <x:c r="J87" s="3" t="str">
        <x:f>IF(D87="","",IFERROR(VLOOKUP(D87,'Base Sectores'!$A$5:$J$47,7,FALSE),""))</x:f>
      </x:c>
      <x:c r="K87" s="3" t="str">
        <x:f>IF(D87="","",IFERROR(VLOOKUP(D87,'Base Sectores'!$A$5:$J$47,9,FALSE),""))</x:f>
      </x:c>
      <x:c r="L87" s="6"/>
      <x:c r="M87" s="3" t="str">
        <x:f>IF(L87="","",IFERROR(VLOOKUP(L87,Configuracion!$D$4:$H$15,2,FALSE),""))</x:f>
      </x:c>
      <x:c r="N87" s="3" t="str">
        <x:f>IF(L87="","",IFERROR(VLOOKUP(L87,Configuracion!$D$4:$H$15,3,FALSE),""))</x:f>
      </x:c>
      <x:c r="O87" s="6"/>
      <x:c r="P87" s="3" t="str">
        <x:f>IF(L87="","",IFERROR(VLOOKUP(L87,Configuracion!$D$4:$H$15,4,FALSE),0))</x:f>
      </x:c>
      <x:c r="Q87" s="10"/>
      <x:c r="R87" s="10"/>
      <x:c r="S87" s="4" t="str">
        <x:f t="shared" si="11"/>
      </x:c>
      <x:c r="T87" s="6"/>
      <x:c r="U87" s="6"/>
      <x:c r="V87" s="6"/>
      <x:c r="W87" s="6"/>
      <x:c r="X87" s="6"/>
      <x:c r="Y87" s="6"/>
      <x:c r="Z87" s="6"/>
      <x:c r="AA87" s="6"/>
      <x:c r="AB87" s="6"/>
      <x:c r="AC87" s="10"/>
      <x:c r="AD87" s="10"/>
      <x:c r="AE87" s="4" t="str">
        <x:f t="shared" si="12"/>
      </x:c>
      <x:c r="AF87" s="4" t="str">
        <x:f t="shared" si="13"/>
      </x:c>
      <x:c r="AG87" s="4" t="str">
        <x:f t="shared" si="14"/>
      </x:c>
      <x:c r="AH87" s="11">
        <x:f t="shared" si="15"/>
        <x:v>0</x:v>
      </x:c>
      <x:c r="AI87" s="4" t="str">
        <x:f t="shared" si="16"/>
      </x:c>
      <x:c r="AJ87" s="4">
        <x:f t="shared" si="17"/>
        <x:v>0</x:v>
      </x:c>
      <x:c r="AK87" s="4">
        <x:f t="shared" si="18"/>
        <x:v>0</x:v>
      </x:c>
      <x:c r="AL87" s="11">
        <x:f t="shared" si="19"/>
        <x:v>0</x:v>
      </x:c>
      <x:c r="AM87" s="6"/>
      <x:c r="AN87" s="6"/>
    </x:row>
    <x:row r="88">
      <x:c r="A88" s="3" t="str">
        <x:f t="shared" si="10"/>
      </x:c>
      <x:c r="B88" s="9"/>
      <x:c r="C88" s="36"/>
      <x:c r="D88" s="6"/>
      <x:c r="E88" s="3" t="str">
        <x:f>IF(D88="","",IFERROR(VLOOKUP(D88,'Base Sectores'!$A$5:$J$47,2,FALSE),""))</x:f>
      </x:c>
      <x:c r="F88" s="40" t="str">
        <x:f>IF(D88="","",IFERROR(VLOOKUP(D88,'Base Sectores'!$A$5:$J$47,3,FALSE),""))</x:f>
      </x:c>
      <x:c r="G88" s="3" t="str">
        <x:f>IF(D88="","",IFERROR(VLOOKUP(D88,'Base Sectores'!$A$5:$J$47,4,FALSE),""))</x:f>
      </x:c>
      <x:c r="H88" s="3" t="str">
        <x:f>IF(D88="","",IFERROR(VLOOKUP(D88,'Base Sectores'!$A$5:$J$47,5,FALSE),""))</x:f>
      </x:c>
      <x:c r="I88" s="3" t="str">
        <x:f>IF(D88="","",IFERROR(VLOOKUP(D88,'Base Sectores'!$A$5:$J$47,6,FALSE),""))</x:f>
      </x:c>
      <x:c r="J88" s="3" t="str">
        <x:f>IF(D88="","",IFERROR(VLOOKUP(D88,'Base Sectores'!$A$5:$J$47,7,FALSE),""))</x:f>
      </x:c>
      <x:c r="K88" s="3" t="str">
        <x:f>IF(D88="","",IFERROR(VLOOKUP(D88,'Base Sectores'!$A$5:$J$47,9,FALSE),""))</x:f>
      </x:c>
      <x:c r="L88" s="6"/>
      <x:c r="M88" s="3" t="str">
        <x:f>IF(L88="","",IFERROR(VLOOKUP(L88,Configuracion!$D$4:$H$15,2,FALSE),""))</x:f>
      </x:c>
      <x:c r="N88" s="3" t="str">
        <x:f>IF(L88="","",IFERROR(VLOOKUP(L88,Configuracion!$D$4:$H$15,3,FALSE),""))</x:f>
      </x:c>
      <x:c r="O88" s="6"/>
      <x:c r="P88" s="3" t="str">
        <x:f>IF(L88="","",IFERROR(VLOOKUP(L88,Configuracion!$D$4:$H$15,4,FALSE),0))</x:f>
      </x:c>
      <x:c r="Q88" s="10"/>
      <x:c r="R88" s="10"/>
      <x:c r="S88" s="4" t="str">
        <x:f t="shared" si="11"/>
      </x:c>
      <x:c r="T88" s="6"/>
      <x:c r="U88" s="6"/>
      <x:c r="V88" s="6"/>
      <x:c r="W88" s="6"/>
      <x:c r="X88" s="6"/>
      <x:c r="Y88" s="6"/>
      <x:c r="Z88" s="6"/>
      <x:c r="AA88" s="6"/>
      <x:c r="AB88" s="6"/>
      <x:c r="AC88" s="10"/>
      <x:c r="AD88" s="10"/>
      <x:c r="AE88" s="4" t="str">
        <x:f t="shared" si="12"/>
      </x:c>
      <x:c r="AF88" s="4" t="str">
        <x:f t="shared" si="13"/>
      </x:c>
      <x:c r="AG88" s="4" t="str">
        <x:f t="shared" si="14"/>
      </x:c>
      <x:c r="AH88" s="11">
        <x:f t="shared" si="15"/>
        <x:v>0</x:v>
      </x:c>
      <x:c r="AI88" s="4" t="str">
        <x:f t="shared" si="16"/>
      </x:c>
      <x:c r="AJ88" s="4">
        <x:f t="shared" si="17"/>
        <x:v>0</x:v>
      </x:c>
      <x:c r="AK88" s="4">
        <x:f t="shared" si="18"/>
        <x:v>0</x:v>
      </x:c>
      <x:c r="AL88" s="11">
        <x:f t="shared" si="19"/>
        <x:v>0</x:v>
      </x:c>
      <x:c r="AM88" s="6"/>
      <x:c r="AN88" s="6"/>
    </x:row>
    <x:row r="89">
      <x:c r="A89" s="3" t="str">
        <x:f t="shared" si="10"/>
      </x:c>
      <x:c r="B89" s="9"/>
      <x:c r="C89" s="36"/>
      <x:c r="D89" s="6"/>
      <x:c r="E89" s="3" t="str">
        <x:f>IF(D89="","",IFERROR(VLOOKUP(D89,'Base Sectores'!$A$5:$J$47,2,FALSE),""))</x:f>
      </x:c>
      <x:c r="F89" s="40" t="str">
        <x:f>IF(D89="","",IFERROR(VLOOKUP(D89,'Base Sectores'!$A$5:$J$47,3,FALSE),""))</x:f>
      </x:c>
      <x:c r="G89" s="3" t="str">
        <x:f>IF(D89="","",IFERROR(VLOOKUP(D89,'Base Sectores'!$A$5:$J$47,4,FALSE),""))</x:f>
      </x:c>
      <x:c r="H89" s="3" t="str">
        <x:f>IF(D89="","",IFERROR(VLOOKUP(D89,'Base Sectores'!$A$5:$J$47,5,FALSE),""))</x:f>
      </x:c>
      <x:c r="I89" s="3" t="str">
        <x:f>IF(D89="","",IFERROR(VLOOKUP(D89,'Base Sectores'!$A$5:$J$47,6,FALSE),""))</x:f>
      </x:c>
      <x:c r="J89" s="3" t="str">
        <x:f>IF(D89="","",IFERROR(VLOOKUP(D89,'Base Sectores'!$A$5:$J$47,7,FALSE),""))</x:f>
      </x:c>
      <x:c r="K89" s="3" t="str">
        <x:f>IF(D89="","",IFERROR(VLOOKUP(D89,'Base Sectores'!$A$5:$J$47,9,FALSE),""))</x:f>
      </x:c>
      <x:c r="L89" s="6"/>
      <x:c r="M89" s="3" t="str">
        <x:f>IF(L89="","",IFERROR(VLOOKUP(L89,Configuracion!$D$4:$H$15,2,FALSE),""))</x:f>
      </x:c>
      <x:c r="N89" s="3" t="str">
        <x:f>IF(L89="","",IFERROR(VLOOKUP(L89,Configuracion!$D$4:$H$15,3,FALSE),""))</x:f>
      </x:c>
      <x:c r="O89" s="6"/>
      <x:c r="P89" s="3" t="str">
        <x:f>IF(L89="","",IFERROR(VLOOKUP(L89,Configuracion!$D$4:$H$15,4,FALSE),0))</x:f>
      </x:c>
      <x:c r="Q89" s="10"/>
      <x:c r="R89" s="10"/>
      <x:c r="S89" s="4" t="str">
        <x:f t="shared" si="11"/>
      </x:c>
      <x:c r="T89" s="6"/>
      <x:c r="U89" s="6"/>
      <x:c r="V89" s="6"/>
      <x:c r="W89" s="6"/>
      <x:c r="X89" s="6"/>
      <x:c r="Y89" s="6"/>
      <x:c r="Z89" s="6"/>
      <x:c r="AA89" s="6"/>
      <x:c r="AB89" s="6"/>
      <x:c r="AC89" s="10"/>
      <x:c r="AD89" s="10"/>
      <x:c r="AE89" s="4" t="str">
        <x:f t="shared" si="12"/>
      </x:c>
      <x:c r="AF89" s="4" t="str">
        <x:f t="shared" si="13"/>
      </x:c>
      <x:c r="AG89" s="4" t="str">
        <x:f t="shared" si="14"/>
      </x:c>
      <x:c r="AH89" s="11">
        <x:f t="shared" si="15"/>
        <x:v>0</x:v>
      </x:c>
      <x:c r="AI89" s="4" t="str">
        <x:f t="shared" si="16"/>
      </x:c>
      <x:c r="AJ89" s="4">
        <x:f t="shared" si="17"/>
        <x:v>0</x:v>
      </x:c>
      <x:c r="AK89" s="4">
        <x:f t="shared" si="18"/>
        <x:v>0</x:v>
      </x:c>
      <x:c r="AL89" s="11">
        <x:f t="shared" si="19"/>
        <x:v>0</x:v>
      </x:c>
      <x:c r="AM89" s="6"/>
      <x:c r="AN89" s="6"/>
    </x:row>
    <x:row r="90">
      <x:c r="A90" s="3" t="str">
        <x:f t="shared" si="10"/>
      </x:c>
      <x:c r="B90" s="9"/>
      <x:c r="C90" s="36"/>
      <x:c r="D90" s="6"/>
      <x:c r="E90" s="3" t="str">
        <x:f>IF(D90="","",IFERROR(VLOOKUP(D90,'Base Sectores'!$A$5:$J$47,2,FALSE),""))</x:f>
      </x:c>
      <x:c r="F90" s="40" t="str">
        <x:f>IF(D90="","",IFERROR(VLOOKUP(D90,'Base Sectores'!$A$5:$J$47,3,FALSE),""))</x:f>
      </x:c>
      <x:c r="G90" s="3" t="str">
        <x:f>IF(D90="","",IFERROR(VLOOKUP(D90,'Base Sectores'!$A$5:$J$47,4,FALSE),""))</x:f>
      </x:c>
      <x:c r="H90" s="3" t="str">
        <x:f>IF(D90="","",IFERROR(VLOOKUP(D90,'Base Sectores'!$A$5:$J$47,5,FALSE),""))</x:f>
      </x:c>
      <x:c r="I90" s="3" t="str">
        <x:f>IF(D90="","",IFERROR(VLOOKUP(D90,'Base Sectores'!$A$5:$J$47,6,FALSE),""))</x:f>
      </x:c>
      <x:c r="J90" s="3" t="str">
        <x:f>IF(D90="","",IFERROR(VLOOKUP(D90,'Base Sectores'!$A$5:$J$47,7,FALSE),""))</x:f>
      </x:c>
      <x:c r="K90" s="3" t="str">
        <x:f>IF(D90="","",IFERROR(VLOOKUP(D90,'Base Sectores'!$A$5:$J$47,9,FALSE),""))</x:f>
      </x:c>
      <x:c r="L90" s="6"/>
      <x:c r="M90" s="3" t="str">
        <x:f>IF(L90="","",IFERROR(VLOOKUP(L90,Configuracion!$D$4:$H$15,2,FALSE),""))</x:f>
      </x:c>
      <x:c r="N90" s="3" t="str">
        <x:f>IF(L90="","",IFERROR(VLOOKUP(L90,Configuracion!$D$4:$H$15,3,FALSE),""))</x:f>
      </x:c>
      <x:c r="O90" s="6"/>
      <x:c r="P90" s="3" t="str">
        <x:f>IF(L90="","",IFERROR(VLOOKUP(L90,Configuracion!$D$4:$H$15,4,FALSE),0))</x:f>
      </x:c>
      <x:c r="Q90" s="10"/>
      <x:c r="R90" s="10"/>
      <x:c r="S90" s="4" t="str">
        <x:f t="shared" si="11"/>
      </x:c>
      <x:c r="T90" s="6"/>
      <x:c r="U90" s="6"/>
      <x:c r="V90" s="6"/>
      <x:c r="W90" s="6"/>
      <x:c r="X90" s="6"/>
      <x:c r="Y90" s="6"/>
      <x:c r="Z90" s="6"/>
      <x:c r="AA90" s="6"/>
      <x:c r="AB90" s="6"/>
      <x:c r="AC90" s="10"/>
      <x:c r="AD90" s="10"/>
      <x:c r="AE90" s="4" t="str">
        <x:f t="shared" si="12"/>
      </x:c>
      <x:c r="AF90" s="4" t="str">
        <x:f t="shared" si="13"/>
      </x:c>
      <x:c r="AG90" s="4" t="str">
        <x:f t="shared" si="14"/>
      </x:c>
      <x:c r="AH90" s="11">
        <x:f t="shared" si="15"/>
        <x:v>0</x:v>
      </x:c>
      <x:c r="AI90" s="4" t="str">
        <x:f t="shared" si="16"/>
      </x:c>
      <x:c r="AJ90" s="4">
        <x:f t="shared" si="17"/>
        <x:v>0</x:v>
      </x:c>
      <x:c r="AK90" s="4">
        <x:f t="shared" si="18"/>
        <x:v>0</x:v>
      </x:c>
      <x:c r="AL90" s="11">
        <x:f t="shared" si="19"/>
        <x:v>0</x:v>
      </x:c>
      <x:c r="AM90" s="6"/>
      <x:c r="AN90" s="6"/>
    </x:row>
    <x:row r="91">
      <x:c r="A91" s="3" t="str">
        <x:f t="shared" si="10"/>
      </x:c>
      <x:c r="B91" s="9"/>
      <x:c r="C91" s="36"/>
      <x:c r="D91" s="6"/>
      <x:c r="E91" s="3" t="str">
        <x:f>IF(D91="","",IFERROR(VLOOKUP(D91,'Base Sectores'!$A$5:$J$47,2,FALSE),""))</x:f>
      </x:c>
      <x:c r="F91" s="40" t="str">
        <x:f>IF(D91="","",IFERROR(VLOOKUP(D91,'Base Sectores'!$A$5:$J$47,3,FALSE),""))</x:f>
      </x:c>
      <x:c r="G91" s="3" t="str">
        <x:f>IF(D91="","",IFERROR(VLOOKUP(D91,'Base Sectores'!$A$5:$J$47,4,FALSE),""))</x:f>
      </x:c>
      <x:c r="H91" s="3" t="str">
        <x:f>IF(D91="","",IFERROR(VLOOKUP(D91,'Base Sectores'!$A$5:$J$47,5,FALSE),""))</x:f>
      </x:c>
      <x:c r="I91" s="3" t="str">
        <x:f>IF(D91="","",IFERROR(VLOOKUP(D91,'Base Sectores'!$A$5:$J$47,6,FALSE),""))</x:f>
      </x:c>
      <x:c r="J91" s="3" t="str">
        <x:f>IF(D91="","",IFERROR(VLOOKUP(D91,'Base Sectores'!$A$5:$J$47,7,FALSE),""))</x:f>
      </x:c>
      <x:c r="K91" s="3" t="str">
        <x:f>IF(D91="","",IFERROR(VLOOKUP(D91,'Base Sectores'!$A$5:$J$47,9,FALSE),""))</x:f>
      </x:c>
      <x:c r="L91" s="6"/>
      <x:c r="M91" s="3" t="str">
        <x:f>IF(L91="","",IFERROR(VLOOKUP(L91,Configuracion!$D$4:$H$15,2,FALSE),""))</x:f>
      </x:c>
      <x:c r="N91" s="3" t="str">
        <x:f>IF(L91="","",IFERROR(VLOOKUP(L91,Configuracion!$D$4:$H$15,3,FALSE),""))</x:f>
      </x:c>
      <x:c r="O91" s="6"/>
      <x:c r="P91" s="3" t="str">
        <x:f>IF(L91="","",IFERROR(VLOOKUP(L91,Configuracion!$D$4:$H$15,4,FALSE),0))</x:f>
      </x:c>
      <x:c r="Q91" s="10"/>
      <x:c r="R91" s="10"/>
      <x:c r="S91" s="4" t="str">
        <x:f t="shared" si="11"/>
      </x:c>
      <x:c r="T91" s="6"/>
      <x:c r="U91" s="6"/>
      <x:c r="V91" s="6"/>
      <x:c r="W91" s="6"/>
      <x:c r="X91" s="6"/>
      <x:c r="Y91" s="6"/>
      <x:c r="Z91" s="6"/>
      <x:c r="AA91" s="6"/>
      <x:c r="AB91" s="6"/>
      <x:c r="AC91" s="10"/>
      <x:c r="AD91" s="10"/>
      <x:c r="AE91" s="4" t="str">
        <x:f t="shared" si="12"/>
      </x:c>
      <x:c r="AF91" s="4" t="str">
        <x:f t="shared" si="13"/>
      </x:c>
      <x:c r="AG91" s="4" t="str">
        <x:f t="shared" si="14"/>
      </x:c>
      <x:c r="AH91" s="11">
        <x:f t="shared" si="15"/>
        <x:v>0</x:v>
      </x:c>
      <x:c r="AI91" s="4" t="str">
        <x:f t="shared" si="16"/>
      </x:c>
      <x:c r="AJ91" s="4">
        <x:f t="shared" si="17"/>
        <x:v>0</x:v>
      </x:c>
      <x:c r="AK91" s="4">
        <x:f t="shared" si="18"/>
        <x:v>0</x:v>
      </x:c>
      <x:c r="AL91" s="11">
        <x:f t="shared" si="19"/>
        <x:v>0</x:v>
      </x:c>
      <x:c r="AM91" s="6"/>
      <x:c r="AN91" s="6"/>
    </x:row>
    <x:row r="92">
      <x:c r="A92" s="3" t="str">
        <x:f t="shared" si="10"/>
      </x:c>
      <x:c r="B92" s="9"/>
      <x:c r="C92" s="36"/>
      <x:c r="D92" s="6"/>
      <x:c r="E92" s="3" t="str">
        <x:f>IF(D92="","",IFERROR(VLOOKUP(D92,'Base Sectores'!$A$5:$J$47,2,FALSE),""))</x:f>
      </x:c>
      <x:c r="F92" s="40" t="str">
        <x:f>IF(D92="","",IFERROR(VLOOKUP(D92,'Base Sectores'!$A$5:$J$47,3,FALSE),""))</x:f>
      </x:c>
      <x:c r="G92" s="3" t="str">
        <x:f>IF(D92="","",IFERROR(VLOOKUP(D92,'Base Sectores'!$A$5:$J$47,4,FALSE),""))</x:f>
      </x:c>
      <x:c r="H92" s="3" t="str">
        <x:f>IF(D92="","",IFERROR(VLOOKUP(D92,'Base Sectores'!$A$5:$J$47,5,FALSE),""))</x:f>
      </x:c>
      <x:c r="I92" s="3" t="str">
        <x:f>IF(D92="","",IFERROR(VLOOKUP(D92,'Base Sectores'!$A$5:$J$47,6,FALSE),""))</x:f>
      </x:c>
      <x:c r="J92" s="3" t="str">
        <x:f>IF(D92="","",IFERROR(VLOOKUP(D92,'Base Sectores'!$A$5:$J$47,7,FALSE),""))</x:f>
      </x:c>
      <x:c r="K92" s="3" t="str">
        <x:f>IF(D92="","",IFERROR(VLOOKUP(D92,'Base Sectores'!$A$5:$J$47,9,FALSE),""))</x:f>
      </x:c>
      <x:c r="L92" s="6"/>
      <x:c r="M92" s="3" t="str">
        <x:f>IF(L92="","",IFERROR(VLOOKUP(L92,Configuracion!$D$4:$H$15,2,FALSE),""))</x:f>
      </x:c>
      <x:c r="N92" s="3" t="str">
        <x:f>IF(L92="","",IFERROR(VLOOKUP(L92,Configuracion!$D$4:$H$15,3,FALSE),""))</x:f>
      </x:c>
      <x:c r="O92" s="6"/>
      <x:c r="P92" s="3" t="str">
        <x:f>IF(L92="","",IFERROR(VLOOKUP(L92,Configuracion!$D$4:$H$15,4,FALSE),0))</x:f>
      </x:c>
      <x:c r="Q92" s="10"/>
      <x:c r="R92" s="10"/>
      <x:c r="S92" s="4" t="str">
        <x:f t="shared" si="11"/>
      </x:c>
      <x:c r="T92" s="6"/>
      <x:c r="U92" s="6"/>
      <x:c r="V92" s="6"/>
      <x:c r="W92" s="6"/>
      <x:c r="X92" s="6"/>
      <x:c r="Y92" s="6"/>
      <x:c r="Z92" s="6"/>
      <x:c r="AA92" s="6"/>
      <x:c r="AB92" s="6"/>
      <x:c r="AC92" s="10"/>
      <x:c r="AD92" s="10"/>
      <x:c r="AE92" s="4" t="str">
        <x:f t="shared" si="12"/>
      </x:c>
      <x:c r="AF92" s="4" t="str">
        <x:f t="shared" si="13"/>
      </x:c>
      <x:c r="AG92" s="4" t="str">
        <x:f t="shared" si="14"/>
      </x:c>
      <x:c r="AH92" s="11">
        <x:f t="shared" si="15"/>
        <x:v>0</x:v>
      </x:c>
      <x:c r="AI92" s="4" t="str">
        <x:f t="shared" si="16"/>
      </x:c>
      <x:c r="AJ92" s="4">
        <x:f t="shared" si="17"/>
        <x:v>0</x:v>
      </x:c>
      <x:c r="AK92" s="4">
        <x:f t="shared" si="18"/>
        <x:v>0</x:v>
      </x:c>
      <x:c r="AL92" s="11">
        <x:f t="shared" si="19"/>
        <x:v>0</x:v>
      </x:c>
      <x:c r="AM92" s="6"/>
      <x:c r="AN92" s="6"/>
    </x:row>
    <x:row r="93">
      <x:c r="A93" s="3" t="str">
        <x:f t="shared" si="10"/>
      </x:c>
      <x:c r="B93" s="9"/>
      <x:c r="C93" s="36"/>
      <x:c r="D93" s="6"/>
      <x:c r="E93" s="3" t="str">
        <x:f>IF(D93="","",IFERROR(VLOOKUP(D93,'Base Sectores'!$A$5:$J$47,2,FALSE),""))</x:f>
      </x:c>
      <x:c r="F93" s="40" t="str">
        <x:f>IF(D93="","",IFERROR(VLOOKUP(D93,'Base Sectores'!$A$5:$J$47,3,FALSE),""))</x:f>
      </x:c>
      <x:c r="G93" s="3" t="str">
        <x:f>IF(D93="","",IFERROR(VLOOKUP(D93,'Base Sectores'!$A$5:$J$47,4,FALSE),""))</x:f>
      </x:c>
      <x:c r="H93" s="3" t="str">
        <x:f>IF(D93="","",IFERROR(VLOOKUP(D93,'Base Sectores'!$A$5:$J$47,5,FALSE),""))</x:f>
      </x:c>
      <x:c r="I93" s="3" t="str">
        <x:f>IF(D93="","",IFERROR(VLOOKUP(D93,'Base Sectores'!$A$5:$J$47,6,FALSE),""))</x:f>
      </x:c>
      <x:c r="J93" s="3" t="str">
        <x:f>IF(D93="","",IFERROR(VLOOKUP(D93,'Base Sectores'!$A$5:$J$47,7,FALSE),""))</x:f>
      </x:c>
      <x:c r="K93" s="3" t="str">
        <x:f>IF(D93="","",IFERROR(VLOOKUP(D93,'Base Sectores'!$A$5:$J$47,9,FALSE),""))</x:f>
      </x:c>
      <x:c r="L93" s="6"/>
      <x:c r="M93" s="3" t="str">
        <x:f>IF(L93="","",IFERROR(VLOOKUP(L93,Configuracion!$D$4:$H$15,2,FALSE),""))</x:f>
      </x:c>
      <x:c r="N93" s="3" t="str">
        <x:f>IF(L93="","",IFERROR(VLOOKUP(L93,Configuracion!$D$4:$H$15,3,FALSE),""))</x:f>
      </x:c>
      <x:c r="O93" s="6"/>
      <x:c r="P93" s="3" t="str">
        <x:f>IF(L93="","",IFERROR(VLOOKUP(L93,Configuracion!$D$4:$H$15,4,FALSE),0))</x:f>
      </x:c>
      <x:c r="Q93" s="10"/>
      <x:c r="R93" s="10"/>
      <x:c r="S93" s="4" t="str">
        <x:f t="shared" si="11"/>
      </x:c>
      <x:c r="T93" s="6"/>
      <x:c r="U93" s="6"/>
      <x:c r="V93" s="6"/>
      <x:c r="W93" s="6"/>
      <x:c r="X93" s="6"/>
      <x:c r="Y93" s="6"/>
      <x:c r="Z93" s="6"/>
      <x:c r="AA93" s="6"/>
      <x:c r="AB93" s="6"/>
      <x:c r="AC93" s="10"/>
      <x:c r="AD93" s="10"/>
      <x:c r="AE93" s="4" t="str">
        <x:f t="shared" si="12"/>
      </x:c>
      <x:c r="AF93" s="4" t="str">
        <x:f t="shared" si="13"/>
      </x:c>
      <x:c r="AG93" s="4" t="str">
        <x:f t="shared" si="14"/>
      </x:c>
      <x:c r="AH93" s="11">
        <x:f t="shared" si="15"/>
        <x:v>0</x:v>
      </x:c>
      <x:c r="AI93" s="4" t="str">
        <x:f t="shared" si="16"/>
      </x:c>
      <x:c r="AJ93" s="4">
        <x:f t="shared" si="17"/>
        <x:v>0</x:v>
      </x:c>
      <x:c r="AK93" s="4">
        <x:f t="shared" si="18"/>
        <x:v>0</x:v>
      </x:c>
      <x:c r="AL93" s="11">
        <x:f t="shared" si="19"/>
        <x:v>0</x:v>
      </x:c>
      <x:c r="AM93" s="6"/>
      <x:c r="AN93" s="6"/>
    </x:row>
    <x:row r="94">
      <x:c r="A94" s="3" t="str">
        <x:f t="shared" si="10"/>
      </x:c>
      <x:c r="B94" s="9"/>
      <x:c r="C94" s="36"/>
      <x:c r="D94" s="6"/>
      <x:c r="E94" s="3" t="str">
        <x:f>IF(D94="","",IFERROR(VLOOKUP(D94,'Base Sectores'!$A$5:$J$47,2,FALSE),""))</x:f>
      </x:c>
      <x:c r="F94" s="40" t="str">
        <x:f>IF(D94="","",IFERROR(VLOOKUP(D94,'Base Sectores'!$A$5:$J$47,3,FALSE),""))</x:f>
      </x:c>
      <x:c r="G94" s="3" t="str">
        <x:f>IF(D94="","",IFERROR(VLOOKUP(D94,'Base Sectores'!$A$5:$J$47,4,FALSE),""))</x:f>
      </x:c>
      <x:c r="H94" s="3" t="str">
        <x:f>IF(D94="","",IFERROR(VLOOKUP(D94,'Base Sectores'!$A$5:$J$47,5,FALSE),""))</x:f>
      </x:c>
      <x:c r="I94" s="3" t="str">
        <x:f>IF(D94="","",IFERROR(VLOOKUP(D94,'Base Sectores'!$A$5:$J$47,6,FALSE),""))</x:f>
      </x:c>
      <x:c r="J94" s="3" t="str">
        <x:f>IF(D94="","",IFERROR(VLOOKUP(D94,'Base Sectores'!$A$5:$J$47,7,FALSE),""))</x:f>
      </x:c>
      <x:c r="K94" s="3" t="str">
        <x:f>IF(D94="","",IFERROR(VLOOKUP(D94,'Base Sectores'!$A$5:$J$47,9,FALSE),""))</x:f>
      </x:c>
      <x:c r="L94" s="6"/>
      <x:c r="M94" s="3" t="str">
        <x:f>IF(L94="","",IFERROR(VLOOKUP(L94,Configuracion!$D$4:$H$15,2,FALSE),""))</x:f>
      </x:c>
      <x:c r="N94" s="3" t="str">
        <x:f>IF(L94="","",IFERROR(VLOOKUP(L94,Configuracion!$D$4:$H$15,3,FALSE),""))</x:f>
      </x:c>
      <x:c r="O94" s="6"/>
      <x:c r="P94" s="3" t="str">
        <x:f>IF(L94="","",IFERROR(VLOOKUP(L94,Configuracion!$D$4:$H$15,4,FALSE),0))</x:f>
      </x:c>
      <x:c r="Q94" s="10"/>
      <x:c r="R94" s="10"/>
      <x:c r="S94" s="4" t="str">
        <x:f t="shared" si="11"/>
      </x:c>
      <x:c r="T94" s="6"/>
      <x:c r="U94" s="6"/>
      <x:c r="V94" s="6"/>
      <x:c r="W94" s="6"/>
      <x:c r="X94" s="6"/>
      <x:c r="Y94" s="6"/>
      <x:c r="Z94" s="6"/>
      <x:c r="AA94" s="6"/>
      <x:c r="AB94" s="6"/>
      <x:c r="AC94" s="10"/>
      <x:c r="AD94" s="10"/>
      <x:c r="AE94" s="4" t="str">
        <x:f t="shared" si="12"/>
      </x:c>
      <x:c r="AF94" s="4" t="str">
        <x:f t="shared" si="13"/>
      </x:c>
      <x:c r="AG94" s="4" t="str">
        <x:f t="shared" si="14"/>
      </x:c>
      <x:c r="AH94" s="11">
        <x:f t="shared" si="15"/>
        <x:v>0</x:v>
      </x:c>
      <x:c r="AI94" s="4" t="str">
        <x:f t="shared" si="16"/>
      </x:c>
      <x:c r="AJ94" s="4">
        <x:f t="shared" si="17"/>
        <x:v>0</x:v>
      </x:c>
      <x:c r="AK94" s="4">
        <x:f t="shared" si="18"/>
        <x:v>0</x:v>
      </x:c>
      <x:c r="AL94" s="11">
        <x:f t="shared" si="19"/>
        <x:v>0</x:v>
      </x:c>
      <x:c r="AM94" s="6"/>
      <x:c r="AN94" s="6"/>
    </x:row>
    <x:row r="95">
      <x:c r="A95" s="3" t="str">
        <x:f t="shared" si="10"/>
      </x:c>
      <x:c r="B95" s="9"/>
      <x:c r="C95" s="36"/>
      <x:c r="D95" s="6"/>
      <x:c r="E95" s="3" t="str">
        <x:f>IF(D95="","",IFERROR(VLOOKUP(D95,'Base Sectores'!$A$5:$J$47,2,FALSE),""))</x:f>
      </x:c>
      <x:c r="F95" s="40" t="str">
        <x:f>IF(D95="","",IFERROR(VLOOKUP(D95,'Base Sectores'!$A$5:$J$47,3,FALSE),""))</x:f>
      </x:c>
      <x:c r="G95" s="3" t="str">
        <x:f>IF(D95="","",IFERROR(VLOOKUP(D95,'Base Sectores'!$A$5:$J$47,4,FALSE),""))</x:f>
      </x:c>
      <x:c r="H95" s="3" t="str">
        <x:f>IF(D95="","",IFERROR(VLOOKUP(D95,'Base Sectores'!$A$5:$J$47,5,FALSE),""))</x:f>
      </x:c>
      <x:c r="I95" s="3" t="str">
        <x:f>IF(D95="","",IFERROR(VLOOKUP(D95,'Base Sectores'!$A$5:$J$47,6,FALSE),""))</x:f>
      </x:c>
      <x:c r="J95" s="3" t="str">
        <x:f>IF(D95="","",IFERROR(VLOOKUP(D95,'Base Sectores'!$A$5:$J$47,7,FALSE),""))</x:f>
      </x:c>
      <x:c r="K95" s="3" t="str">
        <x:f>IF(D95="","",IFERROR(VLOOKUP(D95,'Base Sectores'!$A$5:$J$47,9,FALSE),""))</x:f>
      </x:c>
      <x:c r="L95" s="6"/>
      <x:c r="M95" s="3" t="str">
        <x:f>IF(L95="","",IFERROR(VLOOKUP(L95,Configuracion!$D$4:$H$15,2,FALSE),""))</x:f>
      </x:c>
      <x:c r="N95" s="3" t="str">
        <x:f>IF(L95="","",IFERROR(VLOOKUP(L95,Configuracion!$D$4:$H$15,3,FALSE),""))</x:f>
      </x:c>
      <x:c r="O95" s="6"/>
      <x:c r="P95" s="3" t="str">
        <x:f>IF(L95="","",IFERROR(VLOOKUP(L95,Configuracion!$D$4:$H$15,4,FALSE),0))</x:f>
      </x:c>
      <x:c r="Q95" s="10"/>
      <x:c r="R95" s="10"/>
      <x:c r="S95" s="4" t="str">
        <x:f t="shared" si="11"/>
      </x:c>
      <x:c r="T95" s="6"/>
      <x:c r="U95" s="6"/>
      <x:c r="V95" s="6"/>
      <x:c r="W95" s="6"/>
      <x:c r="X95" s="6"/>
      <x:c r="Y95" s="6"/>
      <x:c r="Z95" s="6"/>
      <x:c r="AA95" s="6"/>
      <x:c r="AB95" s="6"/>
      <x:c r="AC95" s="10"/>
      <x:c r="AD95" s="10"/>
      <x:c r="AE95" s="4" t="str">
        <x:f t="shared" si="12"/>
      </x:c>
      <x:c r="AF95" s="4" t="str">
        <x:f t="shared" si="13"/>
      </x:c>
      <x:c r="AG95" s="4" t="str">
        <x:f t="shared" si="14"/>
      </x:c>
      <x:c r="AH95" s="11">
        <x:f t="shared" si="15"/>
        <x:v>0</x:v>
      </x:c>
      <x:c r="AI95" s="4" t="str">
        <x:f t="shared" si="16"/>
      </x:c>
      <x:c r="AJ95" s="4">
        <x:f t="shared" si="17"/>
        <x:v>0</x:v>
      </x:c>
      <x:c r="AK95" s="4">
        <x:f t="shared" si="18"/>
        <x:v>0</x:v>
      </x:c>
      <x:c r="AL95" s="11">
        <x:f t="shared" si="19"/>
        <x:v>0</x:v>
      </x:c>
      <x:c r="AM95" s="6"/>
      <x:c r="AN95" s="6"/>
    </x:row>
    <x:row r="96">
      <x:c r="A96" s="3" t="str">
        <x:f t="shared" si="10"/>
      </x:c>
      <x:c r="B96" s="9"/>
      <x:c r="C96" s="36"/>
      <x:c r="D96" s="6"/>
      <x:c r="E96" s="3" t="str">
        <x:f>IF(D96="","",IFERROR(VLOOKUP(D96,'Base Sectores'!$A$5:$J$47,2,FALSE),""))</x:f>
      </x:c>
      <x:c r="F96" s="40" t="str">
        <x:f>IF(D96="","",IFERROR(VLOOKUP(D96,'Base Sectores'!$A$5:$J$47,3,FALSE),""))</x:f>
      </x:c>
      <x:c r="G96" s="3" t="str">
        <x:f>IF(D96="","",IFERROR(VLOOKUP(D96,'Base Sectores'!$A$5:$J$47,4,FALSE),""))</x:f>
      </x:c>
      <x:c r="H96" s="3" t="str">
        <x:f>IF(D96="","",IFERROR(VLOOKUP(D96,'Base Sectores'!$A$5:$J$47,5,FALSE),""))</x:f>
      </x:c>
      <x:c r="I96" s="3" t="str">
        <x:f>IF(D96="","",IFERROR(VLOOKUP(D96,'Base Sectores'!$A$5:$J$47,6,FALSE),""))</x:f>
      </x:c>
      <x:c r="J96" s="3" t="str">
        <x:f>IF(D96="","",IFERROR(VLOOKUP(D96,'Base Sectores'!$A$5:$J$47,7,FALSE),""))</x:f>
      </x:c>
      <x:c r="K96" s="3" t="str">
        <x:f>IF(D96="","",IFERROR(VLOOKUP(D96,'Base Sectores'!$A$5:$J$47,9,FALSE),""))</x:f>
      </x:c>
      <x:c r="L96" s="6"/>
      <x:c r="M96" s="3" t="str">
        <x:f>IF(L96="","",IFERROR(VLOOKUP(L96,Configuracion!$D$4:$H$15,2,FALSE),""))</x:f>
      </x:c>
      <x:c r="N96" s="3" t="str">
        <x:f>IF(L96="","",IFERROR(VLOOKUP(L96,Configuracion!$D$4:$H$15,3,FALSE),""))</x:f>
      </x:c>
      <x:c r="O96" s="6"/>
      <x:c r="P96" s="3" t="str">
        <x:f>IF(L96="","",IFERROR(VLOOKUP(L96,Configuracion!$D$4:$H$15,4,FALSE),0))</x:f>
      </x:c>
      <x:c r="Q96" s="10"/>
      <x:c r="R96" s="10"/>
      <x:c r="S96" s="4" t="str">
        <x:f t="shared" si="11"/>
      </x:c>
      <x:c r="T96" s="6"/>
      <x:c r="U96" s="6"/>
      <x:c r="V96" s="6"/>
      <x:c r="W96" s="6"/>
      <x:c r="X96" s="6"/>
      <x:c r="Y96" s="6"/>
      <x:c r="Z96" s="6"/>
      <x:c r="AA96" s="6"/>
      <x:c r="AB96" s="6"/>
      <x:c r="AC96" s="10"/>
      <x:c r="AD96" s="10"/>
      <x:c r="AE96" s="4" t="str">
        <x:f t="shared" si="12"/>
      </x:c>
      <x:c r="AF96" s="4" t="str">
        <x:f t="shared" si="13"/>
      </x:c>
      <x:c r="AG96" s="4" t="str">
        <x:f t="shared" si="14"/>
      </x:c>
      <x:c r="AH96" s="11">
        <x:f t="shared" si="15"/>
        <x:v>0</x:v>
      </x:c>
      <x:c r="AI96" s="4" t="str">
        <x:f t="shared" si="16"/>
      </x:c>
      <x:c r="AJ96" s="4">
        <x:f t="shared" si="17"/>
        <x:v>0</x:v>
      </x:c>
      <x:c r="AK96" s="4">
        <x:f t="shared" si="18"/>
        <x:v>0</x:v>
      </x:c>
      <x:c r="AL96" s="11">
        <x:f t="shared" si="19"/>
        <x:v>0</x:v>
      </x:c>
      <x:c r="AM96" s="6"/>
      <x:c r="AN96" s="6"/>
    </x:row>
    <x:row r="97">
      <x:c r="A97" s="3" t="str">
        <x:f t="shared" si="10"/>
      </x:c>
      <x:c r="B97" s="9"/>
      <x:c r="C97" s="36"/>
      <x:c r="D97" s="6"/>
      <x:c r="E97" s="3" t="str">
        <x:f>IF(D97="","",IFERROR(VLOOKUP(D97,'Base Sectores'!$A$5:$J$47,2,FALSE),""))</x:f>
      </x:c>
      <x:c r="F97" s="40" t="str">
        <x:f>IF(D97="","",IFERROR(VLOOKUP(D97,'Base Sectores'!$A$5:$J$47,3,FALSE),""))</x:f>
      </x:c>
      <x:c r="G97" s="3" t="str">
        <x:f>IF(D97="","",IFERROR(VLOOKUP(D97,'Base Sectores'!$A$5:$J$47,4,FALSE),""))</x:f>
      </x:c>
      <x:c r="H97" s="3" t="str">
        <x:f>IF(D97="","",IFERROR(VLOOKUP(D97,'Base Sectores'!$A$5:$J$47,5,FALSE),""))</x:f>
      </x:c>
      <x:c r="I97" s="3" t="str">
        <x:f>IF(D97="","",IFERROR(VLOOKUP(D97,'Base Sectores'!$A$5:$J$47,6,FALSE),""))</x:f>
      </x:c>
      <x:c r="J97" s="3" t="str">
        <x:f>IF(D97="","",IFERROR(VLOOKUP(D97,'Base Sectores'!$A$5:$J$47,7,FALSE),""))</x:f>
      </x:c>
      <x:c r="K97" s="3" t="str">
        <x:f>IF(D97="","",IFERROR(VLOOKUP(D97,'Base Sectores'!$A$5:$J$47,9,FALSE),""))</x:f>
      </x:c>
      <x:c r="L97" s="6"/>
      <x:c r="M97" s="3" t="str">
        <x:f>IF(L97="","",IFERROR(VLOOKUP(L97,Configuracion!$D$4:$H$15,2,FALSE),""))</x:f>
      </x:c>
      <x:c r="N97" s="3" t="str">
        <x:f>IF(L97="","",IFERROR(VLOOKUP(L97,Configuracion!$D$4:$H$15,3,FALSE),""))</x:f>
      </x:c>
      <x:c r="O97" s="6"/>
      <x:c r="P97" s="3" t="str">
        <x:f>IF(L97="","",IFERROR(VLOOKUP(L97,Configuracion!$D$4:$H$15,4,FALSE),0))</x:f>
      </x:c>
      <x:c r="Q97" s="10"/>
      <x:c r="R97" s="10"/>
      <x:c r="S97" s="4" t="str">
        <x:f t="shared" si="11"/>
      </x:c>
      <x:c r="T97" s="6"/>
      <x:c r="U97" s="6"/>
      <x:c r="V97" s="6"/>
      <x:c r="W97" s="6"/>
      <x:c r="X97" s="6"/>
      <x:c r="Y97" s="6"/>
      <x:c r="Z97" s="6"/>
      <x:c r="AA97" s="6"/>
      <x:c r="AB97" s="6"/>
      <x:c r="AC97" s="10"/>
      <x:c r="AD97" s="10"/>
      <x:c r="AE97" s="4" t="str">
        <x:f t="shared" si="12"/>
      </x:c>
      <x:c r="AF97" s="4" t="str">
        <x:f t="shared" si="13"/>
      </x:c>
      <x:c r="AG97" s="4" t="str">
        <x:f t="shared" si="14"/>
      </x:c>
      <x:c r="AH97" s="11">
        <x:f t="shared" si="15"/>
        <x:v>0</x:v>
      </x:c>
      <x:c r="AI97" s="4" t="str">
        <x:f t="shared" si="16"/>
      </x:c>
      <x:c r="AJ97" s="4">
        <x:f t="shared" si="17"/>
        <x:v>0</x:v>
      </x:c>
      <x:c r="AK97" s="4">
        <x:f t="shared" si="18"/>
        <x:v>0</x:v>
      </x:c>
      <x:c r="AL97" s="11">
        <x:f t="shared" si="19"/>
        <x:v>0</x:v>
      </x:c>
      <x:c r="AM97" s="6"/>
      <x:c r="AN97" s="6"/>
    </x:row>
    <x:row r="98">
      <x:c r="A98" s="3" t="str">
        <x:f t="shared" si="10"/>
      </x:c>
      <x:c r="B98" s="9"/>
      <x:c r="C98" s="36"/>
      <x:c r="D98" s="6"/>
      <x:c r="E98" s="3" t="str">
        <x:f>IF(D98="","",IFERROR(VLOOKUP(D98,'Base Sectores'!$A$5:$J$47,2,FALSE),""))</x:f>
      </x:c>
      <x:c r="F98" s="40" t="str">
        <x:f>IF(D98="","",IFERROR(VLOOKUP(D98,'Base Sectores'!$A$5:$J$47,3,FALSE),""))</x:f>
      </x:c>
      <x:c r="G98" s="3" t="str">
        <x:f>IF(D98="","",IFERROR(VLOOKUP(D98,'Base Sectores'!$A$5:$J$47,4,FALSE),""))</x:f>
      </x:c>
      <x:c r="H98" s="3" t="str">
        <x:f>IF(D98="","",IFERROR(VLOOKUP(D98,'Base Sectores'!$A$5:$J$47,5,FALSE),""))</x:f>
      </x:c>
      <x:c r="I98" s="3" t="str">
        <x:f>IF(D98="","",IFERROR(VLOOKUP(D98,'Base Sectores'!$A$5:$J$47,6,FALSE),""))</x:f>
      </x:c>
      <x:c r="J98" s="3" t="str">
        <x:f>IF(D98="","",IFERROR(VLOOKUP(D98,'Base Sectores'!$A$5:$J$47,7,FALSE),""))</x:f>
      </x:c>
      <x:c r="K98" s="3" t="str">
        <x:f>IF(D98="","",IFERROR(VLOOKUP(D98,'Base Sectores'!$A$5:$J$47,9,FALSE),""))</x:f>
      </x:c>
      <x:c r="L98" s="6"/>
      <x:c r="M98" s="3" t="str">
        <x:f>IF(L98="","",IFERROR(VLOOKUP(L98,Configuracion!$D$4:$H$15,2,FALSE),""))</x:f>
      </x:c>
      <x:c r="N98" s="3" t="str">
        <x:f>IF(L98="","",IFERROR(VLOOKUP(L98,Configuracion!$D$4:$H$15,3,FALSE),""))</x:f>
      </x:c>
      <x:c r="O98" s="6"/>
      <x:c r="P98" s="3" t="str">
        <x:f>IF(L98="","",IFERROR(VLOOKUP(L98,Configuracion!$D$4:$H$15,4,FALSE),0))</x:f>
      </x:c>
      <x:c r="Q98" s="10"/>
      <x:c r="R98" s="10"/>
      <x:c r="S98" s="4" t="str">
        <x:f t="shared" si="11"/>
      </x:c>
      <x:c r="T98" s="6"/>
      <x:c r="U98" s="6"/>
      <x:c r="V98" s="6"/>
      <x:c r="W98" s="6"/>
      <x:c r="X98" s="6"/>
      <x:c r="Y98" s="6"/>
      <x:c r="Z98" s="6"/>
      <x:c r="AA98" s="6"/>
      <x:c r="AB98" s="6"/>
      <x:c r="AC98" s="10"/>
      <x:c r="AD98" s="10"/>
      <x:c r="AE98" s="4" t="str">
        <x:f t="shared" si="12"/>
      </x:c>
      <x:c r="AF98" s="4" t="str">
        <x:f t="shared" si="13"/>
      </x:c>
      <x:c r="AG98" s="4" t="str">
        <x:f t="shared" si="14"/>
      </x:c>
      <x:c r="AH98" s="11">
        <x:f t="shared" si="15"/>
        <x:v>0</x:v>
      </x:c>
      <x:c r="AI98" s="4" t="str">
        <x:f t="shared" si="16"/>
      </x:c>
      <x:c r="AJ98" s="4">
        <x:f t="shared" si="17"/>
        <x:v>0</x:v>
      </x:c>
      <x:c r="AK98" s="4">
        <x:f t="shared" si="18"/>
        <x:v>0</x:v>
      </x:c>
      <x:c r="AL98" s="11">
        <x:f t="shared" si="19"/>
        <x:v>0</x:v>
      </x:c>
      <x:c r="AM98" s="6"/>
      <x:c r="AN98" s="6"/>
    </x:row>
    <x:row r="99">
      <x:c r="A99" s="3" t="str">
        <x:f t="shared" si="10"/>
      </x:c>
      <x:c r="B99" s="9"/>
      <x:c r="C99" s="36"/>
      <x:c r="D99" s="6"/>
      <x:c r="E99" s="3" t="str">
        <x:f>IF(D99="","",IFERROR(VLOOKUP(D99,'Base Sectores'!$A$5:$J$47,2,FALSE),""))</x:f>
      </x:c>
      <x:c r="F99" s="40" t="str">
        <x:f>IF(D99="","",IFERROR(VLOOKUP(D99,'Base Sectores'!$A$5:$J$47,3,FALSE),""))</x:f>
      </x:c>
      <x:c r="G99" s="3" t="str">
        <x:f>IF(D99="","",IFERROR(VLOOKUP(D99,'Base Sectores'!$A$5:$J$47,4,FALSE),""))</x:f>
      </x:c>
      <x:c r="H99" s="3" t="str">
        <x:f>IF(D99="","",IFERROR(VLOOKUP(D99,'Base Sectores'!$A$5:$J$47,5,FALSE),""))</x:f>
      </x:c>
      <x:c r="I99" s="3" t="str">
        <x:f>IF(D99="","",IFERROR(VLOOKUP(D99,'Base Sectores'!$A$5:$J$47,6,FALSE),""))</x:f>
      </x:c>
      <x:c r="J99" s="3" t="str">
        <x:f>IF(D99="","",IFERROR(VLOOKUP(D99,'Base Sectores'!$A$5:$J$47,7,FALSE),""))</x:f>
      </x:c>
      <x:c r="K99" s="3" t="str">
        <x:f>IF(D99="","",IFERROR(VLOOKUP(D99,'Base Sectores'!$A$5:$J$47,9,FALSE),""))</x:f>
      </x:c>
      <x:c r="L99" s="6"/>
      <x:c r="M99" s="3" t="str">
        <x:f>IF(L99="","",IFERROR(VLOOKUP(L99,Configuracion!$D$4:$H$15,2,FALSE),""))</x:f>
      </x:c>
      <x:c r="N99" s="3" t="str">
        <x:f>IF(L99="","",IFERROR(VLOOKUP(L99,Configuracion!$D$4:$H$15,3,FALSE),""))</x:f>
      </x:c>
      <x:c r="O99" s="6"/>
      <x:c r="P99" s="3" t="str">
        <x:f>IF(L99="","",IFERROR(VLOOKUP(L99,Configuracion!$D$4:$H$15,4,FALSE),0))</x:f>
      </x:c>
      <x:c r="Q99" s="10"/>
      <x:c r="R99" s="10"/>
      <x:c r="S99" s="4" t="str">
        <x:f t="shared" si="11"/>
      </x:c>
      <x:c r="T99" s="6"/>
      <x:c r="U99" s="6"/>
      <x:c r="V99" s="6"/>
      <x:c r="W99" s="6"/>
      <x:c r="X99" s="6"/>
      <x:c r="Y99" s="6"/>
      <x:c r="Z99" s="6"/>
      <x:c r="AA99" s="6"/>
      <x:c r="AB99" s="6"/>
      <x:c r="AC99" s="10"/>
      <x:c r="AD99" s="10"/>
      <x:c r="AE99" s="4" t="str">
        <x:f t="shared" si="12"/>
      </x:c>
      <x:c r="AF99" s="4" t="str">
        <x:f t="shared" si="13"/>
      </x:c>
      <x:c r="AG99" s="4" t="str">
        <x:f t="shared" si="14"/>
      </x:c>
      <x:c r="AH99" s="11">
        <x:f t="shared" si="15"/>
        <x:v>0</x:v>
      </x:c>
      <x:c r="AI99" s="4" t="str">
        <x:f t="shared" si="16"/>
      </x:c>
      <x:c r="AJ99" s="4">
        <x:f t="shared" si="17"/>
        <x:v>0</x:v>
      </x:c>
      <x:c r="AK99" s="4">
        <x:f t="shared" si="18"/>
        <x:v>0</x:v>
      </x:c>
      <x:c r="AL99" s="11">
        <x:f t="shared" si="19"/>
        <x:v>0</x:v>
      </x:c>
      <x:c r="AM99" s="6"/>
      <x:c r="AN99" s="6"/>
    </x:row>
    <x:row r="100">
      <x:c r="A100" s="3" t="str">
        <x:f t="shared" si="10"/>
      </x:c>
      <x:c r="B100" s="9"/>
      <x:c r="C100" s="36"/>
      <x:c r="D100" s="6"/>
      <x:c r="E100" s="3" t="str">
        <x:f>IF(D100="","",IFERROR(VLOOKUP(D100,'Base Sectores'!$A$5:$J$47,2,FALSE),""))</x:f>
      </x:c>
      <x:c r="F100" s="40" t="str">
        <x:f>IF(D100="","",IFERROR(VLOOKUP(D100,'Base Sectores'!$A$5:$J$47,3,FALSE),""))</x:f>
      </x:c>
      <x:c r="G100" s="3" t="str">
        <x:f>IF(D100="","",IFERROR(VLOOKUP(D100,'Base Sectores'!$A$5:$J$47,4,FALSE),""))</x:f>
      </x:c>
      <x:c r="H100" s="3" t="str">
        <x:f>IF(D100="","",IFERROR(VLOOKUP(D100,'Base Sectores'!$A$5:$J$47,5,FALSE),""))</x:f>
      </x:c>
      <x:c r="I100" s="3" t="str">
        <x:f>IF(D100="","",IFERROR(VLOOKUP(D100,'Base Sectores'!$A$5:$J$47,6,FALSE),""))</x:f>
      </x:c>
      <x:c r="J100" s="3" t="str">
        <x:f>IF(D100="","",IFERROR(VLOOKUP(D100,'Base Sectores'!$A$5:$J$47,7,FALSE),""))</x:f>
      </x:c>
      <x:c r="K100" s="3" t="str">
        <x:f>IF(D100="","",IFERROR(VLOOKUP(D100,'Base Sectores'!$A$5:$J$47,9,FALSE),""))</x:f>
      </x:c>
      <x:c r="L100" s="6"/>
      <x:c r="M100" s="3" t="str">
        <x:f>IF(L100="","",IFERROR(VLOOKUP(L100,Configuracion!$D$4:$H$15,2,FALSE),""))</x:f>
      </x:c>
      <x:c r="N100" s="3" t="str">
        <x:f>IF(L100="","",IFERROR(VLOOKUP(L100,Configuracion!$D$4:$H$15,3,FALSE),""))</x:f>
      </x:c>
      <x:c r="O100" s="6"/>
      <x:c r="P100" s="3" t="str">
        <x:f>IF(L100="","",IFERROR(VLOOKUP(L100,Configuracion!$D$4:$H$15,4,FALSE),0))</x:f>
      </x:c>
      <x:c r="Q100" s="10"/>
      <x:c r="R100" s="10"/>
      <x:c r="S100" s="4" t="str">
        <x:f t="shared" si="11"/>
      </x:c>
      <x:c r="T100" s="6"/>
      <x:c r="U100" s="6"/>
      <x:c r="V100" s="6"/>
      <x:c r="W100" s="6"/>
      <x:c r="X100" s="6"/>
      <x:c r="Y100" s="6"/>
      <x:c r="Z100" s="6"/>
      <x:c r="AA100" s="6"/>
      <x:c r="AB100" s="6"/>
      <x:c r="AC100" s="10"/>
      <x:c r="AD100" s="10"/>
      <x:c r="AE100" s="4" t="str">
        <x:f t="shared" si="12"/>
      </x:c>
      <x:c r="AF100" s="4" t="str">
        <x:f t="shared" si="13"/>
      </x:c>
      <x:c r="AG100" s="4" t="str">
        <x:f t="shared" si="14"/>
      </x:c>
      <x:c r="AH100" s="11">
        <x:f t="shared" si="15"/>
        <x:v>0</x:v>
      </x:c>
      <x:c r="AI100" s="4" t="str">
        <x:f t="shared" si="16"/>
      </x:c>
      <x:c r="AJ100" s="4">
        <x:f t="shared" si="17"/>
        <x:v>0</x:v>
      </x:c>
      <x:c r="AK100" s="4">
        <x:f t="shared" si="18"/>
        <x:v>0</x:v>
      </x:c>
      <x:c r="AL100" s="11">
        <x:f t="shared" si="19"/>
        <x:v>0</x:v>
      </x:c>
      <x:c r="AM100" s="6"/>
      <x:c r="AN100" s="6"/>
    </x:row>
    <x:row r="101">
      <x:c r="A101" s="3" t="str">
        <x:f t="shared" si="10"/>
      </x:c>
      <x:c r="B101" s="9"/>
      <x:c r="C101" s="36"/>
      <x:c r="D101" s="6"/>
      <x:c r="E101" s="3" t="str">
        <x:f>IF(D101="","",IFERROR(VLOOKUP(D101,'Base Sectores'!$A$5:$J$47,2,FALSE),""))</x:f>
      </x:c>
      <x:c r="F101" s="40" t="str">
        <x:f>IF(D101="","",IFERROR(VLOOKUP(D101,'Base Sectores'!$A$5:$J$47,3,FALSE),""))</x:f>
      </x:c>
      <x:c r="G101" s="3" t="str">
        <x:f>IF(D101="","",IFERROR(VLOOKUP(D101,'Base Sectores'!$A$5:$J$47,4,FALSE),""))</x:f>
      </x:c>
      <x:c r="H101" s="3" t="str">
        <x:f>IF(D101="","",IFERROR(VLOOKUP(D101,'Base Sectores'!$A$5:$J$47,5,FALSE),""))</x:f>
      </x:c>
      <x:c r="I101" s="3" t="str">
        <x:f>IF(D101="","",IFERROR(VLOOKUP(D101,'Base Sectores'!$A$5:$J$47,6,FALSE),""))</x:f>
      </x:c>
      <x:c r="J101" s="3" t="str">
        <x:f>IF(D101="","",IFERROR(VLOOKUP(D101,'Base Sectores'!$A$5:$J$47,7,FALSE),""))</x:f>
      </x:c>
      <x:c r="K101" s="3" t="str">
        <x:f>IF(D101="","",IFERROR(VLOOKUP(D101,'Base Sectores'!$A$5:$J$47,9,FALSE),""))</x:f>
      </x:c>
      <x:c r="L101" s="6"/>
      <x:c r="M101" s="3" t="str">
        <x:f>IF(L101="","",IFERROR(VLOOKUP(L101,Configuracion!$D$4:$H$15,2,FALSE),""))</x:f>
      </x:c>
      <x:c r="N101" s="3" t="str">
        <x:f>IF(L101="","",IFERROR(VLOOKUP(L101,Configuracion!$D$4:$H$15,3,FALSE),""))</x:f>
      </x:c>
      <x:c r="O101" s="6"/>
      <x:c r="P101" s="3" t="str">
        <x:f>IF(L101="","",IFERROR(VLOOKUP(L101,Configuracion!$D$4:$H$15,4,FALSE),0))</x:f>
      </x:c>
      <x:c r="Q101" s="10"/>
      <x:c r="R101" s="10"/>
      <x:c r="S101" s="4" t="str">
        <x:f t="shared" si="11"/>
      </x:c>
      <x:c r="T101" s="6"/>
      <x:c r="U101" s="6"/>
      <x:c r="V101" s="6"/>
      <x:c r="W101" s="6"/>
      <x:c r="X101" s="6"/>
      <x:c r="Y101" s="6"/>
      <x:c r="Z101" s="6"/>
      <x:c r="AA101" s="6"/>
      <x:c r="AB101" s="6"/>
      <x:c r="AC101" s="10"/>
      <x:c r="AD101" s="10"/>
      <x:c r="AE101" s="4" t="str">
        <x:f t="shared" si="12"/>
      </x:c>
      <x:c r="AF101" s="4" t="str">
        <x:f t="shared" si="13"/>
      </x:c>
      <x:c r="AG101" s="4" t="str">
        <x:f t="shared" si="14"/>
      </x:c>
      <x:c r="AH101" s="11">
        <x:f t="shared" si="15"/>
        <x:v>0</x:v>
      </x:c>
      <x:c r="AI101" s="4" t="str">
        <x:f t="shared" si="16"/>
      </x:c>
      <x:c r="AJ101" s="4">
        <x:f t="shared" si="17"/>
        <x:v>0</x:v>
      </x:c>
      <x:c r="AK101" s="4">
        <x:f t="shared" si="18"/>
        <x:v>0</x:v>
      </x:c>
      <x:c r="AL101" s="11">
        <x:f t="shared" si="19"/>
        <x:v>0</x:v>
      </x:c>
      <x:c r="AM101" s="6"/>
      <x:c r="AN101" s="6"/>
    </x:row>
    <x:row r="102">
      <x:c r="A102" s="3" t="str">
        <x:f t="shared" si="10"/>
      </x:c>
      <x:c r="B102" s="9"/>
      <x:c r="C102" s="36"/>
      <x:c r="D102" s="6"/>
      <x:c r="E102" s="3" t="str">
        <x:f>IF(D102="","",IFERROR(VLOOKUP(D102,'Base Sectores'!$A$5:$J$47,2,FALSE),""))</x:f>
      </x:c>
      <x:c r="F102" s="40" t="str">
        <x:f>IF(D102="","",IFERROR(VLOOKUP(D102,'Base Sectores'!$A$5:$J$47,3,FALSE),""))</x:f>
      </x:c>
      <x:c r="G102" s="3" t="str">
        <x:f>IF(D102="","",IFERROR(VLOOKUP(D102,'Base Sectores'!$A$5:$J$47,4,FALSE),""))</x:f>
      </x:c>
      <x:c r="H102" s="3" t="str">
        <x:f>IF(D102="","",IFERROR(VLOOKUP(D102,'Base Sectores'!$A$5:$J$47,5,FALSE),""))</x:f>
      </x:c>
      <x:c r="I102" s="3" t="str">
        <x:f>IF(D102="","",IFERROR(VLOOKUP(D102,'Base Sectores'!$A$5:$J$47,6,FALSE),""))</x:f>
      </x:c>
      <x:c r="J102" s="3" t="str">
        <x:f>IF(D102="","",IFERROR(VLOOKUP(D102,'Base Sectores'!$A$5:$J$47,7,FALSE),""))</x:f>
      </x:c>
      <x:c r="K102" s="3" t="str">
        <x:f>IF(D102="","",IFERROR(VLOOKUP(D102,'Base Sectores'!$A$5:$J$47,9,FALSE),""))</x:f>
      </x:c>
      <x:c r="L102" s="6"/>
      <x:c r="M102" s="3" t="str">
        <x:f>IF(L102="","",IFERROR(VLOOKUP(L102,Configuracion!$D$4:$H$15,2,FALSE),""))</x:f>
      </x:c>
      <x:c r="N102" s="3" t="str">
        <x:f>IF(L102="","",IFERROR(VLOOKUP(L102,Configuracion!$D$4:$H$15,3,FALSE),""))</x:f>
      </x:c>
      <x:c r="O102" s="6"/>
      <x:c r="P102" s="3" t="str">
        <x:f>IF(L102="","",IFERROR(VLOOKUP(L102,Configuracion!$D$4:$H$15,4,FALSE),0))</x:f>
      </x:c>
      <x:c r="Q102" s="10"/>
      <x:c r="R102" s="10"/>
      <x:c r="S102" s="4" t="str">
        <x:f t="shared" si="11"/>
      </x:c>
      <x:c r="T102" s="6"/>
      <x:c r="U102" s="6"/>
      <x:c r="V102" s="6"/>
      <x:c r="W102" s="6"/>
      <x:c r="X102" s="6"/>
      <x:c r="Y102" s="6"/>
      <x:c r="Z102" s="6"/>
      <x:c r="AA102" s="6"/>
      <x:c r="AB102" s="6"/>
      <x:c r="AC102" s="10"/>
      <x:c r="AD102" s="10"/>
      <x:c r="AE102" s="4" t="str">
        <x:f t="shared" si="12"/>
      </x:c>
      <x:c r="AF102" s="4" t="str">
        <x:f t="shared" si="13"/>
      </x:c>
      <x:c r="AG102" s="4" t="str">
        <x:f t="shared" si="14"/>
      </x:c>
      <x:c r="AH102" s="11">
        <x:f t="shared" si="15"/>
        <x:v>0</x:v>
      </x:c>
      <x:c r="AI102" s="4" t="str">
        <x:f t="shared" si="16"/>
      </x:c>
      <x:c r="AJ102" s="4">
        <x:f t="shared" si="17"/>
        <x:v>0</x:v>
      </x:c>
      <x:c r="AK102" s="4">
        <x:f t="shared" si="18"/>
        <x:v>0</x:v>
      </x:c>
      <x:c r="AL102" s="11">
        <x:f t="shared" si="19"/>
        <x:v>0</x:v>
      </x:c>
      <x:c r="AM102" s="6"/>
      <x:c r="AN102" s="6"/>
    </x:row>
    <x:row r="103">
      <x:c r="A103" s="3" t="str">
        <x:f t="shared" si="10"/>
      </x:c>
      <x:c r="B103" s="9"/>
      <x:c r="C103" s="36"/>
      <x:c r="D103" s="6"/>
      <x:c r="E103" s="3" t="str">
        <x:f>IF(D103="","",IFERROR(VLOOKUP(D103,'Base Sectores'!$A$5:$J$47,2,FALSE),""))</x:f>
      </x:c>
      <x:c r="F103" s="40" t="str">
        <x:f>IF(D103="","",IFERROR(VLOOKUP(D103,'Base Sectores'!$A$5:$J$47,3,FALSE),""))</x:f>
      </x:c>
      <x:c r="G103" s="3" t="str">
        <x:f>IF(D103="","",IFERROR(VLOOKUP(D103,'Base Sectores'!$A$5:$J$47,4,FALSE),""))</x:f>
      </x:c>
      <x:c r="H103" s="3" t="str">
        <x:f>IF(D103="","",IFERROR(VLOOKUP(D103,'Base Sectores'!$A$5:$J$47,5,FALSE),""))</x:f>
      </x:c>
      <x:c r="I103" s="3" t="str">
        <x:f>IF(D103="","",IFERROR(VLOOKUP(D103,'Base Sectores'!$A$5:$J$47,6,FALSE),""))</x:f>
      </x:c>
      <x:c r="J103" s="3" t="str">
        <x:f>IF(D103="","",IFERROR(VLOOKUP(D103,'Base Sectores'!$A$5:$J$47,7,FALSE),""))</x:f>
      </x:c>
      <x:c r="K103" s="3" t="str">
        <x:f>IF(D103="","",IFERROR(VLOOKUP(D103,'Base Sectores'!$A$5:$J$47,9,FALSE),""))</x:f>
      </x:c>
      <x:c r="L103" s="6"/>
      <x:c r="M103" s="3" t="str">
        <x:f>IF(L103="","",IFERROR(VLOOKUP(L103,Configuracion!$D$4:$H$15,2,FALSE),""))</x:f>
      </x:c>
      <x:c r="N103" s="3" t="str">
        <x:f>IF(L103="","",IFERROR(VLOOKUP(L103,Configuracion!$D$4:$H$15,3,FALSE),""))</x:f>
      </x:c>
      <x:c r="O103" s="6"/>
      <x:c r="P103" s="3" t="str">
        <x:f>IF(L103="","",IFERROR(VLOOKUP(L103,Configuracion!$D$4:$H$15,4,FALSE),0))</x:f>
      </x:c>
      <x:c r="Q103" s="10"/>
      <x:c r="R103" s="10"/>
      <x:c r="S103" s="4" t="str">
        <x:f t="shared" si="11"/>
      </x:c>
      <x:c r="T103" s="6"/>
      <x:c r="U103" s="6"/>
      <x:c r="V103" s="6"/>
      <x:c r="W103" s="6"/>
      <x:c r="X103" s="6"/>
      <x:c r="Y103" s="6"/>
      <x:c r="Z103" s="6"/>
      <x:c r="AA103" s="6"/>
      <x:c r="AB103" s="6"/>
      <x:c r="AC103" s="10"/>
      <x:c r="AD103" s="10"/>
      <x:c r="AE103" s="4" t="str">
        <x:f t="shared" si="12"/>
      </x:c>
      <x:c r="AF103" s="4" t="str">
        <x:f t="shared" si="13"/>
      </x:c>
      <x:c r="AG103" s="4" t="str">
        <x:f t="shared" si="14"/>
      </x:c>
      <x:c r="AH103" s="11">
        <x:f t="shared" si="15"/>
        <x:v>0</x:v>
      </x:c>
      <x:c r="AI103" s="4" t="str">
        <x:f t="shared" si="16"/>
      </x:c>
      <x:c r="AJ103" s="4">
        <x:f t="shared" si="17"/>
        <x:v>0</x:v>
      </x:c>
      <x:c r="AK103" s="4">
        <x:f t="shared" si="18"/>
        <x:v>0</x:v>
      </x:c>
      <x:c r="AL103" s="11">
        <x:f t="shared" si="19"/>
        <x:v>0</x:v>
      </x:c>
      <x:c r="AM103" s="6"/>
      <x:c r="AN103" s="6"/>
    </x:row>
    <x:row r="104">
      <x:c r="A104" s="3" t="str">
        <x:f t="shared" si="10"/>
      </x:c>
      <x:c r="B104" s="9"/>
      <x:c r="C104" s="36"/>
      <x:c r="D104" s="6"/>
      <x:c r="E104" s="3" t="str">
        <x:f>IF(D104="","",IFERROR(VLOOKUP(D104,'Base Sectores'!$A$5:$J$47,2,FALSE),""))</x:f>
      </x:c>
      <x:c r="F104" s="40" t="str">
        <x:f>IF(D104="","",IFERROR(VLOOKUP(D104,'Base Sectores'!$A$5:$J$47,3,FALSE),""))</x:f>
      </x:c>
      <x:c r="G104" s="3" t="str">
        <x:f>IF(D104="","",IFERROR(VLOOKUP(D104,'Base Sectores'!$A$5:$J$47,4,FALSE),""))</x:f>
      </x:c>
      <x:c r="H104" s="3" t="str">
        <x:f>IF(D104="","",IFERROR(VLOOKUP(D104,'Base Sectores'!$A$5:$J$47,5,FALSE),""))</x:f>
      </x:c>
      <x:c r="I104" s="3" t="str">
        <x:f>IF(D104="","",IFERROR(VLOOKUP(D104,'Base Sectores'!$A$5:$J$47,6,FALSE),""))</x:f>
      </x:c>
      <x:c r="J104" s="3" t="str">
        <x:f>IF(D104="","",IFERROR(VLOOKUP(D104,'Base Sectores'!$A$5:$J$47,7,FALSE),""))</x:f>
      </x:c>
      <x:c r="K104" s="3" t="str">
        <x:f>IF(D104="","",IFERROR(VLOOKUP(D104,'Base Sectores'!$A$5:$J$47,9,FALSE),""))</x:f>
      </x:c>
      <x:c r="L104" s="6"/>
      <x:c r="M104" s="3" t="str">
        <x:f>IF(L104="","",IFERROR(VLOOKUP(L104,Configuracion!$D$4:$H$15,2,FALSE),""))</x:f>
      </x:c>
      <x:c r="N104" s="3" t="str">
        <x:f>IF(L104="","",IFERROR(VLOOKUP(L104,Configuracion!$D$4:$H$15,3,FALSE),""))</x:f>
      </x:c>
      <x:c r="O104" s="6"/>
      <x:c r="P104" s="3" t="str">
        <x:f>IF(L104="","",IFERROR(VLOOKUP(L104,Configuracion!$D$4:$H$15,4,FALSE),0))</x:f>
      </x:c>
      <x:c r="Q104" s="10"/>
      <x:c r="R104" s="10"/>
      <x:c r="S104" s="4" t="str">
        <x:f t="shared" si="11"/>
      </x:c>
      <x:c r="T104" s="6"/>
      <x:c r="U104" s="6"/>
      <x:c r="V104" s="6"/>
      <x:c r="W104" s="6"/>
      <x:c r="X104" s="6"/>
      <x:c r="Y104" s="6"/>
      <x:c r="Z104" s="6"/>
      <x:c r="AA104" s="6"/>
      <x:c r="AB104" s="6"/>
      <x:c r="AC104" s="10"/>
      <x:c r="AD104" s="10"/>
      <x:c r="AE104" s="4" t="str">
        <x:f t="shared" si="12"/>
      </x:c>
      <x:c r="AF104" s="4" t="str">
        <x:f t="shared" si="13"/>
      </x:c>
      <x:c r="AG104" s="4" t="str">
        <x:f t="shared" si="14"/>
      </x:c>
      <x:c r="AH104" s="11">
        <x:f t="shared" si="15"/>
        <x:v>0</x:v>
      </x:c>
      <x:c r="AI104" s="4" t="str">
        <x:f t="shared" si="16"/>
      </x:c>
      <x:c r="AJ104" s="4">
        <x:f t="shared" si="17"/>
        <x:v>0</x:v>
      </x:c>
      <x:c r="AK104" s="4">
        <x:f t="shared" si="18"/>
        <x:v>0</x:v>
      </x:c>
      <x:c r="AL104" s="11">
        <x:f t="shared" si="19"/>
        <x:v>0</x:v>
      </x:c>
      <x:c r="AM104" s="6"/>
      <x:c r="AN104" s="6"/>
    </x:row>
    <x:row r="105">
      <x:c r="A105" s="3" t="str">
        <x:f t="shared" si="10"/>
      </x:c>
      <x:c r="B105" s="9"/>
      <x:c r="C105" s="36"/>
      <x:c r="D105" s="6"/>
      <x:c r="E105" s="3" t="str">
        <x:f>IF(D105="","",IFERROR(VLOOKUP(D105,'Base Sectores'!$A$5:$J$47,2,FALSE),""))</x:f>
      </x:c>
      <x:c r="F105" s="40" t="str">
        <x:f>IF(D105="","",IFERROR(VLOOKUP(D105,'Base Sectores'!$A$5:$J$47,3,FALSE),""))</x:f>
      </x:c>
      <x:c r="G105" s="3" t="str">
        <x:f>IF(D105="","",IFERROR(VLOOKUP(D105,'Base Sectores'!$A$5:$J$47,4,FALSE),""))</x:f>
      </x:c>
      <x:c r="H105" s="3" t="str">
        <x:f>IF(D105="","",IFERROR(VLOOKUP(D105,'Base Sectores'!$A$5:$J$47,5,FALSE),""))</x:f>
      </x:c>
      <x:c r="I105" s="3" t="str">
        <x:f>IF(D105="","",IFERROR(VLOOKUP(D105,'Base Sectores'!$A$5:$J$47,6,FALSE),""))</x:f>
      </x:c>
      <x:c r="J105" s="3" t="str">
        <x:f>IF(D105="","",IFERROR(VLOOKUP(D105,'Base Sectores'!$A$5:$J$47,7,FALSE),""))</x:f>
      </x:c>
      <x:c r="K105" s="3" t="str">
        <x:f>IF(D105="","",IFERROR(VLOOKUP(D105,'Base Sectores'!$A$5:$J$47,9,FALSE),""))</x:f>
      </x:c>
      <x:c r="L105" s="6"/>
      <x:c r="M105" s="3" t="str">
        <x:f>IF(L105="","",IFERROR(VLOOKUP(L105,Configuracion!$D$4:$H$15,2,FALSE),""))</x:f>
      </x:c>
      <x:c r="N105" s="3" t="str">
        <x:f>IF(L105="","",IFERROR(VLOOKUP(L105,Configuracion!$D$4:$H$15,3,FALSE),""))</x:f>
      </x:c>
      <x:c r="O105" s="6"/>
      <x:c r="P105" s="3" t="str">
        <x:f>IF(L105="","",IFERROR(VLOOKUP(L105,Configuracion!$D$4:$H$15,4,FALSE),0))</x:f>
      </x:c>
      <x:c r="Q105" s="10"/>
      <x:c r="R105" s="10"/>
      <x:c r="S105" s="4" t="str">
        <x:f t="shared" si="11"/>
      </x:c>
      <x:c r="T105" s="6"/>
      <x:c r="U105" s="6"/>
      <x:c r="V105" s="6"/>
      <x:c r="W105" s="6"/>
      <x:c r="X105" s="6"/>
      <x:c r="Y105" s="6"/>
      <x:c r="Z105" s="6"/>
      <x:c r="AA105" s="6"/>
      <x:c r="AB105" s="6"/>
      <x:c r="AC105" s="10"/>
      <x:c r="AD105" s="10"/>
      <x:c r="AE105" s="4" t="str">
        <x:f t="shared" si="12"/>
      </x:c>
      <x:c r="AF105" s="4" t="str">
        <x:f t="shared" si="13"/>
      </x:c>
      <x:c r="AG105" s="4" t="str">
        <x:f t="shared" si="14"/>
      </x:c>
      <x:c r="AH105" s="11">
        <x:f t="shared" si="15"/>
        <x:v>0</x:v>
      </x:c>
      <x:c r="AI105" s="4" t="str">
        <x:f t="shared" si="16"/>
      </x:c>
      <x:c r="AJ105" s="4">
        <x:f t="shared" si="17"/>
        <x:v>0</x:v>
      </x:c>
      <x:c r="AK105" s="4">
        <x:f t="shared" si="18"/>
        <x:v>0</x:v>
      </x:c>
      <x:c r="AL105" s="11">
        <x:f t="shared" si="19"/>
        <x:v>0</x:v>
      </x:c>
      <x:c r="AM105" s="6"/>
      <x:c r="AN105" s="6"/>
    </x:row>
    <x:row r="106">
      <x:c r="A106" s="3" t="str">
        <x:f t="shared" si="10"/>
      </x:c>
      <x:c r="B106" s="9"/>
      <x:c r="C106" s="36"/>
      <x:c r="D106" s="6"/>
      <x:c r="E106" s="3" t="str">
        <x:f>IF(D106="","",IFERROR(VLOOKUP(D106,'Base Sectores'!$A$5:$J$47,2,FALSE),""))</x:f>
      </x:c>
      <x:c r="F106" s="40" t="str">
        <x:f>IF(D106="","",IFERROR(VLOOKUP(D106,'Base Sectores'!$A$5:$J$47,3,FALSE),""))</x:f>
      </x:c>
      <x:c r="G106" s="3" t="str">
        <x:f>IF(D106="","",IFERROR(VLOOKUP(D106,'Base Sectores'!$A$5:$J$47,4,FALSE),""))</x:f>
      </x:c>
      <x:c r="H106" s="3" t="str">
        <x:f>IF(D106="","",IFERROR(VLOOKUP(D106,'Base Sectores'!$A$5:$J$47,5,FALSE),""))</x:f>
      </x:c>
      <x:c r="I106" s="3" t="str">
        <x:f>IF(D106="","",IFERROR(VLOOKUP(D106,'Base Sectores'!$A$5:$J$47,6,FALSE),""))</x:f>
      </x:c>
      <x:c r="J106" s="3" t="str">
        <x:f>IF(D106="","",IFERROR(VLOOKUP(D106,'Base Sectores'!$A$5:$J$47,7,FALSE),""))</x:f>
      </x:c>
      <x:c r="K106" s="3" t="str">
        <x:f>IF(D106="","",IFERROR(VLOOKUP(D106,'Base Sectores'!$A$5:$J$47,9,FALSE),""))</x:f>
      </x:c>
      <x:c r="L106" s="6"/>
      <x:c r="M106" s="3" t="str">
        <x:f>IF(L106="","",IFERROR(VLOOKUP(L106,Configuracion!$D$4:$H$15,2,FALSE),""))</x:f>
      </x:c>
      <x:c r="N106" s="3" t="str">
        <x:f>IF(L106="","",IFERROR(VLOOKUP(L106,Configuracion!$D$4:$H$15,3,FALSE),""))</x:f>
      </x:c>
      <x:c r="O106" s="6"/>
      <x:c r="P106" s="3" t="str">
        <x:f>IF(L106="","",IFERROR(VLOOKUP(L106,Configuracion!$D$4:$H$15,4,FALSE),0))</x:f>
      </x:c>
      <x:c r="Q106" s="10"/>
      <x:c r="R106" s="10"/>
      <x:c r="S106" s="4" t="str">
        <x:f t="shared" si="11"/>
      </x:c>
      <x:c r="T106" s="6"/>
      <x:c r="U106" s="6"/>
      <x:c r="V106" s="6"/>
      <x:c r="W106" s="6"/>
      <x:c r="X106" s="6"/>
      <x:c r="Y106" s="6"/>
      <x:c r="Z106" s="6"/>
      <x:c r="AA106" s="6"/>
      <x:c r="AB106" s="6"/>
      <x:c r="AC106" s="10"/>
      <x:c r="AD106" s="10"/>
      <x:c r="AE106" s="4" t="str">
        <x:f t="shared" si="12"/>
      </x:c>
      <x:c r="AF106" s="4" t="str">
        <x:f t="shared" si="13"/>
      </x:c>
      <x:c r="AG106" s="4" t="str">
        <x:f t="shared" si="14"/>
      </x:c>
      <x:c r="AH106" s="11">
        <x:f t="shared" si="15"/>
        <x:v>0</x:v>
      </x:c>
      <x:c r="AI106" s="4" t="str">
        <x:f t="shared" si="16"/>
      </x:c>
      <x:c r="AJ106" s="4">
        <x:f t="shared" si="17"/>
        <x:v>0</x:v>
      </x:c>
      <x:c r="AK106" s="4">
        <x:f t="shared" si="18"/>
        <x:v>0</x:v>
      </x:c>
      <x:c r="AL106" s="11">
        <x:f t="shared" si="19"/>
        <x:v>0</x:v>
      </x:c>
      <x:c r="AM106" s="6"/>
      <x:c r="AN106" s="6"/>
    </x:row>
    <x:row r="107">
      <x:c r="A107" s="3" t="str">
        <x:f t="shared" si="10"/>
      </x:c>
      <x:c r="B107" s="9"/>
      <x:c r="C107" s="36"/>
      <x:c r="D107" s="6"/>
      <x:c r="E107" s="3" t="str">
        <x:f>IF(D107="","",IFERROR(VLOOKUP(D107,'Base Sectores'!$A$5:$J$47,2,FALSE),""))</x:f>
      </x:c>
      <x:c r="F107" s="40" t="str">
        <x:f>IF(D107="","",IFERROR(VLOOKUP(D107,'Base Sectores'!$A$5:$J$47,3,FALSE),""))</x:f>
      </x:c>
      <x:c r="G107" s="3" t="str">
        <x:f>IF(D107="","",IFERROR(VLOOKUP(D107,'Base Sectores'!$A$5:$J$47,4,FALSE),""))</x:f>
      </x:c>
      <x:c r="H107" s="3" t="str">
        <x:f>IF(D107="","",IFERROR(VLOOKUP(D107,'Base Sectores'!$A$5:$J$47,5,FALSE),""))</x:f>
      </x:c>
      <x:c r="I107" s="3" t="str">
        <x:f>IF(D107="","",IFERROR(VLOOKUP(D107,'Base Sectores'!$A$5:$J$47,6,FALSE),""))</x:f>
      </x:c>
      <x:c r="J107" s="3" t="str">
        <x:f>IF(D107="","",IFERROR(VLOOKUP(D107,'Base Sectores'!$A$5:$J$47,7,FALSE),""))</x:f>
      </x:c>
      <x:c r="K107" s="3" t="str">
        <x:f>IF(D107="","",IFERROR(VLOOKUP(D107,'Base Sectores'!$A$5:$J$47,9,FALSE),""))</x:f>
      </x:c>
      <x:c r="L107" s="6"/>
      <x:c r="M107" s="3" t="str">
        <x:f>IF(L107="","",IFERROR(VLOOKUP(L107,Configuracion!$D$4:$H$15,2,FALSE),""))</x:f>
      </x:c>
      <x:c r="N107" s="3" t="str">
        <x:f>IF(L107="","",IFERROR(VLOOKUP(L107,Configuracion!$D$4:$H$15,3,FALSE),""))</x:f>
      </x:c>
      <x:c r="O107" s="6"/>
      <x:c r="P107" s="3" t="str">
        <x:f>IF(L107="","",IFERROR(VLOOKUP(L107,Configuracion!$D$4:$H$15,4,FALSE),0))</x:f>
      </x:c>
      <x:c r="Q107" s="10"/>
      <x:c r="R107" s="10"/>
      <x:c r="S107" s="4" t="str">
        <x:f t="shared" si="11"/>
      </x:c>
      <x:c r="T107" s="6"/>
      <x:c r="U107" s="6"/>
      <x:c r="V107" s="6"/>
      <x:c r="W107" s="6"/>
      <x:c r="X107" s="6"/>
      <x:c r="Y107" s="6"/>
      <x:c r="Z107" s="6"/>
      <x:c r="AA107" s="6"/>
      <x:c r="AB107" s="6"/>
      <x:c r="AC107" s="10"/>
      <x:c r="AD107" s="10"/>
      <x:c r="AE107" s="4" t="str">
        <x:f t="shared" si="12"/>
      </x:c>
      <x:c r="AF107" s="4" t="str">
        <x:f t="shared" si="13"/>
      </x:c>
      <x:c r="AG107" s="4" t="str">
        <x:f t="shared" si="14"/>
      </x:c>
      <x:c r="AH107" s="11">
        <x:f t="shared" si="15"/>
        <x:v>0</x:v>
      </x:c>
      <x:c r="AI107" s="4" t="str">
        <x:f t="shared" si="16"/>
      </x:c>
      <x:c r="AJ107" s="4">
        <x:f t="shared" si="17"/>
        <x:v>0</x:v>
      </x:c>
      <x:c r="AK107" s="4">
        <x:f t="shared" si="18"/>
        <x:v>0</x:v>
      </x:c>
      <x:c r="AL107" s="11">
        <x:f t="shared" si="19"/>
        <x:v>0</x:v>
      </x:c>
      <x:c r="AM107" s="6"/>
      <x:c r="AN107" s="6"/>
    </x:row>
    <x:row r="108">
      <x:c r="A108" s="3" t="str">
        <x:f t="shared" si="10"/>
      </x:c>
      <x:c r="B108" s="9"/>
      <x:c r="C108" s="36"/>
      <x:c r="D108" s="6"/>
      <x:c r="E108" s="3" t="str">
        <x:f>IF(D108="","",IFERROR(VLOOKUP(D108,'Base Sectores'!$A$5:$J$47,2,FALSE),""))</x:f>
      </x:c>
      <x:c r="F108" s="40" t="str">
        <x:f>IF(D108="","",IFERROR(VLOOKUP(D108,'Base Sectores'!$A$5:$J$47,3,FALSE),""))</x:f>
      </x:c>
      <x:c r="G108" s="3" t="str">
        <x:f>IF(D108="","",IFERROR(VLOOKUP(D108,'Base Sectores'!$A$5:$J$47,4,FALSE),""))</x:f>
      </x:c>
      <x:c r="H108" s="3" t="str">
        <x:f>IF(D108="","",IFERROR(VLOOKUP(D108,'Base Sectores'!$A$5:$J$47,5,FALSE),""))</x:f>
      </x:c>
      <x:c r="I108" s="3" t="str">
        <x:f>IF(D108="","",IFERROR(VLOOKUP(D108,'Base Sectores'!$A$5:$J$47,6,FALSE),""))</x:f>
      </x:c>
      <x:c r="J108" s="3" t="str">
        <x:f>IF(D108="","",IFERROR(VLOOKUP(D108,'Base Sectores'!$A$5:$J$47,7,FALSE),""))</x:f>
      </x:c>
      <x:c r="K108" s="3" t="str">
        <x:f>IF(D108="","",IFERROR(VLOOKUP(D108,'Base Sectores'!$A$5:$J$47,9,FALSE),""))</x:f>
      </x:c>
      <x:c r="L108" s="6"/>
      <x:c r="M108" s="3" t="str">
        <x:f>IF(L108="","",IFERROR(VLOOKUP(L108,Configuracion!$D$4:$H$15,2,FALSE),""))</x:f>
      </x:c>
      <x:c r="N108" s="3" t="str">
        <x:f>IF(L108="","",IFERROR(VLOOKUP(L108,Configuracion!$D$4:$H$15,3,FALSE),""))</x:f>
      </x:c>
      <x:c r="O108" s="6"/>
      <x:c r="P108" s="3" t="str">
        <x:f>IF(L108="","",IFERROR(VLOOKUP(L108,Configuracion!$D$4:$H$15,4,FALSE),0))</x:f>
      </x:c>
      <x:c r="Q108" s="10"/>
      <x:c r="R108" s="10"/>
      <x:c r="S108" s="4" t="str">
        <x:f t="shared" si="11"/>
      </x:c>
      <x:c r="T108" s="6"/>
      <x:c r="U108" s="6"/>
      <x:c r="V108" s="6"/>
      <x:c r="W108" s="6"/>
      <x:c r="X108" s="6"/>
      <x:c r="Y108" s="6"/>
      <x:c r="Z108" s="6"/>
      <x:c r="AA108" s="6"/>
      <x:c r="AB108" s="6"/>
      <x:c r="AC108" s="10"/>
      <x:c r="AD108" s="10"/>
      <x:c r="AE108" s="4" t="str">
        <x:f t="shared" si="12"/>
      </x:c>
      <x:c r="AF108" s="4" t="str">
        <x:f t="shared" si="13"/>
      </x:c>
      <x:c r="AG108" s="4" t="str">
        <x:f t="shared" si="14"/>
      </x:c>
      <x:c r="AH108" s="11">
        <x:f t="shared" si="15"/>
        <x:v>0</x:v>
      </x:c>
      <x:c r="AI108" s="4" t="str">
        <x:f t="shared" si="16"/>
      </x:c>
      <x:c r="AJ108" s="4">
        <x:f t="shared" si="17"/>
        <x:v>0</x:v>
      </x:c>
      <x:c r="AK108" s="4">
        <x:f t="shared" si="18"/>
        <x:v>0</x:v>
      </x:c>
      <x:c r="AL108" s="11">
        <x:f t="shared" si="19"/>
        <x:v>0</x:v>
      </x:c>
      <x:c r="AM108" s="6"/>
      <x:c r="AN108" s="6"/>
    </x:row>
    <x:row r="109">
      <x:c r="A109" s="3" t="str">
        <x:f t="shared" si="10"/>
      </x:c>
      <x:c r="B109" s="9"/>
      <x:c r="C109" s="36"/>
      <x:c r="D109" s="6"/>
      <x:c r="E109" s="3" t="str">
        <x:f>IF(D109="","",IFERROR(VLOOKUP(D109,'Base Sectores'!$A$5:$J$47,2,FALSE),""))</x:f>
      </x:c>
      <x:c r="F109" s="40" t="str">
        <x:f>IF(D109="","",IFERROR(VLOOKUP(D109,'Base Sectores'!$A$5:$J$47,3,FALSE),""))</x:f>
      </x:c>
      <x:c r="G109" s="3" t="str">
        <x:f>IF(D109="","",IFERROR(VLOOKUP(D109,'Base Sectores'!$A$5:$J$47,4,FALSE),""))</x:f>
      </x:c>
      <x:c r="H109" s="3" t="str">
        <x:f>IF(D109="","",IFERROR(VLOOKUP(D109,'Base Sectores'!$A$5:$J$47,5,FALSE),""))</x:f>
      </x:c>
      <x:c r="I109" s="3" t="str">
        <x:f>IF(D109="","",IFERROR(VLOOKUP(D109,'Base Sectores'!$A$5:$J$47,6,FALSE),""))</x:f>
      </x:c>
      <x:c r="J109" s="3" t="str">
        <x:f>IF(D109="","",IFERROR(VLOOKUP(D109,'Base Sectores'!$A$5:$J$47,7,FALSE),""))</x:f>
      </x:c>
      <x:c r="K109" s="3" t="str">
        <x:f>IF(D109="","",IFERROR(VLOOKUP(D109,'Base Sectores'!$A$5:$J$47,9,FALSE),""))</x:f>
      </x:c>
      <x:c r="L109" s="6"/>
      <x:c r="M109" s="3" t="str">
        <x:f>IF(L109="","",IFERROR(VLOOKUP(L109,Configuracion!$D$4:$H$15,2,FALSE),""))</x:f>
      </x:c>
      <x:c r="N109" s="3" t="str">
        <x:f>IF(L109="","",IFERROR(VLOOKUP(L109,Configuracion!$D$4:$H$15,3,FALSE),""))</x:f>
      </x:c>
      <x:c r="O109" s="6"/>
      <x:c r="P109" s="3" t="str">
        <x:f>IF(L109="","",IFERROR(VLOOKUP(L109,Configuracion!$D$4:$H$15,4,FALSE),0))</x:f>
      </x:c>
      <x:c r="Q109" s="10"/>
      <x:c r="R109" s="10"/>
      <x:c r="S109" s="4" t="str">
        <x:f t="shared" si="11"/>
      </x:c>
      <x:c r="T109" s="6"/>
      <x:c r="U109" s="6"/>
      <x:c r="V109" s="6"/>
      <x:c r="W109" s="6"/>
      <x:c r="X109" s="6"/>
      <x:c r="Y109" s="6"/>
      <x:c r="Z109" s="6"/>
      <x:c r="AA109" s="6"/>
      <x:c r="AB109" s="6"/>
      <x:c r="AC109" s="10"/>
      <x:c r="AD109" s="10"/>
      <x:c r="AE109" s="4" t="str">
        <x:f t="shared" si="12"/>
      </x:c>
      <x:c r="AF109" s="4" t="str">
        <x:f t="shared" si="13"/>
      </x:c>
      <x:c r="AG109" s="4" t="str">
        <x:f t="shared" si="14"/>
      </x:c>
      <x:c r="AH109" s="11">
        <x:f t="shared" si="15"/>
        <x:v>0</x:v>
      </x:c>
      <x:c r="AI109" s="4" t="str">
        <x:f t="shared" si="16"/>
      </x:c>
      <x:c r="AJ109" s="4">
        <x:f t="shared" si="17"/>
        <x:v>0</x:v>
      </x:c>
      <x:c r="AK109" s="4">
        <x:f t="shared" si="18"/>
        <x:v>0</x:v>
      </x:c>
      <x:c r="AL109" s="11">
        <x:f t="shared" si="19"/>
        <x:v>0</x:v>
      </x:c>
      <x:c r="AM109" s="6"/>
      <x:c r="AN109" s="6"/>
    </x:row>
    <x:row r="110">
      <x:c r="A110" s="3" t="str">
        <x:f t="shared" si="10"/>
      </x:c>
      <x:c r="B110" s="9"/>
      <x:c r="C110" s="36"/>
      <x:c r="D110" s="6"/>
      <x:c r="E110" s="3" t="str">
        <x:f>IF(D110="","",IFERROR(VLOOKUP(D110,'Base Sectores'!$A$5:$J$47,2,FALSE),""))</x:f>
      </x:c>
      <x:c r="F110" s="40" t="str">
        <x:f>IF(D110="","",IFERROR(VLOOKUP(D110,'Base Sectores'!$A$5:$J$47,3,FALSE),""))</x:f>
      </x:c>
      <x:c r="G110" s="3" t="str">
        <x:f>IF(D110="","",IFERROR(VLOOKUP(D110,'Base Sectores'!$A$5:$J$47,4,FALSE),""))</x:f>
      </x:c>
      <x:c r="H110" s="3" t="str">
        <x:f>IF(D110="","",IFERROR(VLOOKUP(D110,'Base Sectores'!$A$5:$J$47,5,FALSE),""))</x:f>
      </x:c>
      <x:c r="I110" s="3" t="str">
        <x:f>IF(D110="","",IFERROR(VLOOKUP(D110,'Base Sectores'!$A$5:$J$47,6,FALSE),""))</x:f>
      </x:c>
      <x:c r="J110" s="3" t="str">
        <x:f>IF(D110="","",IFERROR(VLOOKUP(D110,'Base Sectores'!$A$5:$J$47,7,FALSE),""))</x:f>
      </x:c>
      <x:c r="K110" s="3" t="str">
        <x:f>IF(D110="","",IFERROR(VLOOKUP(D110,'Base Sectores'!$A$5:$J$47,9,FALSE),""))</x:f>
      </x:c>
      <x:c r="L110" s="6"/>
      <x:c r="M110" s="3" t="str">
        <x:f>IF(L110="","",IFERROR(VLOOKUP(L110,Configuracion!$D$4:$H$15,2,FALSE),""))</x:f>
      </x:c>
      <x:c r="N110" s="3" t="str">
        <x:f>IF(L110="","",IFERROR(VLOOKUP(L110,Configuracion!$D$4:$H$15,3,FALSE),""))</x:f>
      </x:c>
      <x:c r="O110" s="6"/>
      <x:c r="P110" s="3" t="str">
        <x:f>IF(L110="","",IFERROR(VLOOKUP(L110,Configuracion!$D$4:$H$15,4,FALSE),0))</x:f>
      </x:c>
      <x:c r="Q110" s="10"/>
      <x:c r="R110" s="10"/>
      <x:c r="S110" s="4" t="str">
        <x:f t="shared" si="11"/>
      </x:c>
      <x:c r="T110" s="6"/>
      <x:c r="U110" s="6"/>
      <x:c r="V110" s="6"/>
      <x:c r="W110" s="6"/>
      <x:c r="X110" s="6"/>
      <x:c r="Y110" s="6"/>
      <x:c r="Z110" s="6"/>
      <x:c r="AA110" s="6"/>
      <x:c r="AB110" s="6"/>
      <x:c r="AC110" s="10"/>
      <x:c r="AD110" s="10"/>
      <x:c r="AE110" s="4" t="str">
        <x:f t="shared" si="12"/>
      </x:c>
      <x:c r="AF110" s="4" t="str">
        <x:f t="shared" si="13"/>
      </x:c>
      <x:c r="AG110" s="4" t="str">
        <x:f t="shared" si="14"/>
      </x:c>
      <x:c r="AH110" s="11">
        <x:f t="shared" si="15"/>
        <x:v>0</x:v>
      </x:c>
      <x:c r="AI110" s="4" t="str">
        <x:f t="shared" si="16"/>
      </x:c>
      <x:c r="AJ110" s="4">
        <x:f t="shared" si="17"/>
        <x:v>0</x:v>
      </x:c>
      <x:c r="AK110" s="4">
        <x:f t="shared" si="18"/>
        <x:v>0</x:v>
      </x:c>
      <x:c r="AL110" s="11">
        <x:f t="shared" si="19"/>
        <x:v>0</x:v>
      </x:c>
      <x:c r="AM110" s="6"/>
      <x:c r="AN110" s="6"/>
    </x:row>
    <x:row r="111">
      <x:c r="A111" s="3" t="str">
        <x:f t="shared" si="10"/>
      </x:c>
      <x:c r="B111" s="9"/>
      <x:c r="C111" s="36"/>
      <x:c r="D111" s="6"/>
      <x:c r="E111" s="3" t="str">
        <x:f>IF(D111="","",IFERROR(VLOOKUP(D111,'Base Sectores'!$A$5:$J$47,2,FALSE),""))</x:f>
      </x:c>
      <x:c r="F111" s="40" t="str">
        <x:f>IF(D111="","",IFERROR(VLOOKUP(D111,'Base Sectores'!$A$5:$J$47,3,FALSE),""))</x:f>
      </x:c>
      <x:c r="G111" s="3" t="str">
        <x:f>IF(D111="","",IFERROR(VLOOKUP(D111,'Base Sectores'!$A$5:$J$47,4,FALSE),""))</x:f>
      </x:c>
      <x:c r="H111" s="3" t="str">
        <x:f>IF(D111="","",IFERROR(VLOOKUP(D111,'Base Sectores'!$A$5:$J$47,5,FALSE),""))</x:f>
      </x:c>
      <x:c r="I111" s="3" t="str">
        <x:f>IF(D111="","",IFERROR(VLOOKUP(D111,'Base Sectores'!$A$5:$J$47,6,FALSE),""))</x:f>
      </x:c>
      <x:c r="J111" s="3" t="str">
        <x:f>IF(D111="","",IFERROR(VLOOKUP(D111,'Base Sectores'!$A$5:$J$47,7,FALSE),""))</x:f>
      </x:c>
      <x:c r="K111" s="3" t="str">
        <x:f>IF(D111="","",IFERROR(VLOOKUP(D111,'Base Sectores'!$A$5:$J$47,9,FALSE),""))</x:f>
      </x:c>
      <x:c r="L111" s="6"/>
      <x:c r="M111" s="3" t="str">
        <x:f>IF(L111="","",IFERROR(VLOOKUP(L111,Configuracion!$D$4:$H$15,2,FALSE),""))</x:f>
      </x:c>
      <x:c r="N111" s="3" t="str">
        <x:f>IF(L111="","",IFERROR(VLOOKUP(L111,Configuracion!$D$4:$H$15,3,FALSE),""))</x:f>
      </x:c>
      <x:c r="O111" s="6"/>
      <x:c r="P111" s="3" t="str">
        <x:f>IF(L111="","",IFERROR(VLOOKUP(L111,Configuracion!$D$4:$H$15,4,FALSE),0))</x:f>
      </x:c>
      <x:c r="Q111" s="10"/>
      <x:c r="R111" s="10"/>
      <x:c r="S111" s="4" t="str">
        <x:f t="shared" si="11"/>
      </x:c>
      <x:c r="T111" s="6"/>
      <x:c r="U111" s="6"/>
      <x:c r="V111" s="6"/>
      <x:c r="W111" s="6"/>
      <x:c r="X111" s="6"/>
      <x:c r="Y111" s="6"/>
      <x:c r="Z111" s="6"/>
      <x:c r="AA111" s="6"/>
      <x:c r="AB111" s="6"/>
      <x:c r="AC111" s="10"/>
      <x:c r="AD111" s="10"/>
      <x:c r="AE111" s="4" t="str">
        <x:f t="shared" si="12"/>
      </x:c>
      <x:c r="AF111" s="4" t="str">
        <x:f t="shared" si="13"/>
      </x:c>
      <x:c r="AG111" s="4" t="str">
        <x:f t="shared" si="14"/>
      </x:c>
      <x:c r="AH111" s="11">
        <x:f t="shared" si="15"/>
        <x:v>0</x:v>
      </x:c>
      <x:c r="AI111" s="4" t="str">
        <x:f t="shared" si="16"/>
      </x:c>
      <x:c r="AJ111" s="4">
        <x:f t="shared" si="17"/>
        <x:v>0</x:v>
      </x:c>
      <x:c r="AK111" s="4">
        <x:f t="shared" si="18"/>
        <x:v>0</x:v>
      </x:c>
      <x:c r="AL111" s="11">
        <x:f t="shared" si="19"/>
        <x:v>0</x:v>
      </x:c>
      <x:c r="AM111" s="6"/>
      <x:c r="AN111" s="6"/>
    </x:row>
    <x:row r="112">
      <x:c r="A112" s="3" t="str">
        <x:f t="shared" si="10"/>
      </x:c>
      <x:c r="B112" s="9"/>
      <x:c r="C112" s="36"/>
      <x:c r="D112" s="6"/>
      <x:c r="E112" s="3" t="str">
        <x:f>IF(D112="","",IFERROR(VLOOKUP(D112,'Base Sectores'!$A$5:$J$47,2,FALSE),""))</x:f>
      </x:c>
      <x:c r="F112" s="40" t="str">
        <x:f>IF(D112="","",IFERROR(VLOOKUP(D112,'Base Sectores'!$A$5:$J$47,3,FALSE),""))</x:f>
      </x:c>
      <x:c r="G112" s="3" t="str">
        <x:f>IF(D112="","",IFERROR(VLOOKUP(D112,'Base Sectores'!$A$5:$J$47,4,FALSE),""))</x:f>
      </x:c>
      <x:c r="H112" s="3" t="str">
        <x:f>IF(D112="","",IFERROR(VLOOKUP(D112,'Base Sectores'!$A$5:$J$47,5,FALSE),""))</x:f>
      </x:c>
      <x:c r="I112" s="3" t="str">
        <x:f>IF(D112="","",IFERROR(VLOOKUP(D112,'Base Sectores'!$A$5:$J$47,6,FALSE),""))</x:f>
      </x:c>
      <x:c r="J112" s="3" t="str">
        <x:f>IF(D112="","",IFERROR(VLOOKUP(D112,'Base Sectores'!$A$5:$J$47,7,FALSE),""))</x:f>
      </x:c>
      <x:c r="K112" s="3" t="str">
        <x:f>IF(D112="","",IFERROR(VLOOKUP(D112,'Base Sectores'!$A$5:$J$47,9,FALSE),""))</x:f>
      </x:c>
      <x:c r="L112" s="6"/>
      <x:c r="M112" s="3" t="str">
        <x:f>IF(L112="","",IFERROR(VLOOKUP(L112,Configuracion!$D$4:$H$15,2,FALSE),""))</x:f>
      </x:c>
      <x:c r="N112" s="3" t="str">
        <x:f>IF(L112="","",IFERROR(VLOOKUP(L112,Configuracion!$D$4:$H$15,3,FALSE),""))</x:f>
      </x:c>
      <x:c r="O112" s="6"/>
      <x:c r="P112" s="3" t="str">
        <x:f>IF(L112="","",IFERROR(VLOOKUP(L112,Configuracion!$D$4:$H$15,4,FALSE),0))</x:f>
      </x:c>
      <x:c r="Q112" s="10"/>
      <x:c r="R112" s="10"/>
      <x:c r="S112" s="4" t="str">
        <x:f t="shared" si="11"/>
      </x:c>
      <x:c r="T112" s="6"/>
      <x:c r="U112" s="6"/>
      <x:c r="V112" s="6"/>
      <x:c r="W112" s="6"/>
      <x:c r="X112" s="6"/>
      <x:c r="Y112" s="6"/>
      <x:c r="Z112" s="6"/>
      <x:c r="AA112" s="6"/>
      <x:c r="AB112" s="6"/>
      <x:c r="AC112" s="10"/>
      <x:c r="AD112" s="10"/>
      <x:c r="AE112" s="4" t="str">
        <x:f t="shared" si="12"/>
      </x:c>
      <x:c r="AF112" s="4" t="str">
        <x:f t="shared" si="13"/>
      </x:c>
      <x:c r="AG112" s="4" t="str">
        <x:f t="shared" si="14"/>
      </x:c>
      <x:c r="AH112" s="11">
        <x:f t="shared" si="15"/>
        <x:v>0</x:v>
      </x:c>
      <x:c r="AI112" s="4" t="str">
        <x:f t="shared" si="16"/>
      </x:c>
      <x:c r="AJ112" s="4">
        <x:f t="shared" si="17"/>
        <x:v>0</x:v>
      </x:c>
      <x:c r="AK112" s="4">
        <x:f t="shared" si="18"/>
        <x:v>0</x:v>
      </x:c>
      <x:c r="AL112" s="11">
        <x:f t="shared" si="19"/>
        <x:v>0</x:v>
      </x:c>
      <x:c r="AM112" s="6"/>
      <x:c r="AN112" s="6"/>
    </x:row>
    <x:row r="113">
      <x:c r="A113" s="3" t="str">
        <x:f t="shared" si="10"/>
      </x:c>
      <x:c r="B113" s="9"/>
      <x:c r="C113" s="36"/>
      <x:c r="D113" s="6"/>
      <x:c r="E113" s="3" t="str">
        <x:f>IF(D113="","",IFERROR(VLOOKUP(D113,'Base Sectores'!$A$5:$J$47,2,FALSE),""))</x:f>
      </x:c>
      <x:c r="F113" s="40" t="str">
        <x:f>IF(D113="","",IFERROR(VLOOKUP(D113,'Base Sectores'!$A$5:$J$47,3,FALSE),""))</x:f>
      </x:c>
      <x:c r="G113" s="3" t="str">
        <x:f>IF(D113="","",IFERROR(VLOOKUP(D113,'Base Sectores'!$A$5:$J$47,4,FALSE),""))</x:f>
      </x:c>
      <x:c r="H113" s="3" t="str">
        <x:f>IF(D113="","",IFERROR(VLOOKUP(D113,'Base Sectores'!$A$5:$J$47,5,FALSE),""))</x:f>
      </x:c>
      <x:c r="I113" s="3" t="str">
        <x:f>IF(D113="","",IFERROR(VLOOKUP(D113,'Base Sectores'!$A$5:$J$47,6,FALSE),""))</x:f>
      </x:c>
      <x:c r="J113" s="3" t="str">
        <x:f>IF(D113="","",IFERROR(VLOOKUP(D113,'Base Sectores'!$A$5:$J$47,7,FALSE),""))</x:f>
      </x:c>
      <x:c r="K113" s="3" t="str">
        <x:f>IF(D113="","",IFERROR(VLOOKUP(D113,'Base Sectores'!$A$5:$J$47,9,FALSE),""))</x:f>
      </x:c>
      <x:c r="L113" s="6"/>
      <x:c r="M113" s="3" t="str">
        <x:f>IF(L113="","",IFERROR(VLOOKUP(L113,Configuracion!$D$4:$H$15,2,FALSE),""))</x:f>
      </x:c>
      <x:c r="N113" s="3" t="str">
        <x:f>IF(L113="","",IFERROR(VLOOKUP(L113,Configuracion!$D$4:$H$15,3,FALSE),""))</x:f>
      </x:c>
      <x:c r="O113" s="6"/>
      <x:c r="P113" s="3" t="str">
        <x:f>IF(L113="","",IFERROR(VLOOKUP(L113,Configuracion!$D$4:$H$15,4,FALSE),0))</x:f>
      </x:c>
      <x:c r="Q113" s="10"/>
      <x:c r="R113" s="10"/>
      <x:c r="S113" s="4" t="str">
        <x:f t="shared" si="11"/>
      </x:c>
      <x:c r="T113" s="6"/>
      <x:c r="U113" s="6"/>
      <x:c r="V113" s="6"/>
      <x:c r="W113" s="6"/>
      <x:c r="X113" s="6"/>
      <x:c r="Y113" s="6"/>
      <x:c r="Z113" s="6"/>
      <x:c r="AA113" s="6"/>
      <x:c r="AB113" s="6"/>
      <x:c r="AC113" s="10"/>
      <x:c r="AD113" s="10"/>
      <x:c r="AE113" s="4" t="str">
        <x:f t="shared" si="12"/>
      </x:c>
      <x:c r="AF113" s="4" t="str">
        <x:f t="shared" si="13"/>
      </x:c>
      <x:c r="AG113" s="4" t="str">
        <x:f t="shared" si="14"/>
      </x:c>
      <x:c r="AH113" s="11">
        <x:f t="shared" si="15"/>
        <x:v>0</x:v>
      </x:c>
      <x:c r="AI113" s="4" t="str">
        <x:f t="shared" si="16"/>
      </x:c>
      <x:c r="AJ113" s="4">
        <x:f t="shared" si="17"/>
        <x:v>0</x:v>
      </x:c>
      <x:c r="AK113" s="4">
        <x:f t="shared" si="18"/>
        <x:v>0</x:v>
      </x:c>
      <x:c r="AL113" s="11">
        <x:f t="shared" si="19"/>
        <x:v>0</x:v>
      </x:c>
      <x:c r="AM113" s="6"/>
      <x:c r="AN113" s="6"/>
    </x:row>
    <x:row r="114">
      <x:c r="A114" s="3" t="str">
        <x:f t="shared" si="10"/>
      </x:c>
      <x:c r="B114" s="9"/>
      <x:c r="C114" s="36"/>
      <x:c r="D114" s="6"/>
      <x:c r="E114" s="3" t="str">
        <x:f>IF(D114="","",IFERROR(VLOOKUP(D114,'Base Sectores'!$A$5:$J$47,2,FALSE),""))</x:f>
      </x:c>
      <x:c r="F114" s="40" t="str">
        <x:f>IF(D114="","",IFERROR(VLOOKUP(D114,'Base Sectores'!$A$5:$J$47,3,FALSE),""))</x:f>
      </x:c>
      <x:c r="G114" s="3" t="str">
        <x:f>IF(D114="","",IFERROR(VLOOKUP(D114,'Base Sectores'!$A$5:$J$47,4,FALSE),""))</x:f>
      </x:c>
      <x:c r="H114" s="3" t="str">
        <x:f>IF(D114="","",IFERROR(VLOOKUP(D114,'Base Sectores'!$A$5:$J$47,5,FALSE),""))</x:f>
      </x:c>
      <x:c r="I114" s="3" t="str">
        <x:f>IF(D114="","",IFERROR(VLOOKUP(D114,'Base Sectores'!$A$5:$J$47,6,FALSE),""))</x:f>
      </x:c>
      <x:c r="J114" s="3" t="str">
        <x:f>IF(D114="","",IFERROR(VLOOKUP(D114,'Base Sectores'!$A$5:$J$47,7,FALSE),""))</x:f>
      </x:c>
      <x:c r="K114" s="3" t="str">
        <x:f>IF(D114="","",IFERROR(VLOOKUP(D114,'Base Sectores'!$A$5:$J$47,9,FALSE),""))</x:f>
      </x:c>
      <x:c r="L114" s="6"/>
      <x:c r="M114" s="3" t="str">
        <x:f>IF(L114="","",IFERROR(VLOOKUP(L114,Configuracion!$D$4:$H$15,2,FALSE),""))</x:f>
      </x:c>
      <x:c r="N114" s="3" t="str">
        <x:f>IF(L114="","",IFERROR(VLOOKUP(L114,Configuracion!$D$4:$H$15,3,FALSE),""))</x:f>
      </x:c>
      <x:c r="O114" s="6"/>
      <x:c r="P114" s="3" t="str">
        <x:f>IF(L114="","",IFERROR(VLOOKUP(L114,Configuracion!$D$4:$H$15,4,FALSE),0))</x:f>
      </x:c>
      <x:c r="Q114" s="10"/>
      <x:c r="R114" s="10"/>
      <x:c r="S114" s="4" t="str">
        <x:f t="shared" si="11"/>
      </x:c>
      <x:c r="T114" s="6"/>
      <x:c r="U114" s="6"/>
      <x:c r="V114" s="6"/>
      <x:c r="W114" s="6"/>
      <x:c r="X114" s="6"/>
      <x:c r="Y114" s="6"/>
      <x:c r="Z114" s="6"/>
      <x:c r="AA114" s="6"/>
      <x:c r="AB114" s="6"/>
      <x:c r="AC114" s="10"/>
      <x:c r="AD114" s="10"/>
      <x:c r="AE114" s="4" t="str">
        <x:f t="shared" si="12"/>
      </x:c>
      <x:c r="AF114" s="4" t="str">
        <x:f t="shared" si="13"/>
      </x:c>
      <x:c r="AG114" s="4" t="str">
        <x:f t="shared" si="14"/>
      </x:c>
      <x:c r="AH114" s="11">
        <x:f t="shared" si="15"/>
        <x:v>0</x:v>
      </x:c>
      <x:c r="AI114" s="4" t="str">
        <x:f t="shared" si="16"/>
      </x:c>
      <x:c r="AJ114" s="4">
        <x:f t="shared" si="17"/>
        <x:v>0</x:v>
      </x:c>
      <x:c r="AK114" s="4">
        <x:f t="shared" si="18"/>
        <x:v>0</x:v>
      </x:c>
      <x:c r="AL114" s="11">
        <x:f t="shared" si="19"/>
        <x:v>0</x:v>
      </x:c>
      <x:c r="AM114" s="6"/>
      <x:c r="AN114" s="6"/>
    </x:row>
    <x:row r="115">
      <x:c r="A115" s="3" t="str">
        <x:f t="shared" si="10"/>
      </x:c>
      <x:c r="B115" s="9"/>
      <x:c r="C115" s="36"/>
      <x:c r="D115" s="6"/>
      <x:c r="E115" s="3" t="str">
        <x:f>IF(D115="","",IFERROR(VLOOKUP(D115,'Base Sectores'!$A$5:$J$47,2,FALSE),""))</x:f>
      </x:c>
      <x:c r="F115" s="40" t="str">
        <x:f>IF(D115="","",IFERROR(VLOOKUP(D115,'Base Sectores'!$A$5:$J$47,3,FALSE),""))</x:f>
      </x:c>
      <x:c r="G115" s="3" t="str">
        <x:f>IF(D115="","",IFERROR(VLOOKUP(D115,'Base Sectores'!$A$5:$J$47,4,FALSE),""))</x:f>
      </x:c>
      <x:c r="H115" s="3" t="str">
        <x:f>IF(D115="","",IFERROR(VLOOKUP(D115,'Base Sectores'!$A$5:$J$47,5,FALSE),""))</x:f>
      </x:c>
      <x:c r="I115" s="3" t="str">
        <x:f>IF(D115="","",IFERROR(VLOOKUP(D115,'Base Sectores'!$A$5:$J$47,6,FALSE),""))</x:f>
      </x:c>
      <x:c r="J115" s="3" t="str">
        <x:f>IF(D115="","",IFERROR(VLOOKUP(D115,'Base Sectores'!$A$5:$J$47,7,FALSE),""))</x:f>
      </x:c>
      <x:c r="K115" s="3" t="str">
        <x:f>IF(D115="","",IFERROR(VLOOKUP(D115,'Base Sectores'!$A$5:$J$47,9,FALSE),""))</x:f>
      </x:c>
      <x:c r="L115" s="6"/>
      <x:c r="M115" s="3" t="str">
        <x:f>IF(L115="","",IFERROR(VLOOKUP(L115,Configuracion!$D$4:$H$15,2,FALSE),""))</x:f>
      </x:c>
      <x:c r="N115" s="3" t="str">
        <x:f>IF(L115="","",IFERROR(VLOOKUP(L115,Configuracion!$D$4:$H$15,3,FALSE),""))</x:f>
      </x:c>
      <x:c r="O115" s="6"/>
      <x:c r="P115" s="3" t="str">
        <x:f>IF(L115="","",IFERROR(VLOOKUP(L115,Configuracion!$D$4:$H$15,4,FALSE),0))</x:f>
      </x:c>
      <x:c r="Q115" s="10"/>
      <x:c r="R115" s="10"/>
      <x:c r="S115" s="4" t="str">
        <x:f t="shared" si="11"/>
      </x:c>
      <x:c r="T115" s="6"/>
      <x:c r="U115" s="6"/>
      <x:c r="V115" s="6"/>
      <x:c r="W115" s="6"/>
      <x:c r="X115" s="6"/>
      <x:c r="Y115" s="6"/>
      <x:c r="Z115" s="6"/>
      <x:c r="AA115" s="6"/>
      <x:c r="AB115" s="6"/>
      <x:c r="AC115" s="10"/>
      <x:c r="AD115" s="10"/>
      <x:c r="AE115" s="4" t="str">
        <x:f t="shared" si="12"/>
      </x:c>
      <x:c r="AF115" s="4" t="str">
        <x:f t="shared" si="13"/>
      </x:c>
      <x:c r="AG115" s="4" t="str">
        <x:f t="shared" si="14"/>
      </x:c>
      <x:c r="AH115" s="11">
        <x:f t="shared" si="15"/>
        <x:v>0</x:v>
      </x:c>
      <x:c r="AI115" s="4" t="str">
        <x:f t="shared" si="16"/>
      </x:c>
      <x:c r="AJ115" s="4">
        <x:f t="shared" si="17"/>
        <x:v>0</x:v>
      </x:c>
      <x:c r="AK115" s="4">
        <x:f t="shared" si="18"/>
        <x:v>0</x:v>
      </x:c>
      <x:c r="AL115" s="11">
        <x:f t="shared" si="19"/>
        <x:v>0</x:v>
      </x:c>
      <x:c r="AM115" s="6"/>
      <x:c r="AN115" s="6"/>
    </x:row>
    <x:row r="116">
      <x:c r="A116" s="3" t="str">
        <x:f t="shared" si="10"/>
      </x:c>
      <x:c r="B116" s="9"/>
      <x:c r="C116" s="36"/>
      <x:c r="D116" s="6"/>
      <x:c r="E116" s="3" t="str">
        <x:f>IF(D116="","",IFERROR(VLOOKUP(D116,'Base Sectores'!$A$5:$J$47,2,FALSE),""))</x:f>
      </x:c>
      <x:c r="F116" s="40" t="str">
        <x:f>IF(D116="","",IFERROR(VLOOKUP(D116,'Base Sectores'!$A$5:$J$47,3,FALSE),""))</x:f>
      </x:c>
      <x:c r="G116" s="3" t="str">
        <x:f>IF(D116="","",IFERROR(VLOOKUP(D116,'Base Sectores'!$A$5:$J$47,4,FALSE),""))</x:f>
      </x:c>
      <x:c r="H116" s="3" t="str">
        <x:f>IF(D116="","",IFERROR(VLOOKUP(D116,'Base Sectores'!$A$5:$J$47,5,FALSE),""))</x:f>
      </x:c>
      <x:c r="I116" s="3" t="str">
        <x:f>IF(D116="","",IFERROR(VLOOKUP(D116,'Base Sectores'!$A$5:$J$47,6,FALSE),""))</x:f>
      </x:c>
      <x:c r="J116" s="3" t="str">
        <x:f>IF(D116="","",IFERROR(VLOOKUP(D116,'Base Sectores'!$A$5:$J$47,7,FALSE),""))</x:f>
      </x:c>
      <x:c r="K116" s="3" t="str">
        <x:f>IF(D116="","",IFERROR(VLOOKUP(D116,'Base Sectores'!$A$5:$J$47,9,FALSE),""))</x:f>
      </x:c>
      <x:c r="L116" s="6"/>
      <x:c r="M116" s="3" t="str">
        <x:f>IF(L116="","",IFERROR(VLOOKUP(L116,Configuracion!$D$4:$H$15,2,FALSE),""))</x:f>
      </x:c>
      <x:c r="N116" s="3" t="str">
        <x:f>IF(L116="","",IFERROR(VLOOKUP(L116,Configuracion!$D$4:$H$15,3,FALSE),""))</x:f>
      </x:c>
      <x:c r="O116" s="6"/>
      <x:c r="P116" s="3" t="str">
        <x:f>IF(L116="","",IFERROR(VLOOKUP(L116,Configuracion!$D$4:$H$15,4,FALSE),0))</x:f>
      </x:c>
      <x:c r="Q116" s="10"/>
      <x:c r="R116" s="10"/>
      <x:c r="S116" s="4" t="str">
        <x:f t="shared" si="11"/>
      </x:c>
      <x:c r="T116" s="6"/>
      <x:c r="U116" s="6"/>
      <x:c r="V116" s="6"/>
      <x:c r="W116" s="6"/>
      <x:c r="X116" s="6"/>
      <x:c r="Y116" s="6"/>
      <x:c r="Z116" s="6"/>
      <x:c r="AA116" s="6"/>
      <x:c r="AB116" s="6"/>
      <x:c r="AC116" s="10"/>
      <x:c r="AD116" s="10"/>
      <x:c r="AE116" s="4" t="str">
        <x:f t="shared" si="12"/>
      </x:c>
      <x:c r="AF116" s="4" t="str">
        <x:f t="shared" si="13"/>
      </x:c>
      <x:c r="AG116" s="4" t="str">
        <x:f t="shared" si="14"/>
      </x:c>
      <x:c r="AH116" s="11">
        <x:f t="shared" si="15"/>
        <x:v>0</x:v>
      </x:c>
      <x:c r="AI116" s="4" t="str">
        <x:f t="shared" si="16"/>
      </x:c>
      <x:c r="AJ116" s="4">
        <x:f t="shared" si="17"/>
        <x:v>0</x:v>
      </x:c>
      <x:c r="AK116" s="4">
        <x:f t="shared" si="18"/>
        <x:v>0</x:v>
      </x:c>
      <x:c r="AL116" s="11">
        <x:f t="shared" si="19"/>
        <x:v>0</x:v>
      </x:c>
      <x:c r="AM116" s="6"/>
      <x:c r="AN116" s="6"/>
    </x:row>
    <x:row r="117">
      <x:c r="A117" s="3" t="str">
        <x:f t="shared" si="10"/>
      </x:c>
      <x:c r="B117" s="9"/>
      <x:c r="C117" s="36"/>
      <x:c r="D117" s="6"/>
      <x:c r="E117" s="3" t="str">
        <x:f>IF(D117="","",IFERROR(VLOOKUP(D117,'Base Sectores'!$A$5:$J$47,2,FALSE),""))</x:f>
      </x:c>
      <x:c r="F117" s="40" t="str">
        <x:f>IF(D117="","",IFERROR(VLOOKUP(D117,'Base Sectores'!$A$5:$J$47,3,FALSE),""))</x:f>
      </x:c>
      <x:c r="G117" s="3" t="str">
        <x:f>IF(D117="","",IFERROR(VLOOKUP(D117,'Base Sectores'!$A$5:$J$47,4,FALSE),""))</x:f>
      </x:c>
      <x:c r="H117" s="3" t="str">
        <x:f>IF(D117="","",IFERROR(VLOOKUP(D117,'Base Sectores'!$A$5:$J$47,5,FALSE),""))</x:f>
      </x:c>
      <x:c r="I117" s="3" t="str">
        <x:f>IF(D117="","",IFERROR(VLOOKUP(D117,'Base Sectores'!$A$5:$J$47,6,FALSE),""))</x:f>
      </x:c>
      <x:c r="J117" s="3" t="str">
        <x:f>IF(D117="","",IFERROR(VLOOKUP(D117,'Base Sectores'!$A$5:$J$47,7,FALSE),""))</x:f>
      </x:c>
      <x:c r="K117" s="3" t="str">
        <x:f>IF(D117="","",IFERROR(VLOOKUP(D117,'Base Sectores'!$A$5:$J$47,9,FALSE),""))</x:f>
      </x:c>
      <x:c r="L117" s="6"/>
      <x:c r="M117" s="3" t="str">
        <x:f>IF(L117="","",IFERROR(VLOOKUP(L117,Configuracion!$D$4:$H$15,2,FALSE),""))</x:f>
      </x:c>
      <x:c r="N117" s="3" t="str">
        <x:f>IF(L117="","",IFERROR(VLOOKUP(L117,Configuracion!$D$4:$H$15,3,FALSE),""))</x:f>
      </x:c>
      <x:c r="O117" s="6"/>
      <x:c r="P117" s="3" t="str">
        <x:f>IF(L117="","",IFERROR(VLOOKUP(L117,Configuracion!$D$4:$H$15,4,FALSE),0))</x:f>
      </x:c>
      <x:c r="Q117" s="10"/>
      <x:c r="R117" s="10"/>
      <x:c r="S117" s="4" t="str">
        <x:f t="shared" si="11"/>
      </x:c>
      <x:c r="T117" s="6"/>
      <x:c r="U117" s="6"/>
      <x:c r="V117" s="6"/>
      <x:c r="W117" s="6"/>
      <x:c r="X117" s="6"/>
      <x:c r="Y117" s="6"/>
      <x:c r="Z117" s="6"/>
      <x:c r="AA117" s="6"/>
      <x:c r="AB117" s="6"/>
      <x:c r="AC117" s="10"/>
      <x:c r="AD117" s="10"/>
      <x:c r="AE117" s="4" t="str">
        <x:f t="shared" si="12"/>
      </x:c>
      <x:c r="AF117" s="4" t="str">
        <x:f t="shared" si="13"/>
      </x:c>
      <x:c r="AG117" s="4" t="str">
        <x:f t="shared" si="14"/>
      </x:c>
      <x:c r="AH117" s="11">
        <x:f t="shared" si="15"/>
        <x:v>0</x:v>
      </x:c>
      <x:c r="AI117" s="4" t="str">
        <x:f t="shared" si="16"/>
      </x:c>
      <x:c r="AJ117" s="4">
        <x:f t="shared" si="17"/>
        <x:v>0</x:v>
      </x:c>
      <x:c r="AK117" s="4">
        <x:f t="shared" si="18"/>
        <x:v>0</x:v>
      </x:c>
      <x:c r="AL117" s="11">
        <x:f t="shared" si="19"/>
        <x:v>0</x:v>
      </x:c>
      <x:c r="AM117" s="6"/>
      <x:c r="AN117" s="6"/>
    </x:row>
    <x:row r="118">
      <x:c r="A118" s="3" t="str">
        <x:f t="shared" si="10"/>
      </x:c>
      <x:c r="B118" s="9"/>
      <x:c r="C118" s="36"/>
      <x:c r="D118" s="6"/>
      <x:c r="E118" s="3" t="str">
        <x:f>IF(D118="","",IFERROR(VLOOKUP(D118,'Base Sectores'!$A$5:$J$47,2,FALSE),""))</x:f>
      </x:c>
      <x:c r="F118" s="40" t="str">
        <x:f>IF(D118="","",IFERROR(VLOOKUP(D118,'Base Sectores'!$A$5:$J$47,3,FALSE),""))</x:f>
      </x:c>
      <x:c r="G118" s="3" t="str">
        <x:f>IF(D118="","",IFERROR(VLOOKUP(D118,'Base Sectores'!$A$5:$J$47,4,FALSE),""))</x:f>
      </x:c>
      <x:c r="H118" s="3" t="str">
        <x:f>IF(D118="","",IFERROR(VLOOKUP(D118,'Base Sectores'!$A$5:$J$47,5,FALSE),""))</x:f>
      </x:c>
      <x:c r="I118" s="3" t="str">
        <x:f>IF(D118="","",IFERROR(VLOOKUP(D118,'Base Sectores'!$A$5:$J$47,6,FALSE),""))</x:f>
      </x:c>
      <x:c r="J118" s="3" t="str">
        <x:f>IF(D118="","",IFERROR(VLOOKUP(D118,'Base Sectores'!$A$5:$J$47,7,FALSE),""))</x:f>
      </x:c>
      <x:c r="K118" s="3" t="str">
        <x:f>IF(D118="","",IFERROR(VLOOKUP(D118,'Base Sectores'!$A$5:$J$47,9,FALSE),""))</x:f>
      </x:c>
      <x:c r="L118" s="6"/>
      <x:c r="M118" s="3" t="str">
        <x:f>IF(L118="","",IFERROR(VLOOKUP(L118,Configuracion!$D$4:$H$15,2,FALSE),""))</x:f>
      </x:c>
      <x:c r="N118" s="3" t="str">
        <x:f>IF(L118="","",IFERROR(VLOOKUP(L118,Configuracion!$D$4:$H$15,3,FALSE),""))</x:f>
      </x:c>
      <x:c r="O118" s="6"/>
      <x:c r="P118" s="3" t="str">
        <x:f>IF(L118="","",IFERROR(VLOOKUP(L118,Configuracion!$D$4:$H$15,4,FALSE),0))</x:f>
      </x:c>
      <x:c r="Q118" s="10"/>
      <x:c r="R118" s="10"/>
      <x:c r="S118" s="4" t="str">
        <x:f t="shared" si="11"/>
      </x:c>
      <x:c r="T118" s="6"/>
      <x:c r="U118" s="6"/>
      <x:c r="V118" s="6"/>
      <x:c r="W118" s="6"/>
      <x:c r="X118" s="6"/>
      <x:c r="Y118" s="6"/>
      <x:c r="Z118" s="6"/>
      <x:c r="AA118" s="6"/>
      <x:c r="AB118" s="6"/>
      <x:c r="AC118" s="10"/>
      <x:c r="AD118" s="10"/>
      <x:c r="AE118" s="4" t="str">
        <x:f t="shared" si="12"/>
      </x:c>
      <x:c r="AF118" s="4" t="str">
        <x:f t="shared" si="13"/>
      </x:c>
      <x:c r="AG118" s="4" t="str">
        <x:f t="shared" si="14"/>
      </x:c>
      <x:c r="AH118" s="11">
        <x:f t="shared" si="15"/>
        <x:v>0</x:v>
      </x:c>
      <x:c r="AI118" s="4" t="str">
        <x:f t="shared" si="16"/>
      </x:c>
      <x:c r="AJ118" s="4">
        <x:f t="shared" si="17"/>
        <x:v>0</x:v>
      </x:c>
      <x:c r="AK118" s="4">
        <x:f t="shared" si="18"/>
        <x:v>0</x:v>
      </x:c>
      <x:c r="AL118" s="11">
        <x:f t="shared" si="19"/>
        <x:v>0</x:v>
      </x:c>
      <x:c r="AM118" s="6"/>
      <x:c r="AN118" s="6"/>
    </x:row>
    <x:row r="119">
      <x:c r="A119" s="3" t="str">
        <x:f t="shared" si="10"/>
      </x:c>
      <x:c r="B119" s="9"/>
      <x:c r="C119" s="36"/>
      <x:c r="D119" s="6"/>
      <x:c r="E119" s="3" t="str">
        <x:f>IF(D119="","",IFERROR(VLOOKUP(D119,'Base Sectores'!$A$5:$J$47,2,FALSE),""))</x:f>
      </x:c>
      <x:c r="F119" s="40" t="str">
        <x:f>IF(D119="","",IFERROR(VLOOKUP(D119,'Base Sectores'!$A$5:$J$47,3,FALSE),""))</x:f>
      </x:c>
      <x:c r="G119" s="3" t="str">
        <x:f>IF(D119="","",IFERROR(VLOOKUP(D119,'Base Sectores'!$A$5:$J$47,4,FALSE),""))</x:f>
      </x:c>
      <x:c r="H119" s="3" t="str">
        <x:f>IF(D119="","",IFERROR(VLOOKUP(D119,'Base Sectores'!$A$5:$J$47,5,FALSE),""))</x:f>
      </x:c>
      <x:c r="I119" s="3" t="str">
        <x:f>IF(D119="","",IFERROR(VLOOKUP(D119,'Base Sectores'!$A$5:$J$47,6,FALSE),""))</x:f>
      </x:c>
      <x:c r="J119" s="3" t="str">
        <x:f>IF(D119="","",IFERROR(VLOOKUP(D119,'Base Sectores'!$A$5:$J$47,7,FALSE),""))</x:f>
      </x:c>
      <x:c r="K119" s="3" t="str">
        <x:f>IF(D119="","",IFERROR(VLOOKUP(D119,'Base Sectores'!$A$5:$J$47,9,FALSE),""))</x:f>
      </x:c>
      <x:c r="L119" s="6"/>
      <x:c r="M119" s="3" t="str">
        <x:f>IF(L119="","",IFERROR(VLOOKUP(L119,Configuracion!$D$4:$H$15,2,FALSE),""))</x:f>
      </x:c>
      <x:c r="N119" s="3" t="str">
        <x:f>IF(L119="","",IFERROR(VLOOKUP(L119,Configuracion!$D$4:$H$15,3,FALSE),""))</x:f>
      </x:c>
      <x:c r="O119" s="6"/>
      <x:c r="P119" s="3" t="str">
        <x:f>IF(L119="","",IFERROR(VLOOKUP(L119,Configuracion!$D$4:$H$15,4,FALSE),0))</x:f>
      </x:c>
      <x:c r="Q119" s="10"/>
      <x:c r="R119" s="10"/>
      <x:c r="S119" s="4" t="str">
        <x:f t="shared" si="11"/>
      </x:c>
      <x:c r="T119" s="6"/>
      <x:c r="U119" s="6"/>
      <x:c r="V119" s="6"/>
      <x:c r="W119" s="6"/>
      <x:c r="X119" s="6"/>
      <x:c r="Y119" s="6"/>
      <x:c r="Z119" s="6"/>
      <x:c r="AA119" s="6"/>
      <x:c r="AB119" s="6"/>
      <x:c r="AC119" s="10"/>
      <x:c r="AD119" s="10"/>
      <x:c r="AE119" s="4" t="str">
        <x:f t="shared" si="12"/>
      </x:c>
      <x:c r="AF119" s="4" t="str">
        <x:f t="shared" si="13"/>
      </x:c>
      <x:c r="AG119" s="4" t="str">
        <x:f t="shared" si="14"/>
      </x:c>
      <x:c r="AH119" s="11">
        <x:f t="shared" si="15"/>
        <x:v>0</x:v>
      </x:c>
      <x:c r="AI119" s="4" t="str">
        <x:f t="shared" si="16"/>
      </x:c>
      <x:c r="AJ119" s="4">
        <x:f t="shared" si="17"/>
        <x:v>0</x:v>
      </x:c>
      <x:c r="AK119" s="4">
        <x:f t="shared" si="18"/>
        <x:v>0</x:v>
      </x:c>
      <x:c r="AL119" s="11">
        <x:f t="shared" si="19"/>
        <x:v>0</x:v>
      </x:c>
      <x:c r="AM119" s="6"/>
      <x:c r="AN119" s="6"/>
    </x:row>
    <x:row r="120">
      <x:c r="A120" s="3" t="str">
        <x:f t="shared" si="10"/>
      </x:c>
      <x:c r="B120" s="9"/>
      <x:c r="C120" s="36"/>
      <x:c r="D120" s="6"/>
      <x:c r="E120" s="3" t="str">
        <x:f>IF(D120="","",IFERROR(VLOOKUP(D120,'Base Sectores'!$A$5:$J$47,2,FALSE),""))</x:f>
      </x:c>
      <x:c r="F120" s="40" t="str">
        <x:f>IF(D120="","",IFERROR(VLOOKUP(D120,'Base Sectores'!$A$5:$J$47,3,FALSE),""))</x:f>
      </x:c>
      <x:c r="G120" s="3" t="str">
        <x:f>IF(D120="","",IFERROR(VLOOKUP(D120,'Base Sectores'!$A$5:$J$47,4,FALSE),""))</x:f>
      </x:c>
      <x:c r="H120" s="3" t="str">
        <x:f>IF(D120="","",IFERROR(VLOOKUP(D120,'Base Sectores'!$A$5:$J$47,5,FALSE),""))</x:f>
      </x:c>
      <x:c r="I120" s="3" t="str">
        <x:f>IF(D120="","",IFERROR(VLOOKUP(D120,'Base Sectores'!$A$5:$J$47,6,FALSE),""))</x:f>
      </x:c>
      <x:c r="J120" s="3" t="str">
        <x:f>IF(D120="","",IFERROR(VLOOKUP(D120,'Base Sectores'!$A$5:$J$47,7,FALSE),""))</x:f>
      </x:c>
      <x:c r="K120" s="3" t="str">
        <x:f>IF(D120="","",IFERROR(VLOOKUP(D120,'Base Sectores'!$A$5:$J$47,9,FALSE),""))</x:f>
      </x:c>
      <x:c r="L120" s="6"/>
      <x:c r="M120" s="3" t="str">
        <x:f>IF(L120="","",IFERROR(VLOOKUP(L120,Configuracion!$D$4:$H$15,2,FALSE),""))</x:f>
      </x:c>
      <x:c r="N120" s="3" t="str">
        <x:f>IF(L120="","",IFERROR(VLOOKUP(L120,Configuracion!$D$4:$H$15,3,FALSE),""))</x:f>
      </x:c>
      <x:c r="O120" s="6"/>
      <x:c r="P120" s="3" t="str">
        <x:f>IF(L120="","",IFERROR(VLOOKUP(L120,Configuracion!$D$4:$H$15,4,FALSE),0))</x:f>
      </x:c>
      <x:c r="Q120" s="10"/>
      <x:c r="R120" s="10"/>
      <x:c r="S120" s="4" t="str">
        <x:f t="shared" si="11"/>
      </x:c>
      <x:c r="T120" s="6"/>
      <x:c r="U120" s="6"/>
      <x:c r="V120" s="6"/>
      <x:c r="W120" s="6"/>
      <x:c r="X120" s="6"/>
      <x:c r="Y120" s="6"/>
      <x:c r="Z120" s="6"/>
      <x:c r="AA120" s="6"/>
      <x:c r="AB120" s="6"/>
      <x:c r="AC120" s="10"/>
      <x:c r="AD120" s="10"/>
      <x:c r="AE120" s="4" t="str">
        <x:f t="shared" si="12"/>
      </x:c>
      <x:c r="AF120" s="4" t="str">
        <x:f t="shared" si="13"/>
      </x:c>
      <x:c r="AG120" s="4" t="str">
        <x:f t="shared" si="14"/>
      </x:c>
      <x:c r="AH120" s="11">
        <x:f t="shared" si="15"/>
        <x:v>0</x:v>
      </x:c>
      <x:c r="AI120" s="4" t="str">
        <x:f t="shared" si="16"/>
      </x:c>
      <x:c r="AJ120" s="4">
        <x:f t="shared" si="17"/>
        <x:v>0</x:v>
      </x:c>
      <x:c r="AK120" s="4">
        <x:f t="shared" si="18"/>
        <x:v>0</x:v>
      </x:c>
      <x:c r="AL120" s="11">
        <x:f t="shared" si="19"/>
        <x:v>0</x:v>
      </x:c>
      <x:c r="AM120" s="6"/>
      <x:c r="AN120" s="6"/>
    </x:row>
    <x:row r="121">
      <x:c r="A121" s="3" t="str">
        <x:f t="shared" si="10"/>
      </x:c>
      <x:c r="B121" s="9"/>
      <x:c r="C121" s="36"/>
      <x:c r="D121" s="6"/>
      <x:c r="E121" s="3" t="str">
        <x:f>IF(D121="","",IFERROR(VLOOKUP(D121,'Base Sectores'!$A$5:$J$47,2,FALSE),""))</x:f>
      </x:c>
      <x:c r="F121" s="40" t="str">
        <x:f>IF(D121="","",IFERROR(VLOOKUP(D121,'Base Sectores'!$A$5:$J$47,3,FALSE),""))</x:f>
      </x:c>
      <x:c r="G121" s="3" t="str">
        <x:f>IF(D121="","",IFERROR(VLOOKUP(D121,'Base Sectores'!$A$5:$J$47,4,FALSE),""))</x:f>
      </x:c>
      <x:c r="H121" s="3" t="str">
        <x:f>IF(D121="","",IFERROR(VLOOKUP(D121,'Base Sectores'!$A$5:$J$47,5,FALSE),""))</x:f>
      </x:c>
      <x:c r="I121" s="3" t="str">
        <x:f>IF(D121="","",IFERROR(VLOOKUP(D121,'Base Sectores'!$A$5:$J$47,6,FALSE),""))</x:f>
      </x:c>
      <x:c r="J121" s="3" t="str">
        <x:f>IF(D121="","",IFERROR(VLOOKUP(D121,'Base Sectores'!$A$5:$J$47,7,FALSE),""))</x:f>
      </x:c>
      <x:c r="K121" s="3" t="str">
        <x:f>IF(D121="","",IFERROR(VLOOKUP(D121,'Base Sectores'!$A$5:$J$47,9,FALSE),""))</x:f>
      </x:c>
      <x:c r="L121" s="6"/>
      <x:c r="M121" s="3" t="str">
        <x:f>IF(L121="","",IFERROR(VLOOKUP(L121,Configuracion!$D$4:$H$15,2,FALSE),""))</x:f>
      </x:c>
      <x:c r="N121" s="3" t="str">
        <x:f>IF(L121="","",IFERROR(VLOOKUP(L121,Configuracion!$D$4:$H$15,3,FALSE),""))</x:f>
      </x:c>
      <x:c r="O121" s="6"/>
      <x:c r="P121" s="3" t="str">
        <x:f>IF(L121="","",IFERROR(VLOOKUP(L121,Configuracion!$D$4:$H$15,4,FALSE),0))</x:f>
      </x:c>
      <x:c r="Q121" s="10"/>
      <x:c r="R121" s="10"/>
      <x:c r="S121" s="4" t="str">
        <x:f t="shared" si="11"/>
      </x:c>
      <x:c r="T121" s="6"/>
      <x:c r="U121" s="6"/>
      <x:c r="V121" s="6"/>
      <x:c r="W121" s="6"/>
      <x:c r="X121" s="6"/>
      <x:c r="Y121" s="6"/>
      <x:c r="Z121" s="6"/>
      <x:c r="AA121" s="6"/>
      <x:c r="AB121" s="6"/>
      <x:c r="AC121" s="10"/>
      <x:c r="AD121" s="10"/>
      <x:c r="AE121" s="4" t="str">
        <x:f t="shared" si="12"/>
      </x:c>
      <x:c r="AF121" s="4" t="str">
        <x:f t="shared" si="13"/>
      </x:c>
      <x:c r="AG121" s="4" t="str">
        <x:f t="shared" si="14"/>
      </x:c>
      <x:c r="AH121" s="11">
        <x:f t="shared" si="15"/>
        <x:v>0</x:v>
      </x:c>
      <x:c r="AI121" s="4" t="str">
        <x:f t="shared" si="16"/>
      </x:c>
      <x:c r="AJ121" s="4">
        <x:f t="shared" si="17"/>
        <x:v>0</x:v>
      </x:c>
      <x:c r="AK121" s="4">
        <x:f t="shared" si="18"/>
        <x:v>0</x:v>
      </x:c>
      <x:c r="AL121" s="11">
        <x:f t="shared" si="19"/>
        <x:v>0</x:v>
      </x:c>
      <x:c r="AM121" s="6"/>
      <x:c r="AN121" s="6"/>
    </x:row>
    <x:row r="122">
      <x:c r="A122" s="3" t="str">
        <x:f t="shared" si="10"/>
      </x:c>
      <x:c r="B122" s="9"/>
      <x:c r="C122" s="36"/>
      <x:c r="D122" s="6"/>
      <x:c r="E122" s="3" t="str">
        <x:f>IF(D122="","",IFERROR(VLOOKUP(D122,'Base Sectores'!$A$5:$J$47,2,FALSE),""))</x:f>
      </x:c>
      <x:c r="F122" s="40" t="str">
        <x:f>IF(D122="","",IFERROR(VLOOKUP(D122,'Base Sectores'!$A$5:$J$47,3,FALSE),""))</x:f>
      </x:c>
      <x:c r="G122" s="3" t="str">
        <x:f>IF(D122="","",IFERROR(VLOOKUP(D122,'Base Sectores'!$A$5:$J$47,4,FALSE),""))</x:f>
      </x:c>
      <x:c r="H122" s="3" t="str">
        <x:f>IF(D122="","",IFERROR(VLOOKUP(D122,'Base Sectores'!$A$5:$J$47,5,FALSE),""))</x:f>
      </x:c>
      <x:c r="I122" s="3" t="str">
        <x:f>IF(D122="","",IFERROR(VLOOKUP(D122,'Base Sectores'!$A$5:$J$47,6,FALSE),""))</x:f>
      </x:c>
      <x:c r="J122" s="3" t="str">
        <x:f>IF(D122="","",IFERROR(VLOOKUP(D122,'Base Sectores'!$A$5:$J$47,7,FALSE),""))</x:f>
      </x:c>
      <x:c r="K122" s="3" t="str">
        <x:f>IF(D122="","",IFERROR(VLOOKUP(D122,'Base Sectores'!$A$5:$J$47,9,FALSE),""))</x:f>
      </x:c>
      <x:c r="L122" s="6"/>
      <x:c r="M122" s="3" t="str">
        <x:f>IF(L122="","",IFERROR(VLOOKUP(L122,Configuracion!$D$4:$H$15,2,FALSE),""))</x:f>
      </x:c>
      <x:c r="N122" s="3" t="str">
        <x:f>IF(L122="","",IFERROR(VLOOKUP(L122,Configuracion!$D$4:$H$15,3,FALSE),""))</x:f>
      </x:c>
      <x:c r="O122" s="6"/>
      <x:c r="P122" s="3" t="str">
        <x:f>IF(L122="","",IFERROR(VLOOKUP(L122,Configuracion!$D$4:$H$15,4,FALSE),0))</x:f>
      </x:c>
      <x:c r="Q122" s="10"/>
      <x:c r="R122" s="10"/>
      <x:c r="S122" s="4" t="str">
        <x:f t="shared" si="11"/>
      </x:c>
      <x:c r="T122" s="6"/>
      <x:c r="U122" s="6"/>
      <x:c r="V122" s="6"/>
      <x:c r="W122" s="6"/>
      <x:c r="X122" s="6"/>
      <x:c r="Y122" s="6"/>
      <x:c r="Z122" s="6"/>
      <x:c r="AA122" s="6"/>
      <x:c r="AB122" s="6"/>
      <x:c r="AC122" s="10"/>
      <x:c r="AD122" s="10"/>
      <x:c r="AE122" s="4" t="str">
        <x:f t="shared" si="12"/>
      </x:c>
      <x:c r="AF122" s="4" t="str">
        <x:f t="shared" si="13"/>
      </x:c>
      <x:c r="AG122" s="4" t="str">
        <x:f t="shared" si="14"/>
      </x:c>
      <x:c r="AH122" s="11">
        <x:f t="shared" si="15"/>
        <x:v>0</x:v>
      </x:c>
      <x:c r="AI122" s="4" t="str">
        <x:f t="shared" si="16"/>
      </x:c>
      <x:c r="AJ122" s="4">
        <x:f t="shared" si="17"/>
        <x:v>0</x:v>
      </x:c>
      <x:c r="AK122" s="4">
        <x:f t="shared" si="18"/>
        <x:v>0</x:v>
      </x:c>
      <x:c r="AL122" s="11">
        <x:f t="shared" si="19"/>
        <x:v>0</x:v>
      </x:c>
      <x:c r="AM122" s="6"/>
      <x:c r="AN122" s="6"/>
    </x:row>
    <x:row r="123">
      <x:c r="A123" s="3" t="str">
        <x:f t="shared" si="10"/>
      </x:c>
      <x:c r="B123" s="9"/>
      <x:c r="C123" s="36"/>
      <x:c r="D123" s="6"/>
      <x:c r="E123" s="3" t="str">
        <x:f>IF(D123="","",IFERROR(VLOOKUP(D123,'Base Sectores'!$A$5:$J$47,2,FALSE),""))</x:f>
      </x:c>
      <x:c r="F123" s="40" t="str">
        <x:f>IF(D123="","",IFERROR(VLOOKUP(D123,'Base Sectores'!$A$5:$J$47,3,FALSE),""))</x:f>
      </x:c>
      <x:c r="G123" s="3" t="str">
        <x:f>IF(D123="","",IFERROR(VLOOKUP(D123,'Base Sectores'!$A$5:$J$47,4,FALSE),""))</x:f>
      </x:c>
      <x:c r="H123" s="3" t="str">
        <x:f>IF(D123="","",IFERROR(VLOOKUP(D123,'Base Sectores'!$A$5:$J$47,5,FALSE),""))</x:f>
      </x:c>
      <x:c r="I123" s="3" t="str">
        <x:f>IF(D123="","",IFERROR(VLOOKUP(D123,'Base Sectores'!$A$5:$J$47,6,FALSE),""))</x:f>
      </x:c>
      <x:c r="J123" s="3" t="str">
        <x:f>IF(D123="","",IFERROR(VLOOKUP(D123,'Base Sectores'!$A$5:$J$47,7,FALSE),""))</x:f>
      </x:c>
      <x:c r="K123" s="3" t="str">
        <x:f>IF(D123="","",IFERROR(VLOOKUP(D123,'Base Sectores'!$A$5:$J$47,9,FALSE),""))</x:f>
      </x:c>
      <x:c r="L123" s="6"/>
      <x:c r="M123" s="3" t="str">
        <x:f>IF(L123="","",IFERROR(VLOOKUP(L123,Configuracion!$D$4:$H$15,2,FALSE),""))</x:f>
      </x:c>
      <x:c r="N123" s="3" t="str">
        <x:f>IF(L123="","",IFERROR(VLOOKUP(L123,Configuracion!$D$4:$H$15,3,FALSE),""))</x:f>
      </x:c>
      <x:c r="O123" s="6"/>
      <x:c r="P123" s="3" t="str">
        <x:f>IF(L123="","",IFERROR(VLOOKUP(L123,Configuracion!$D$4:$H$15,4,FALSE),0))</x:f>
      </x:c>
      <x:c r="Q123" s="10"/>
      <x:c r="R123" s="10"/>
      <x:c r="S123" s="4" t="str">
        <x:f t="shared" si="11"/>
      </x:c>
      <x:c r="T123" s="6"/>
      <x:c r="U123" s="6"/>
      <x:c r="V123" s="6"/>
      <x:c r="W123" s="6"/>
      <x:c r="X123" s="6"/>
      <x:c r="Y123" s="6"/>
      <x:c r="Z123" s="6"/>
      <x:c r="AA123" s="6"/>
      <x:c r="AB123" s="6"/>
      <x:c r="AC123" s="10"/>
      <x:c r="AD123" s="10"/>
      <x:c r="AE123" s="4" t="str">
        <x:f t="shared" si="12"/>
      </x:c>
      <x:c r="AF123" s="4" t="str">
        <x:f t="shared" si="13"/>
      </x:c>
      <x:c r="AG123" s="4" t="str">
        <x:f t="shared" si="14"/>
      </x:c>
      <x:c r="AH123" s="11">
        <x:f t="shared" si="15"/>
        <x:v>0</x:v>
      </x:c>
      <x:c r="AI123" s="4" t="str">
        <x:f t="shared" si="16"/>
      </x:c>
      <x:c r="AJ123" s="4">
        <x:f t="shared" si="17"/>
        <x:v>0</x:v>
      </x:c>
      <x:c r="AK123" s="4">
        <x:f t="shared" si="18"/>
        <x:v>0</x:v>
      </x:c>
      <x:c r="AL123" s="11">
        <x:f t="shared" si="19"/>
        <x:v>0</x:v>
      </x:c>
      <x:c r="AM123" s="6"/>
      <x:c r="AN123" s="6"/>
    </x:row>
    <x:row r="124">
      <x:c r="A124" s="3" t="str">
        <x:f t="shared" si="10"/>
      </x:c>
      <x:c r="B124" s="9"/>
      <x:c r="C124" s="36"/>
      <x:c r="D124" s="6"/>
      <x:c r="E124" s="3" t="str">
        <x:f>IF(D124="","",IFERROR(VLOOKUP(D124,'Base Sectores'!$A$5:$J$47,2,FALSE),""))</x:f>
      </x:c>
      <x:c r="F124" s="40" t="str">
        <x:f>IF(D124="","",IFERROR(VLOOKUP(D124,'Base Sectores'!$A$5:$J$47,3,FALSE),""))</x:f>
      </x:c>
      <x:c r="G124" s="3" t="str">
        <x:f>IF(D124="","",IFERROR(VLOOKUP(D124,'Base Sectores'!$A$5:$J$47,4,FALSE),""))</x:f>
      </x:c>
      <x:c r="H124" s="3" t="str">
        <x:f>IF(D124="","",IFERROR(VLOOKUP(D124,'Base Sectores'!$A$5:$J$47,5,FALSE),""))</x:f>
      </x:c>
      <x:c r="I124" s="3" t="str">
        <x:f>IF(D124="","",IFERROR(VLOOKUP(D124,'Base Sectores'!$A$5:$J$47,6,FALSE),""))</x:f>
      </x:c>
      <x:c r="J124" s="3" t="str">
        <x:f>IF(D124="","",IFERROR(VLOOKUP(D124,'Base Sectores'!$A$5:$J$47,7,FALSE),""))</x:f>
      </x:c>
      <x:c r="K124" s="3" t="str">
        <x:f>IF(D124="","",IFERROR(VLOOKUP(D124,'Base Sectores'!$A$5:$J$47,9,FALSE),""))</x:f>
      </x:c>
      <x:c r="L124" s="6"/>
      <x:c r="M124" s="3" t="str">
        <x:f>IF(L124="","",IFERROR(VLOOKUP(L124,Configuracion!$D$4:$H$15,2,FALSE),""))</x:f>
      </x:c>
      <x:c r="N124" s="3" t="str">
        <x:f>IF(L124="","",IFERROR(VLOOKUP(L124,Configuracion!$D$4:$H$15,3,FALSE),""))</x:f>
      </x:c>
      <x:c r="O124" s="6"/>
      <x:c r="P124" s="3" t="str">
        <x:f>IF(L124="","",IFERROR(VLOOKUP(L124,Configuracion!$D$4:$H$15,4,FALSE),0))</x:f>
      </x:c>
      <x:c r="Q124" s="10"/>
      <x:c r="R124" s="10"/>
      <x:c r="S124" s="4" t="str">
        <x:f t="shared" si="11"/>
      </x:c>
      <x:c r="T124" s="6"/>
      <x:c r="U124" s="6"/>
      <x:c r="V124" s="6"/>
      <x:c r="W124" s="6"/>
      <x:c r="X124" s="6"/>
      <x:c r="Y124" s="6"/>
      <x:c r="Z124" s="6"/>
      <x:c r="AA124" s="6"/>
      <x:c r="AB124" s="6"/>
      <x:c r="AC124" s="10"/>
      <x:c r="AD124" s="10"/>
      <x:c r="AE124" s="4" t="str">
        <x:f t="shared" si="12"/>
      </x:c>
      <x:c r="AF124" s="4" t="str">
        <x:f t="shared" si="13"/>
      </x:c>
      <x:c r="AG124" s="4" t="str">
        <x:f t="shared" si="14"/>
      </x:c>
      <x:c r="AH124" s="11">
        <x:f t="shared" si="15"/>
        <x:v>0</x:v>
      </x:c>
      <x:c r="AI124" s="4" t="str">
        <x:f t="shared" si="16"/>
      </x:c>
      <x:c r="AJ124" s="4">
        <x:f t="shared" si="17"/>
        <x:v>0</x:v>
      </x:c>
      <x:c r="AK124" s="4">
        <x:f t="shared" si="18"/>
        <x:v>0</x:v>
      </x:c>
      <x:c r="AL124" s="11">
        <x:f t="shared" si="19"/>
        <x:v>0</x:v>
      </x:c>
      <x:c r="AM124" s="6"/>
      <x:c r="AN124" s="6"/>
    </x:row>
    <x:row r="125">
      <x:c r="A125" s="3" t="str">
        <x:f t="shared" si="10"/>
      </x:c>
      <x:c r="B125" s="9"/>
      <x:c r="C125" s="36"/>
      <x:c r="D125" s="6"/>
      <x:c r="E125" s="3" t="str">
        <x:f>IF(D125="","",IFERROR(VLOOKUP(D125,'Base Sectores'!$A$5:$J$47,2,FALSE),""))</x:f>
      </x:c>
      <x:c r="F125" s="40" t="str">
        <x:f>IF(D125="","",IFERROR(VLOOKUP(D125,'Base Sectores'!$A$5:$J$47,3,FALSE),""))</x:f>
      </x:c>
      <x:c r="G125" s="3" t="str">
        <x:f>IF(D125="","",IFERROR(VLOOKUP(D125,'Base Sectores'!$A$5:$J$47,4,FALSE),""))</x:f>
      </x:c>
      <x:c r="H125" s="3" t="str">
        <x:f>IF(D125="","",IFERROR(VLOOKUP(D125,'Base Sectores'!$A$5:$J$47,5,FALSE),""))</x:f>
      </x:c>
      <x:c r="I125" s="3" t="str">
        <x:f>IF(D125="","",IFERROR(VLOOKUP(D125,'Base Sectores'!$A$5:$J$47,6,FALSE),""))</x:f>
      </x:c>
      <x:c r="J125" s="3" t="str">
        <x:f>IF(D125="","",IFERROR(VLOOKUP(D125,'Base Sectores'!$A$5:$J$47,7,FALSE),""))</x:f>
      </x:c>
      <x:c r="K125" s="3" t="str">
        <x:f>IF(D125="","",IFERROR(VLOOKUP(D125,'Base Sectores'!$A$5:$J$47,9,FALSE),""))</x:f>
      </x:c>
      <x:c r="L125" s="6"/>
      <x:c r="M125" s="3" t="str">
        <x:f>IF(L125="","",IFERROR(VLOOKUP(L125,Configuracion!$D$4:$H$15,2,FALSE),""))</x:f>
      </x:c>
      <x:c r="N125" s="3" t="str">
        <x:f>IF(L125="","",IFERROR(VLOOKUP(L125,Configuracion!$D$4:$H$15,3,FALSE),""))</x:f>
      </x:c>
      <x:c r="O125" s="6"/>
      <x:c r="P125" s="3" t="str">
        <x:f>IF(L125="","",IFERROR(VLOOKUP(L125,Configuracion!$D$4:$H$15,4,FALSE),0))</x:f>
      </x:c>
      <x:c r="Q125" s="10"/>
      <x:c r="R125" s="10"/>
      <x:c r="S125" s="4" t="str">
        <x:f t="shared" si="11"/>
      </x:c>
      <x:c r="T125" s="6"/>
      <x:c r="U125" s="6"/>
      <x:c r="V125" s="6"/>
      <x:c r="W125" s="6"/>
      <x:c r="X125" s="6"/>
      <x:c r="Y125" s="6"/>
      <x:c r="Z125" s="6"/>
      <x:c r="AA125" s="6"/>
      <x:c r="AB125" s="6"/>
      <x:c r="AC125" s="10"/>
      <x:c r="AD125" s="10"/>
      <x:c r="AE125" s="4" t="str">
        <x:f t="shared" si="12"/>
      </x:c>
      <x:c r="AF125" s="4" t="str">
        <x:f t="shared" si="13"/>
      </x:c>
      <x:c r="AG125" s="4" t="str">
        <x:f t="shared" si="14"/>
      </x:c>
      <x:c r="AH125" s="11">
        <x:f t="shared" si="15"/>
        <x:v>0</x:v>
      </x:c>
      <x:c r="AI125" s="4" t="str">
        <x:f t="shared" si="16"/>
      </x:c>
      <x:c r="AJ125" s="4">
        <x:f t="shared" si="17"/>
        <x:v>0</x:v>
      </x:c>
      <x:c r="AK125" s="4">
        <x:f t="shared" si="18"/>
        <x:v>0</x:v>
      </x:c>
      <x:c r="AL125" s="11">
        <x:f t="shared" si="19"/>
        <x:v>0</x:v>
      </x:c>
      <x:c r="AM125" s="6"/>
      <x:c r="AN125" s="6"/>
    </x:row>
    <x:row r="126">
      <x:c r="A126" s="3" t="str">
        <x:f t="shared" si="10"/>
      </x:c>
      <x:c r="B126" s="9"/>
      <x:c r="C126" s="36"/>
      <x:c r="D126" s="6"/>
      <x:c r="E126" s="3" t="str">
        <x:f>IF(D126="","",IFERROR(VLOOKUP(D126,'Base Sectores'!$A$5:$J$47,2,FALSE),""))</x:f>
      </x:c>
      <x:c r="F126" s="40" t="str">
        <x:f>IF(D126="","",IFERROR(VLOOKUP(D126,'Base Sectores'!$A$5:$J$47,3,FALSE),""))</x:f>
      </x:c>
      <x:c r="G126" s="3" t="str">
        <x:f>IF(D126="","",IFERROR(VLOOKUP(D126,'Base Sectores'!$A$5:$J$47,4,FALSE),""))</x:f>
      </x:c>
      <x:c r="H126" s="3" t="str">
        <x:f>IF(D126="","",IFERROR(VLOOKUP(D126,'Base Sectores'!$A$5:$J$47,5,FALSE),""))</x:f>
      </x:c>
      <x:c r="I126" s="3" t="str">
        <x:f>IF(D126="","",IFERROR(VLOOKUP(D126,'Base Sectores'!$A$5:$J$47,6,FALSE),""))</x:f>
      </x:c>
      <x:c r="J126" s="3" t="str">
        <x:f>IF(D126="","",IFERROR(VLOOKUP(D126,'Base Sectores'!$A$5:$J$47,7,FALSE),""))</x:f>
      </x:c>
      <x:c r="K126" s="3" t="str">
        <x:f>IF(D126="","",IFERROR(VLOOKUP(D126,'Base Sectores'!$A$5:$J$47,9,FALSE),""))</x:f>
      </x:c>
      <x:c r="L126" s="6"/>
      <x:c r="M126" s="3" t="str">
        <x:f>IF(L126="","",IFERROR(VLOOKUP(L126,Configuracion!$D$4:$H$15,2,FALSE),""))</x:f>
      </x:c>
      <x:c r="N126" s="3" t="str">
        <x:f>IF(L126="","",IFERROR(VLOOKUP(L126,Configuracion!$D$4:$H$15,3,FALSE),""))</x:f>
      </x:c>
      <x:c r="O126" s="6"/>
      <x:c r="P126" s="3" t="str">
        <x:f>IF(L126="","",IFERROR(VLOOKUP(L126,Configuracion!$D$4:$H$15,4,FALSE),0))</x:f>
      </x:c>
      <x:c r="Q126" s="10"/>
      <x:c r="R126" s="10"/>
      <x:c r="S126" s="4" t="str">
        <x:f t="shared" si="11"/>
      </x:c>
      <x:c r="T126" s="6"/>
      <x:c r="U126" s="6"/>
      <x:c r="V126" s="6"/>
      <x:c r="W126" s="6"/>
      <x:c r="X126" s="6"/>
      <x:c r="Y126" s="6"/>
      <x:c r="Z126" s="6"/>
      <x:c r="AA126" s="6"/>
      <x:c r="AB126" s="6"/>
      <x:c r="AC126" s="10"/>
      <x:c r="AD126" s="10"/>
      <x:c r="AE126" s="4" t="str">
        <x:f t="shared" si="12"/>
      </x:c>
      <x:c r="AF126" s="4" t="str">
        <x:f t="shared" si="13"/>
      </x:c>
      <x:c r="AG126" s="4" t="str">
        <x:f t="shared" si="14"/>
      </x:c>
      <x:c r="AH126" s="11">
        <x:f t="shared" si="15"/>
        <x:v>0</x:v>
      </x:c>
      <x:c r="AI126" s="4" t="str">
        <x:f t="shared" si="16"/>
      </x:c>
      <x:c r="AJ126" s="4">
        <x:f t="shared" si="17"/>
        <x:v>0</x:v>
      </x:c>
      <x:c r="AK126" s="4">
        <x:f t="shared" si="18"/>
        <x:v>0</x:v>
      </x:c>
      <x:c r="AL126" s="11">
        <x:f t="shared" si="19"/>
        <x:v>0</x:v>
      </x:c>
      <x:c r="AM126" s="6"/>
      <x:c r="AN126" s="6"/>
    </x:row>
    <x:row r="127">
      <x:c r="A127" s="3" t="str">
        <x:f t="shared" si="10"/>
      </x:c>
      <x:c r="B127" s="9"/>
      <x:c r="C127" s="36"/>
      <x:c r="D127" s="6"/>
      <x:c r="E127" s="3" t="str">
        <x:f>IF(D127="","",IFERROR(VLOOKUP(D127,'Base Sectores'!$A$5:$J$47,2,FALSE),""))</x:f>
      </x:c>
      <x:c r="F127" s="40" t="str">
        <x:f>IF(D127="","",IFERROR(VLOOKUP(D127,'Base Sectores'!$A$5:$J$47,3,FALSE),""))</x:f>
      </x:c>
      <x:c r="G127" s="3" t="str">
        <x:f>IF(D127="","",IFERROR(VLOOKUP(D127,'Base Sectores'!$A$5:$J$47,4,FALSE),""))</x:f>
      </x:c>
      <x:c r="H127" s="3" t="str">
        <x:f>IF(D127="","",IFERROR(VLOOKUP(D127,'Base Sectores'!$A$5:$J$47,5,FALSE),""))</x:f>
      </x:c>
      <x:c r="I127" s="3" t="str">
        <x:f>IF(D127="","",IFERROR(VLOOKUP(D127,'Base Sectores'!$A$5:$J$47,6,FALSE),""))</x:f>
      </x:c>
      <x:c r="J127" s="3" t="str">
        <x:f>IF(D127="","",IFERROR(VLOOKUP(D127,'Base Sectores'!$A$5:$J$47,7,FALSE),""))</x:f>
      </x:c>
      <x:c r="K127" s="3" t="str">
        <x:f>IF(D127="","",IFERROR(VLOOKUP(D127,'Base Sectores'!$A$5:$J$47,9,FALSE),""))</x:f>
      </x:c>
      <x:c r="L127" s="6"/>
      <x:c r="M127" s="3" t="str">
        <x:f>IF(L127="","",IFERROR(VLOOKUP(L127,Configuracion!$D$4:$H$15,2,FALSE),""))</x:f>
      </x:c>
      <x:c r="N127" s="3" t="str">
        <x:f>IF(L127="","",IFERROR(VLOOKUP(L127,Configuracion!$D$4:$H$15,3,FALSE),""))</x:f>
      </x:c>
      <x:c r="O127" s="6"/>
      <x:c r="P127" s="3" t="str">
        <x:f>IF(L127="","",IFERROR(VLOOKUP(L127,Configuracion!$D$4:$H$15,4,FALSE),0))</x:f>
      </x:c>
      <x:c r="Q127" s="10"/>
      <x:c r="R127" s="10"/>
      <x:c r="S127" s="4" t="str">
        <x:f t="shared" si="11"/>
      </x:c>
      <x:c r="T127" s="6"/>
      <x:c r="U127" s="6"/>
      <x:c r="V127" s="6"/>
      <x:c r="W127" s="6"/>
      <x:c r="X127" s="6"/>
      <x:c r="Y127" s="6"/>
      <x:c r="Z127" s="6"/>
      <x:c r="AA127" s="6"/>
      <x:c r="AB127" s="6"/>
      <x:c r="AC127" s="10"/>
      <x:c r="AD127" s="10"/>
      <x:c r="AE127" s="4" t="str">
        <x:f t="shared" si="12"/>
      </x:c>
      <x:c r="AF127" s="4" t="str">
        <x:f t="shared" si="13"/>
      </x:c>
      <x:c r="AG127" s="4" t="str">
        <x:f t="shared" si="14"/>
      </x:c>
      <x:c r="AH127" s="11">
        <x:f t="shared" si="15"/>
        <x:v>0</x:v>
      </x:c>
      <x:c r="AI127" s="4" t="str">
        <x:f t="shared" si="16"/>
      </x:c>
      <x:c r="AJ127" s="4">
        <x:f t="shared" si="17"/>
        <x:v>0</x:v>
      </x:c>
      <x:c r="AK127" s="4">
        <x:f t="shared" si="18"/>
        <x:v>0</x:v>
      </x:c>
      <x:c r="AL127" s="11">
        <x:f t="shared" si="19"/>
        <x:v>0</x:v>
      </x:c>
      <x:c r="AM127" s="6"/>
      <x:c r="AN127" s="6"/>
    </x:row>
    <x:row r="128">
      <x:c r="A128" s="3" t="str">
        <x:f t="shared" si="10"/>
      </x:c>
      <x:c r="B128" s="9"/>
      <x:c r="C128" s="36"/>
      <x:c r="D128" s="6"/>
      <x:c r="E128" s="3" t="str">
        <x:f>IF(D128="","",IFERROR(VLOOKUP(D128,'Base Sectores'!$A$5:$J$47,2,FALSE),""))</x:f>
      </x:c>
      <x:c r="F128" s="40" t="str">
        <x:f>IF(D128="","",IFERROR(VLOOKUP(D128,'Base Sectores'!$A$5:$J$47,3,FALSE),""))</x:f>
      </x:c>
      <x:c r="G128" s="3" t="str">
        <x:f>IF(D128="","",IFERROR(VLOOKUP(D128,'Base Sectores'!$A$5:$J$47,4,FALSE),""))</x:f>
      </x:c>
      <x:c r="H128" s="3" t="str">
        <x:f>IF(D128="","",IFERROR(VLOOKUP(D128,'Base Sectores'!$A$5:$J$47,5,FALSE),""))</x:f>
      </x:c>
      <x:c r="I128" s="3" t="str">
        <x:f>IF(D128="","",IFERROR(VLOOKUP(D128,'Base Sectores'!$A$5:$J$47,6,FALSE),""))</x:f>
      </x:c>
      <x:c r="J128" s="3" t="str">
        <x:f>IF(D128="","",IFERROR(VLOOKUP(D128,'Base Sectores'!$A$5:$J$47,7,FALSE),""))</x:f>
      </x:c>
      <x:c r="K128" s="3" t="str">
        <x:f>IF(D128="","",IFERROR(VLOOKUP(D128,'Base Sectores'!$A$5:$J$47,9,FALSE),""))</x:f>
      </x:c>
      <x:c r="L128" s="6"/>
      <x:c r="M128" s="3" t="str">
        <x:f>IF(L128="","",IFERROR(VLOOKUP(L128,Configuracion!$D$4:$H$15,2,FALSE),""))</x:f>
      </x:c>
      <x:c r="N128" s="3" t="str">
        <x:f>IF(L128="","",IFERROR(VLOOKUP(L128,Configuracion!$D$4:$H$15,3,FALSE),""))</x:f>
      </x:c>
      <x:c r="O128" s="6"/>
      <x:c r="P128" s="3" t="str">
        <x:f>IF(L128="","",IFERROR(VLOOKUP(L128,Configuracion!$D$4:$H$15,4,FALSE),0))</x:f>
      </x:c>
      <x:c r="Q128" s="10"/>
      <x:c r="R128" s="10"/>
      <x:c r="S128" s="4" t="str">
        <x:f t="shared" si="11"/>
      </x:c>
      <x:c r="T128" s="6"/>
      <x:c r="U128" s="6"/>
      <x:c r="V128" s="6"/>
      <x:c r="W128" s="6"/>
      <x:c r="X128" s="6"/>
      <x:c r="Y128" s="6"/>
      <x:c r="Z128" s="6"/>
      <x:c r="AA128" s="6"/>
      <x:c r="AB128" s="6"/>
      <x:c r="AC128" s="10"/>
      <x:c r="AD128" s="10"/>
      <x:c r="AE128" s="4" t="str">
        <x:f t="shared" si="12"/>
      </x:c>
      <x:c r="AF128" s="4" t="str">
        <x:f t="shared" si="13"/>
      </x:c>
      <x:c r="AG128" s="4" t="str">
        <x:f t="shared" si="14"/>
      </x:c>
      <x:c r="AH128" s="11">
        <x:f t="shared" si="15"/>
        <x:v>0</x:v>
      </x:c>
      <x:c r="AI128" s="4" t="str">
        <x:f t="shared" si="16"/>
      </x:c>
      <x:c r="AJ128" s="4">
        <x:f t="shared" si="17"/>
        <x:v>0</x:v>
      </x:c>
      <x:c r="AK128" s="4">
        <x:f t="shared" si="18"/>
        <x:v>0</x:v>
      </x:c>
      <x:c r="AL128" s="11">
        <x:f t="shared" si="19"/>
        <x:v>0</x:v>
      </x:c>
      <x:c r="AM128" s="6"/>
      <x:c r="AN128" s="6"/>
    </x:row>
    <x:row r="129">
      <x:c r="A129" s="3" t="str">
        <x:f t="shared" si="10"/>
      </x:c>
      <x:c r="B129" s="9"/>
      <x:c r="C129" s="36"/>
      <x:c r="D129" s="6"/>
      <x:c r="E129" s="3" t="str">
        <x:f>IF(D129="","",IFERROR(VLOOKUP(D129,'Base Sectores'!$A$5:$J$47,2,FALSE),""))</x:f>
      </x:c>
      <x:c r="F129" s="40" t="str">
        <x:f>IF(D129="","",IFERROR(VLOOKUP(D129,'Base Sectores'!$A$5:$J$47,3,FALSE),""))</x:f>
      </x:c>
      <x:c r="G129" s="3" t="str">
        <x:f>IF(D129="","",IFERROR(VLOOKUP(D129,'Base Sectores'!$A$5:$J$47,4,FALSE),""))</x:f>
      </x:c>
      <x:c r="H129" s="3" t="str">
        <x:f>IF(D129="","",IFERROR(VLOOKUP(D129,'Base Sectores'!$A$5:$J$47,5,FALSE),""))</x:f>
      </x:c>
      <x:c r="I129" s="3" t="str">
        <x:f>IF(D129="","",IFERROR(VLOOKUP(D129,'Base Sectores'!$A$5:$J$47,6,FALSE),""))</x:f>
      </x:c>
      <x:c r="J129" s="3" t="str">
        <x:f>IF(D129="","",IFERROR(VLOOKUP(D129,'Base Sectores'!$A$5:$J$47,7,FALSE),""))</x:f>
      </x:c>
      <x:c r="K129" s="3" t="str">
        <x:f>IF(D129="","",IFERROR(VLOOKUP(D129,'Base Sectores'!$A$5:$J$47,9,FALSE),""))</x:f>
      </x:c>
      <x:c r="L129" s="6"/>
      <x:c r="M129" s="3" t="str">
        <x:f>IF(L129="","",IFERROR(VLOOKUP(L129,Configuracion!$D$4:$H$15,2,FALSE),""))</x:f>
      </x:c>
      <x:c r="N129" s="3" t="str">
        <x:f>IF(L129="","",IFERROR(VLOOKUP(L129,Configuracion!$D$4:$H$15,3,FALSE),""))</x:f>
      </x:c>
      <x:c r="O129" s="6"/>
      <x:c r="P129" s="3" t="str">
        <x:f>IF(L129="","",IFERROR(VLOOKUP(L129,Configuracion!$D$4:$H$15,4,FALSE),0))</x:f>
      </x:c>
      <x:c r="Q129" s="10"/>
      <x:c r="R129" s="10"/>
      <x:c r="S129" s="4" t="str">
        <x:f t="shared" si="11"/>
      </x:c>
      <x:c r="T129" s="6"/>
      <x:c r="U129" s="6"/>
      <x:c r="V129" s="6"/>
      <x:c r="W129" s="6"/>
      <x:c r="X129" s="6"/>
      <x:c r="Y129" s="6"/>
      <x:c r="Z129" s="6"/>
      <x:c r="AA129" s="6"/>
      <x:c r="AB129" s="6"/>
      <x:c r="AC129" s="10"/>
      <x:c r="AD129" s="10"/>
      <x:c r="AE129" s="4" t="str">
        <x:f t="shared" si="12"/>
      </x:c>
      <x:c r="AF129" s="4" t="str">
        <x:f t="shared" si="13"/>
      </x:c>
      <x:c r="AG129" s="4" t="str">
        <x:f t="shared" si="14"/>
      </x:c>
      <x:c r="AH129" s="11">
        <x:f t="shared" si="15"/>
        <x:v>0</x:v>
      </x:c>
      <x:c r="AI129" s="4" t="str">
        <x:f t="shared" si="16"/>
      </x:c>
      <x:c r="AJ129" s="4">
        <x:f t="shared" si="17"/>
        <x:v>0</x:v>
      </x:c>
      <x:c r="AK129" s="4">
        <x:f t="shared" si="18"/>
        <x:v>0</x:v>
      </x:c>
      <x:c r="AL129" s="11">
        <x:f t="shared" si="19"/>
        <x:v>0</x:v>
      </x:c>
      <x:c r="AM129" s="6"/>
      <x:c r="AN129" s="6"/>
    </x:row>
    <x:row r="130">
      <x:c r="A130" s="3" t="str">
        <x:f t="shared" si="10"/>
      </x:c>
      <x:c r="B130" s="9"/>
      <x:c r="C130" s="36"/>
      <x:c r="D130" s="6"/>
      <x:c r="E130" s="3" t="str">
        <x:f>IF(D130="","",IFERROR(VLOOKUP(D130,'Base Sectores'!$A$5:$J$47,2,FALSE),""))</x:f>
      </x:c>
      <x:c r="F130" s="40" t="str">
        <x:f>IF(D130="","",IFERROR(VLOOKUP(D130,'Base Sectores'!$A$5:$J$47,3,FALSE),""))</x:f>
      </x:c>
      <x:c r="G130" s="3" t="str">
        <x:f>IF(D130="","",IFERROR(VLOOKUP(D130,'Base Sectores'!$A$5:$J$47,4,FALSE),""))</x:f>
      </x:c>
      <x:c r="H130" s="3" t="str">
        <x:f>IF(D130="","",IFERROR(VLOOKUP(D130,'Base Sectores'!$A$5:$J$47,5,FALSE),""))</x:f>
      </x:c>
      <x:c r="I130" s="3" t="str">
        <x:f>IF(D130="","",IFERROR(VLOOKUP(D130,'Base Sectores'!$A$5:$J$47,6,FALSE),""))</x:f>
      </x:c>
      <x:c r="J130" s="3" t="str">
        <x:f>IF(D130="","",IFERROR(VLOOKUP(D130,'Base Sectores'!$A$5:$J$47,7,FALSE),""))</x:f>
      </x:c>
      <x:c r="K130" s="3" t="str">
        <x:f>IF(D130="","",IFERROR(VLOOKUP(D130,'Base Sectores'!$A$5:$J$47,9,FALSE),""))</x:f>
      </x:c>
      <x:c r="L130" s="6"/>
      <x:c r="M130" s="3" t="str">
        <x:f>IF(L130="","",IFERROR(VLOOKUP(L130,Configuracion!$D$4:$H$15,2,FALSE),""))</x:f>
      </x:c>
      <x:c r="N130" s="3" t="str">
        <x:f>IF(L130="","",IFERROR(VLOOKUP(L130,Configuracion!$D$4:$H$15,3,FALSE),""))</x:f>
      </x:c>
      <x:c r="O130" s="6"/>
      <x:c r="P130" s="3" t="str">
        <x:f>IF(L130="","",IFERROR(VLOOKUP(L130,Configuracion!$D$4:$H$15,4,FALSE),0))</x:f>
      </x:c>
      <x:c r="Q130" s="10"/>
      <x:c r="R130" s="10"/>
      <x:c r="S130" s="4" t="str">
        <x:f t="shared" si="11"/>
      </x:c>
      <x:c r="T130" s="6"/>
      <x:c r="U130" s="6"/>
      <x:c r="V130" s="6"/>
      <x:c r="W130" s="6"/>
      <x:c r="X130" s="6"/>
      <x:c r="Y130" s="6"/>
      <x:c r="Z130" s="6"/>
      <x:c r="AA130" s="6"/>
      <x:c r="AB130" s="6"/>
      <x:c r="AC130" s="10"/>
      <x:c r="AD130" s="10"/>
      <x:c r="AE130" s="4" t="str">
        <x:f t="shared" si="12"/>
      </x:c>
      <x:c r="AF130" s="4" t="str">
        <x:f t="shared" si="13"/>
      </x:c>
      <x:c r="AG130" s="4" t="str">
        <x:f t="shared" si="14"/>
      </x:c>
      <x:c r="AH130" s="11">
        <x:f t="shared" si="15"/>
        <x:v>0</x:v>
      </x:c>
      <x:c r="AI130" s="4" t="str">
        <x:f t="shared" si="16"/>
      </x:c>
      <x:c r="AJ130" s="4">
        <x:f t="shared" si="17"/>
        <x:v>0</x:v>
      </x:c>
      <x:c r="AK130" s="4">
        <x:f t="shared" si="18"/>
        <x:v>0</x:v>
      </x:c>
      <x:c r="AL130" s="11">
        <x:f t="shared" si="19"/>
        <x:v>0</x:v>
      </x:c>
      <x:c r="AM130" s="6"/>
      <x:c r="AN130" s="6"/>
    </x:row>
    <x:row r="131">
      <x:c r="A131" s="3" t="str">
        <x:f t="shared" si="10"/>
      </x:c>
      <x:c r="B131" s="9"/>
      <x:c r="C131" s="36"/>
      <x:c r="D131" s="6"/>
      <x:c r="E131" s="3" t="str">
        <x:f>IF(D131="","",IFERROR(VLOOKUP(D131,'Base Sectores'!$A$5:$J$47,2,FALSE),""))</x:f>
      </x:c>
      <x:c r="F131" s="40" t="str">
        <x:f>IF(D131="","",IFERROR(VLOOKUP(D131,'Base Sectores'!$A$5:$J$47,3,FALSE),""))</x:f>
      </x:c>
      <x:c r="G131" s="3" t="str">
        <x:f>IF(D131="","",IFERROR(VLOOKUP(D131,'Base Sectores'!$A$5:$J$47,4,FALSE),""))</x:f>
      </x:c>
      <x:c r="H131" s="3" t="str">
        <x:f>IF(D131="","",IFERROR(VLOOKUP(D131,'Base Sectores'!$A$5:$J$47,5,FALSE),""))</x:f>
      </x:c>
      <x:c r="I131" s="3" t="str">
        <x:f>IF(D131="","",IFERROR(VLOOKUP(D131,'Base Sectores'!$A$5:$J$47,6,FALSE),""))</x:f>
      </x:c>
      <x:c r="J131" s="3" t="str">
        <x:f>IF(D131="","",IFERROR(VLOOKUP(D131,'Base Sectores'!$A$5:$J$47,7,FALSE),""))</x:f>
      </x:c>
      <x:c r="K131" s="3" t="str">
        <x:f>IF(D131="","",IFERROR(VLOOKUP(D131,'Base Sectores'!$A$5:$J$47,9,FALSE),""))</x:f>
      </x:c>
      <x:c r="L131" s="6"/>
      <x:c r="M131" s="3" t="str">
        <x:f>IF(L131="","",IFERROR(VLOOKUP(L131,Configuracion!$D$4:$H$15,2,FALSE),""))</x:f>
      </x:c>
      <x:c r="N131" s="3" t="str">
        <x:f>IF(L131="","",IFERROR(VLOOKUP(L131,Configuracion!$D$4:$H$15,3,FALSE),""))</x:f>
      </x:c>
      <x:c r="O131" s="6"/>
      <x:c r="P131" s="3" t="str">
        <x:f>IF(L131="","",IFERROR(VLOOKUP(L131,Configuracion!$D$4:$H$15,4,FALSE),0))</x:f>
      </x:c>
      <x:c r="Q131" s="10"/>
      <x:c r="R131" s="10"/>
      <x:c r="S131" s="4" t="str">
        <x:f t="shared" si="11"/>
      </x:c>
      <x:c r="T131" s="6"/>
      <x:c r="U131" s="6"/>
      <x:c r="V131" s="6"/>
      <x:c r="W131" s="6"/>
      <x:c r="X131" s="6"/>
      <x:c r="Y131" s="6"/>
      <x:c r="Z131" s="6"/>
      <x:c r="AA131" s="6"/>
      <x:c r="AB131" s="6"/>
      <x:c r="AC131" s="10"/>
      <x:c r="AD131" s="10"/>
      <x:c r="AE131" s="4" t="str">
        <x:f t="shared" si="12"/>
      </x:c>
      <x:c r="AF131" s="4" t="str">
        <x:f t="shared" si="13"/>
      </x:c>
      <x:c r="AG131" s="4" t="str">
        <x:f t="shared" si="14"/>
      </x:c>
      <x:c r="AH131" s="11">
        <x:f t="shared" si="15"/>
        <x:v>0</x:v>
      </x:c>
      <x:c r="AI131" s="4" t="str">
        <x:f t="shared" si="16"/>
      </x:c>
      <x:c r="AJ131" s="4">
        <x:f t="shared" si="17"/>
        <x:v>0</x:v>
      </x:c>
      <x:c r="AK131" s="4">
        <x:f t="shared" si="18"/>
        <x:v>0</x:v>
      </x:c>
      <x:c r="AL131" s="11">
        <x:f t="shared" si="19"/>
        <x:v>0</x:v>
      </x:c>
      <x:c r="AM131" s="6"/>
      <x:c r="AN131" s="6"/>
    </x:row>
    <x:row r="132">
      <x:c r="A132" s="3" t="str">
        <x:f t="shared" si="10"/>
      </x:c>
      <x:c r="B132" s="9"/>
      <x:c r="C132" s="36"/>
      <x:c r="D132" s="6"/>
      <x:c r="E132" s="3" t="str">
        <x:f>IF(D132="","",IFERROR(VLOOKUP(D132,'Base Sectores'!$A$5:$J$47,2,FALSE),""))</x:f>
      </x:c>
      <x:c r="F132" s="40" t="str">
        <x:f>IF(D132="","",IFERROR(VLOOKUP(D132,'Base Sectores'!$A$5:$J$47,3,FALSE),""))</x:f>
      </x:c>
      <x:c r="G132" s="3" t="str">
        <x:f>IF(D132="","",IFERROR(VLOOKUP(D132,'Base Sectores'!$A$5:$J$47,4,FALSE),""))</x:f>
      </x:c>
      <x:c r="H132" s="3" t="str">
        <x:f>IF(D132="","",IFERROR(VLOOKUP(D132,'Base Sectores'!$A$5:$J$47,5,FALSE),""))</x:f>
      </x:c>
      <x:c r="I132" s="3" t="str">
        <x:f>IF(D132="","",IFERROR(VLOOKUP(D132,'Base Sectores'!$A$5:$J$47,6,FALSE),""))</x:f>
      </x:c>
      <x:c r="J132" s="3" t="str">
        <x:f>IF(D132="","",IFERROR(VLOOKUP(D132,'Base Sectores'!$A$5:$J$47,7,FALSE),""))</x:f>
      </x:c>
      <x:c r="K132" s="3" t="str">
        <x:f>IF(D132="","",IFERROR(VLOOKUP(D132,'Base Sectores'!$A$5:$J$47,9,FALSE),""))</x:f>
      </x:c>
      <x:c r="L132" s="6"/>
      <x:c r="M132" s="3" t="str">
        <x:f>IF(L132="","",IFERROR(VLOOKUP(L132,Configuracion!$D$4:$H$15,2,FALSE),""))</x:f>
      </x:c>
      <x:c r="N132" s="3" t="str">
        <x:f>IF(L132="","",IFERROR(VLOOKUP(L132,Configuracion!$D$4:$H$15,3,FALSE),""))</x:f>
      </x:c>
      <x:c r="O132" s="6"/>
      <x:c r="P132" s="3" t="str">
        <x:f>IF(L132="","",IFERROR(VLOOKUP(L132,Configuracion!$D$4:$H$15,4,FALSE),0))</x:f>
      </x:c>
      <x:c r="Q132" s="10"/>
      <x:c r="R132" s="10"/>
      <x:c r="S132" s="4" t="str">
        <x:f t="shared" si="11"/>
      </x:c>
      <x:c r="T132" s="6"/>
      <x:c r="U132" s="6"/>
      <x:c r="V132" s="6"/>
      <x:c r="W132" s="6"/>
      <x:c r="X132" s="6"/>
      <x:c r="Y132" s="6"/>
      <x:c r="Z132" s="6"/>
      <x:c r="AA132" s="6"/>
      <x:c r="AB132" s="6"/>
      <x:c r="AC132" s="10"/>
      <x:c r="AD132" s="10"/>
      <x:c r="AE132" s="4" t="str">
        <x:f t="shared" si="12"/>
      </x:c>
      <x:c r="AF132" s="4" t="str">
        <x:f t="shared" si="13"/>
      </x:c>
      <x:c r="AG132" s="4" t="str">
        <x:f t="shared" si="14"/>
      </x:c>
      <x:c r="AH132" s="11">
        <x:f t="shared" si="15"/>
        <x:v>0</x:v>
      </x:c>
      <x:c r="AI132" s="4" t="str">
        <x:f t="shared" si="16"/>
      </x:c>
      <x:c r="AJ132" s="4">
        <x:f t="shared" si="17"/>
        <x:v>0</x:v>
      </x:c>
      <x:c r="AK132" s="4">
        <x:f t="shared" si="18"/>
        <x:v>0</x:v>
      </x:c>
      <x:c r="AL132" s="11">
        <x:f t="shared" si="19"/>
        <x:v>0</x:v>
      </x:c>
      <x:c r="AM132" s="6"/>
      <x:c r="AN132" s="6"/>
    </x:row>
    <x:row r="133">
      <x:c r="A133" s="3" t="str">
        <x:f t="shared" ref="A133:A196" si="20">IF(OR(B133="",C133=""),"",TEXT(B133,"yyyymmdd")&amp;"-"&amp;TEXT(C133,"00"))</x:f>
      </x:c>
      <x:c r="B133" s="9"/>
      <x:c r="C133" s="36"/>
      <x:c r="D133" s="6"/>
      <x:c r="E133" s="3" t="str">
        <x:f>IF(D133="","",IFERROR(VLOOKUP(D133,'Base Sectores'!$A$5:$J$47,2,FALSE),""))</x:f>
      </x:c>
      <x:c r="F133" s="40" t="str">
        <x:f>IF(D133="","",IFERROR(VLOOKUP(D133,'Base Sectores'!$A$5:$J$47,3,FALSE),""))</x:f>
      </x:c>
      <x:c r="G133" s="3" t="str">
        <x:f>IF(D133="","",IFERROR(VLOOKUP(D133,'Base Sectores'!$A$5:$J$47,4,FALSE),""))</x:f>
      </x:c>
      <x:c r="H133" s="3" t="str">
        <x:f>IF(D133="","",IFERROR(VLOOKUP(D133,'Base Sectores'!$A$5:$J$47,5,FALSE),""))</x:f>
      </x:c>
      <x:c r="I133" s="3" t="str">
        <x:f>IF(D133="","",IFERROR(VLOOKUP(D133,'Base Sectores'!$A$5:$J$47,6,FALSE),""))</x:f>
      </x:c>
      <x:c r="J133" s="3" t="str">
        <x:f>IF(D133="","",IFERROR(VLOOKUP(D133,'Base Sectores'!$A$5:$J$47,7,FALSE),""))</x:f>
      </x:c>
      <x:c r="K133" s="3" t="str">
        <x:f>IF(D133="","",IFERROR(VLOOKUP(D133,'Base Sectores'!$A$5:$J$47,9,FALSE),""))</x:f>
      </x:c>
      <x:c r="L133" s="6"/>
      <x:c r="M133" s="3" t="str">
        <x:f>IF(L133="","",IFERROR(VLOOKUP(L133,Configuracion!$D$4:$H$15,2,FALSE),""))</x:f>
      </x:c>
      <x:c r="N133" s="3" t="str">
        <x:f>IF(L133="","",IFERROR(VLOOKUP(L133,Configuracion!$D$4:$H$15,3,FALSE),""))</x:f>
      </x:c>
      <x:c r="O133" s="6"/>
      <x:c r="P133" s="3" t="str">
        <x:f>IF(L133="","",IFERROR(VLOOKUP(L133,Configuracion!$D$4:$H$15,4,FALSE),0))</x:f>
      </x:c>
      <x:c r="Q133" s="10"/>
      <x:c r="R133" s="10"/>
      <x:c r="S133" s="4" t="str">
        <x:f t="shared" ref="S133:S196" si="21">IF(OR(Q133="",R133=""),"",MOD(R133-Q133,1)*24)</x:f>
      </x:c>
      <x:c r="T133" s="6"/>
      <x:c r="U133" s="6"/>
      <x:c r="V133" s="6"/>
      <x:c r="W133" s="6"/>
      <x:c r="X133" s="6"/>
      <x:c r="Y133" s="6"/>
      <x:c r="Z133" s="6"/>
      <x:c r="AA133" s="6"/>
      <x:c r="AB133" s="6"/>
      <x:c r="AC133" s="10"/>
      <x:c r="AD133" s="10"/>
      <x:c r="AE133" s="4" t="str">
        <x:f t="shared" ref="AE133:AE196" si="22">IF(OR(AC133="",AD133=""),"",MOD(AD133-AC133,1)*24)</x:f>
      </x:c>
      <x:c r="AF133" s="4" t="str">
        <x:f t="shared" ref="AF133:AF196" si="23">IF(OR(S133="",U133=""),"",S133*U133)</x:f>
      </x:c>
      <x:c r="AG133" s="4" t="str">
        <x:f t="shared" ref="AG133:AG196" si="24">IF(OR(AE133="",U133=""),"",AE133*U133)</x:f>
      </x:c>
      <x:c r="AH133" s="11" t="n">
        <x:f t="shared" ref="AH133:AH196" si="25">IFERROR(AB133/O133,0)</x:f>
        <x:v>0</x:v>
      </x:c>
      <x:c r="AI133" s="4" t="str">
        <x:f t="shared" ref="AI133:AI196" si="26">IF(OR(S133="",AE133=""),"",AE133-S133)</x:f>
      </x:c>
      <x:c r="AJ133" s="4" t="n">
        <x:f t="shared" ref="AJ133:AJ196" si="27">IFERROR(O133/S133,0)</x:f>
        <x:v>0</x:v>
      </x:c>
      <x:c r="AK133" s="4" t="n">
        <x:f t="shared" ref="AK133:AK196" si="28">IFERROR(AB133/AE133,0)</x:f>
        <x:v>0</x:v>
      </x:c>
      <x:c r="AL133" s="11" t="n">
        <x:f t="shared" ref="AL133:AL196" si="29">IFERROR(AK133/AJ133,0)</x:f>
        <x:v>0</x:v>
      </x:c>
      <x:c r="AM133" s="6"/>
      <x:c r="AN133" s="6"/>
    </x:row>
    <x:row r="134">
      <x:c r="A134" s="3" t="str">
        <x:f t="shared" si="20"/>
      </x:c>
      <x:c r="B134" s="9"/>
      <x:c r="C134" s="36"/>
      <x:c r="D134" s="6"/>
      <x:c r="E134" s="3" t="str">
        <x:f>IF(D134="","",IFERROR(VLOOKUP(D134,'Base Sectores'!$A$5:$J$47,2,FALSE),""))</x:f>
      </x:c>
      <x:c r="F134" s="40" t="str">
        <x:f>IF(D134="","",IFERROR(VLOOKUP(D134,'Base Sectores'!$A$5:$J$47,3,FALSE),""))</x:f>
      </x:c>
      <x:c r="G134" s="3" t="str">
        <x:f>IF(D134="","",IFERROR(VLOOKUP(D134,'Base Sectores'!$A$5:$J$47,4,FALSE),""))</x:f>
      </x:c>
      <x:c r="H134" s="3" t="str">
        <x:f>IF(D134="","",IFERROR(VLOOKUP(D134,'Base Sectores'!$A$5:$J$47,5,FALSE),""))</x:f>
      </x:c>
      <x:c r="I134" s="3" t="str">
        <x:f>IF(D134="","",IFERROR(VLOOKUP(D134,'Base Sectores'!$A$5:$J$47,6,FALSE),""))</x:f>
      </x:c>
      <x:c r="J134" s="3" t="str">
        <x:f>IF(D134="","",IFERROR(VLOOKUP(D134,'Base Sectores'!$A$5:$J$47,7,FALSE),""))</x:f>
      </x:c>
      <x:c r="K134" s="3" t="str">
        <x:f>IF(D134="","",IFERROR(VLOOKUP(D134,'Base Sectores'!$A$5:$J$47,9,FALSE),""))</x:f>
      </x:c>
      <x:c r="L134" s="6"/>
      <x:c r="M134" s="3" t="str">
        <x:f>IF(L134="","",IFERROR(VLOOKUP(L134,Configuracion!$D$4:$H$15,2,FALSE),""))</x:f>
      </x:c>
      <x:c r="N134" s="3" t="str">
        <x:f>IF(L134="","",IFERROR(VLOOKUP(L134,Configuracion!$D$4:$H$15,3,FALSE),""))</x:f>
      </x:c>
      <x:c r="O134" s="6"/>
      <x:c r="P134" s="3" t="str">
        <x:f>IF(L134="","",IFERROR(VLOOKUP(L134,Configuracion!$D$4:$H$15,4,FALSE),0))</x:f>
      </x:c>
      <x:c r="Q134" s="10"/>
      <x:c r="R134" s="10"/>
      <x:c r="S134" s="4" t="str">
        <x:f t="shared" si="21"/>
      </x:c>
      <x:c r="T134" s="6"/>
      <x:c r="U134" s="6"/>
      <x:c r="V134" s="6"/>
      <x:c r="W134" s="6"/>
      <x:c r="X134" s="6"/>
      <x:c r="Y134" s="6"/>
      <x:c r="Z134" s="6"/>
      <x:c r="AA134" s="6"/>
      <x:c r="AB134" s="6"/>
      <x:c r="AC134" s="10"/>
      <x:c r="AD134" s="10"/>
      <x:c r="AE134" s="4" t="str">
        <x:f t="shared" si="22"/>
      </x:c>
      <x:c r="AF134" s="4" t="str">
        <x:f t="shared" si="23"/>
      </x:c>
      <x:c r="AG134" s="4" t="str">
        <x:f t="shared" si="24"/>
      </x:c>
      <x:c r="AH134" s="11">
        <x:f t="shared" si="25"/>
        <x:v>0</x:v>
      </x:c>
      <x:c r="AI134" s="4" t="str">
        <x:f t="shared" si="26"/>
      </x:c>
      <x:c r="AJ134" s="4">
        <x:f t="shared" si="27"/>
        <x:v>0</x:v>
      </x:c>
      <x:c r="AK134" s="4">
        <x:f t="shared" si="28"/>
        <x:v>0</x:v>
      </x:c>
      <x:c r="AL134" s="11">
        <x:f t="shared" si="29"/>
        <x:v>0</x:v>
      </x:c>
      <x:c r="AM134" s="6"/>
      <x:c r="AN134" s="6"/>
    </x:row>
    <x:row r="135">
      <x:c r="A135" s="3" t="str">
        <x:f t="shared" si="20"/>
      </x:c>
      <x:c r="B135" s="9"/>
      <x:c r="C135" s="36"/>
      <x:c r="D135" s="6"/>
      <x:c r="E135" s="3" t="str">
        <x:f>IF(D135="","",IFERROR(VLOOKUP(D135,'Base Sectores'!$A$5:$J$47,2,FALSE),""))</x:f>
      </x:c>
      <x:c r="F135" s="40" t="str">
        <x:f>IF(D135="","",IFERROR(VLOOKUP(D135,'Base Sectores'!$A$5:$J$47,3,FALSE),""))</x:f>
      </x:c>
      <x:c r="G135" s="3" t="str">
        <x:f>IF(D135="","",IFERROR(VLOOKUP(D135,'Base Sectores'!$A$5:$J$47,4,FALSE),""))</x:f>
      </x:c>
      <x:c r="H135" s="3" t="str">
        <x:f>IF(D135="","",IFERROR(VLOOKUP(D135,'Base Sectores'!$A$5:$J$47,5,FALSE),""))</x:f>
      </x:c>
      <x:c r="I135" s="3" t="str">
        <x:f>IF(D135="","",IFERROR(VLOOKUP(D135,'Base Sectores'!$A$5:$J$47,6,FALSE),""))</x:f>
      </x:c>
      <x:c r="J135" s="3" t="str">
        <x:f>IF(D135="","",IFERROR(VLOOKUP(D135,'Base Sectores'!$A$5:$J$47,7,FALSE),""))</x:f>
      </x:c>
      <x:c r="K135" s="3" t="str">
        <x:f>IF(D135="","",IFERROR(VLOOKUP(D135,'Base Sectores'!$A$5:$J$47,9,FALSE),""))</x:f>
      </x:c>
      <x:c r="L135" s="6"/>
      <x:c r="M135" s="3" t="str">
        <x:f>IF(L135="","",IFERROR(VLOOKUP(L135,Configuracion!$D$4:$H$15,2,FALSE),""))</x:f>
      </x:c>
      <x:c r="N135" s="3" t="str">
        <x:f>IF(L135="","",IFERROR(VLOOKUP(L135,Configuracion!$D$4:$H$15,3,FALSE),""))</x:f>
      </x:c>
      <x:c r="O135" s="6"/>
      <x:c r="P135" s="3" t="str">
        <x:f>IF(L135="","",IFERROR(VLOOKUP(L135,Configuracion!$D$4:$H$15,4,FALSE),0))</x:f>
      </x:c>
      <x:c r="Q135" s="10"/>
      <x:c r="R135" s="10"/>
      <x:c r="S135" s="4" t="str">
        <x:f t="shared" si="21"/>
      </x:c>
      <x:c r="T135" s="6"/>
      <x:c r="U135" s="6"/>
      <x:c r="V135" s="6"/>
      <x:c r="W135" s="6"/>
      <x:c r="X135" s="6"/>
      <x:c r="Y135" s="6"/>
      <x:c r="Z135" s="6"/>
      <x:c r="AA135" s="6"/>
      <x:c r="AB135" s="6"/>
      <x:c r="AC135" s="10"/>
      <x:c r="AD135" s="10"/>
      <x:c r="AE135" s="4" t="str">
        <x:f t="shared" si="22"/>
      </x:c>
      <x:c r="AF135" s="4" t="str">
        <x:f t="shared" si="23"/>
      </x:c>
      <x:c r="AG135" s="4" t="str">
        <x:f t="shared" si="24"/>
      </x:c>
      <x:c r="AH135" s="11">
        <x:f t="shared" si="25"/>
        <x:v>0</x:v>
      </x:c>
      <x:c r="AI135" s="4" t="str">
        <x:f t="shared" si="26"/>
      </x:c>
      <x:c r="AJ135" s="4">
        <x:f t="shared" si="27"/>
        <x:v>0</x:v>
      </x:c>
      <x:c r="AK135" s="4">
        <x:f t="shared" si="28"/>
        <x:v>0</x:v>
      </x:c>
      <x:c r="AL135" s="11">
        <x:f t="shared" si="29"/>
        <x:v>0</x:v>
      </x:c>
      <x:c r="AM135" s="6"/>
      <x:c r="AN135" s="6"/>
    </x:row>
    <x:row r="136">
      <x:c r="A136" s="3" t="str">
        <x:f t="shared" si="20"/>
      </x:c>
      <x:c r="B136" s="9"/>
      <x:c r="C136" s="36"/>
      <x:c r="D136" s="6"/>
      <x:c r="E136" s="3" t="str">
        <x:f>IF(D136="","",IFERROR(VLOOKUP(D136,'Base Sectores'!$A$5:$J$47,2,FALSE),""))</x:f>
      </x:c>
      <x:c r="F136" s="40" t="str">
        <x:f>IF(D136="","",IFERROR(VLOOKUP(D136,'Base Sectores'!$A$5:$J$47,3,FALSE),""))</x:f>
      </x:c>
      <x:c r="G136" s="3" t="str">
        <x:f>IF(D136="","",IFERROR(VLOOKUP(D136,'Base Sectores'!$A$5:$J$47,4,FALSE),""))</x:f>
      </x:c>
      <x:c r="H136" s="3" t="str">
        <x:f>IF(D136="","",IFERROR(VLOOKUP(D136,'Base Sectores'!$A$5:$J$47,5,FALSE),""))</x:f>
      </x:c>
      <x:c r="I136" s="3" t="str">
        <x:f>IF(D136="","",IFERROR(VLOOKUP(D136,'Base Sectores'!$A$5:$J$47,6,FALSE),""))</x:f>
      </x:c>
      <x:c r="J136" s="3" t="str">
        <x:f>IF(D136="","",IFERROR(VLOOKUP(D136,'Base Sectores'!$A$5:$J$47,7,FALSE),""))</x:f>
      </x:c>
      <x:c r="K136" s="3" t="str">
        <x:f>IF(D136="","",IFERROR(VLOOKUP(D136,'Base Sectores'!$A$5:$J$47,9,FALSE),""))</x:f>
      </x:c>
      <x:c r="L136" s="6"/>
      <x:c r="M136" s="3" t="str">
        <x:f>IF(L136="","",IFERROR(VLOOKUP(L136,Configuracion!$D$4:$H$15,2,FALSE),""))</x:f>
      </x:c>
      <x:c r="N136" s="3" t="str">
        <x:f>IF(L136="","",IFERROR(VLOOKUP(L136,Configuracion!$D$4:$H$15,3,FALSE),""))</x:f>
      </x:c>
      <x:c r="O136" s="6"/>
      <x:c r="P136" s="3" t="str">
        <x:f>IF(L136="","",IFERROR(VLOOKUP(L136,Configuracion!$D$4:$H$15,4,FALSE),0))</x:f>
      </x:c>
      <x:c r="Q136" s="10"/>
      <x:c r="R136" s="10"/>
      <x:c r="S136" s="4" t="str">
        <x:f t="shared" si="21"/>
      </x:c>
      <x:c r="T136" s="6"/>
      <x:c r="U136" s="6"/>
      <x:c r="V136" s="6"/>
      <x:c r="W136" s="6"/>
      <x:c r="X136" s="6"/>
      <x:c r="Y136" s="6"/>
      <x:c r="Z136" s="6"/>
      <x:c r="AA136" s="6"/>
      <x:c r="AB136" s="6"/>
      <x:c r="AC136" s="10"/>
      <x:c r="AD136" s="10"/>
      <x:c r="AE136" s="4" t="str">
        <x:f t="shared" si="22"/>
      </x:c>
      <x:c r="AF136" s="4" t="str">
        <x:f t="shared" si="23"/>
      </x:c>
      <x:c r="AG136" s="4" t="str">
        <x:f t="shared" si="24"/>
      </x:c>
      <x:c r="AH136" s="11">
        <x:f t="shared" si="25"/>
        <x:v>0</x:v>
      </x:c>
      <x:c r="AI136" s="4" t="str">
        <x:f t="shared" si="26"/>
      </x:c>
      <x:c r="AJ136" s="4">
        <x:f t="shared" si="27"/>
        <x:v>0</x:v>
      </x:c>
      <x:c r="AK136" s="4">
        <x:f t="shared" si="28"/>
        <x:v>0</x:v>
      </x:c>
      <x:c r="AL136" s="11">
        <x:f t="shared" si="29"/>
        <x:v>0</x:v>
      </x:c>
      <x:c r="AM136" s="6"/>
      <x:c r="AN136" s="6"/>
    </x:row>
    <x:row r="137">
      <x:c r="A137" s="3" t="str">
        <x:f t="shared" si="20"/>
      </x:c>
      <x:c r="B137" s="9"/>
      <x:c r="C137" s="36"/>
      <x:c r="D137" s="6"/>
      <x:c r="E137" s="3" t="str">
        <x:f>IF(D137="","",IFERROR(VLOOKUP(D137,'Base Sectores'!$A$5:$J$47,2,FALSE),""))</x:f>
      </x:c>
      <x:c r="F137" s="40" t="str">
        <x:f>IF(D137="","",IFERROR(VLOOKUP(D137,'Base Sectores'!$A$5:$J$47,3,FALSE),""))</x:f>
      </x:c>
      <x:c r="G137" s="3" t="str">
        <x:f>IF(D137="","",IFERROR(VLOOKUP(D137,'Base Sectores'!$A$5:$J$47,4,FALSE),""))</x:f>
      </x:c>
      <x:c r="H137" s="3" t="str">
        <x:f>IF(D137="","",IFERROR(VLOOKUP(D137,'Base Sectores'!$A$5:$J$47,5,FALSE),""))</x:f>
      </x:c>
      <x:c r="I137" s="3" t="str">
        <x:f>IF(D137="","",IFERROR(VLOOKUP(D137,'Base Sectores'!$A$5:$J$47,6,FALSE),""))</x:f>
      </x:c>
      <x:c r="J137" s="3" t="str">
        <x:f>IF(D137="","",IFERROR(VLOOKUP(D137,'Base Sectores'!$A$5:$J$47,7,FALSE),""))</x:f>
      </x:c>
      <x:c r="K137" s="3" t="str">
        <x:f>IF(D137="","",IFERROR(VLOOKUP(D137,'Base Sectores'!$A$5:$J$47,9,FALSE),""))</x:f>
      </x:c>
      <x:c r="L137" s="6"/>
      <x:c r="M137" s="3" t="str">
        <x:f>IF(L137="","",IFERROR(VLOOKUP(L137,Configuracion!$D$4:$H$15,2,FALSE),""))</x:f>
      </x:c>
      <x:c r="N137" s="3" t="str">
        <x:f>IF(L137="","",IFERROR(VLOOKUP(L137,Configuracion!$D$4:$H$15,3,FALSE),""))</x:f>
      </x:c>
      <x:c r="O137" s="6"/>
      <x:c r="P137" s="3" t="str">
        <x:f>IF(L137="","",IFERROR(VLOOKUP(L137,Configuracion!$D$4:$H$15,4,FALSE),0))</x:f>
      </x:c>
      <x:c r="Q137" s="10"/>
      <x:c r="R137" s="10"/>
      <x:c r="S137" s="4" t="str">
        <x:f t="shared" si="21"/>
      </x:c>
      <x:c r="T137" s="6"/>
      <x:c r="U137" s="6"/>
      <x:c r="V137" s="6"/>
      <x:c r="W137" s="6"/>
      <x:c r="X137" s="6"/>
      <x:c r="Y137" s="6"/>
      <x:c r="Z137" s="6"/>
      <x:c r="AA137" s="6"/>
      <x:c r="AB137" s="6"/>
      <x:c r="AC137" s="10"/>
      <x:c r="AD137" s="10"/>
      <x:c r="AE137" s="4" t="str">
        <x:f t="shared" si="22"/>
      </x:c>
      <x:c r="AF137" s="4" t="str">
        <x:f t="shared" si="23"/>
      </x:c>
      <x:c r="AG137" s="4" t="str">
        <x:f t="shared" si="24"/>
      </x:c>
      <x:c r="AH137" s="11">
        <x:f t="shared" si="25"/>
        <x:v>0</x:v>
      </x:c>
      <x:c r="AI137" s="4" t="str">
        <x:f t="shared" si="26"/>
      </x:c>
      <x:c r="AJ137" s="4">
        <x:f t="shared" si="27"/>
        <x:v>0</x:v>
      </x:c>
      <x:c r="AK137" s="4">
        <x:f t="shared" si="28"/>
        <x:v>0</x:v>
      </x:c>
      <x:c r="AL137" s="11">
        <x:f t="shared" si="29"/>
        <x:v>0</x:v>
      </x:c>
      <x:c r="AM137" s="6"/>
      <x:c r="AN137" s="6"/>
    </x:row>
    <x:row r="138">
      <x:c r="A138" s="3" t="str">
        <x:f t="shared" si="20"/>
      </x:c>
      <x:c r="B138" s="9"/>
      <x:c r="C138" s="36"/>
      <x:c r="D138" s="6"/>
      <x:c r="E138" s="3" t="str">
        <x:f>IF(D138="","",IFERROR(VLOOKUP(D138,'Base Sectores'!$A$5:$J$47,2,FALSE),""))</x:f>
      </x:c>
      <x:c r="F138" s="40" t="str">
        <x:f>IF(D138="","",IFERROR(VLOOKUP(D138,'Base Sectores'!$A$5:$J$47,3,FALSE),""))</x:f>
      </x:c>
      <x:c r="G138" s="3" t="str">
        <x:f>IF(D138="","",IFERROR(VLOOKUP(D138,'Base Sectores'!$A$5:$J$47,4,FALSE),""))</x:f>
      </x:c>
      <x:c r="H138" s="3" t="str">
        <x:f>IF(D138="","",IFERROR(VLOOKUP(D138,'Base Sectores'!$A$5:$J$47,5,FALSE),""))</x:f>
      </x:c>
      <x:c r="I138" s="3" t="str">
        <x:f>IF(D138="","",IFERROR(VLOOKUP(D138,'Base Sectores'!$A$5:$J$47,6,FALSE),""))</x:f>
      </x:c>
      <x:c r="J138" s="3" t="str">
        <x:f>IF(D138="","",IFERROR(VLOOKUP(D138,'Base Sectores'!$A$5:$J$47,7,FALSE),""))</x:f>
      </x:c>
      <x:c r="K138" s="3" t="str">
        <x:f>IF(D138="","",IFERROR(VLOOKUP(D138,'Base Sectores'!$A$5:$J$47,9,FALSE),""))</x:f>
      </x:c>
      <x:c r="L138" s="6"/>
      <x:c r="M138" s="3" t="str">
        <x:f>IF(L138="","",IFERROR(VLOOKUP(L138,Configuracion!$D$4:$H$15,2,FALSE),""))</x:f>
      </x:c>
      <x:c r="N138" s="3" t="str">
        <x:f>IF(L138="","",IFERROR(VLOOKUP(L138,Configuracion!$D$4:$H$15,3,FALSE),""))</x:f>
      </x:c>
      <x:c r="O138" s="6"/>
      <x:c r="P138" s="3" t="str">
        <x:f>IF(L138="","",IFERROR(VLOOKUP(L138,Configuracion!$D$4:$H$15,4,FALSE),0))</x:f>
      </x:c>
      <x:c r="Q138" s="10"/>
      <x:c r="R138" s="10"/>
      <x:c r="S138" s="4" t="str">
        <x:f t="shared" si="21"/>
      </x:c>
      <x:c r="T138" s="6"/>
      <x:c r="U138" s="6"/>
      <x:c r="V138" s="6"/>
      <x:c r="W138" s="6"/>
      <x:c r="X138" s="6"/>
      <x:c r="Y138" s="6"/>
      <x:c r="Z138" s="6"/>
      <x:c r="AA138" s="6"/>
      <x:c r="AB138" s="6"/>
      <x:c r="AC138" s="10"/>
      <x:c r="AD138" s="10"/>
      <x:c r="AE138" s="4" t="str">
        <x:f t="shared" si="22"/>
      </x:c>
      <x:c r="AF138" s="4" t="str">
        <x:f t="shared" si="23"/>
      </x:c>
      <x:c r="AG138" s="4" t="str">
        <x:f t="shared" si="24"/>
      </x:c>
      <x:c r="AH138" s="11">
        <x:f t="shared" si="25"/>
        <x:v>0</x:v>
      </x:c>
      <x:c r="AI138" s="4" t="str">
        <x:f t="shared" si="26"/>
      </x:c>
      <x:c r="AJ138" s="4">
        <x:f t="shared" si="27"/>
        <x:v>0</x:v>
      </x:c>
      <x:c r="AK138" s="4">
        <x:f t="shared" si="28"/>
        <x:v>0</x:v>
      </x:c>
      <x:c r="AL138" s="11">
        <x:f t="shared" si="29"/>
        <x:v>0</x:v>
      </x:c>
      <x:c r="AM138" s="6"/>
      <x:c r="AN138" s="6"/>
    </x:row>
    <x:row r="139">
      <x:c r="A139" s="3" t="str">
        <x:f t="shared" si="20"/>
      </x:c>
      <x:c r="B139" s="9"/>
      <x:c r="C139" s="36"/>
      <x:c r="D139" s="6"/>
      <x:c r="E139" s="3" t="str">
        <x:f>IF(D139="","",IFERROR(VLOOKUP(D139,'Base Sectores'!$A$5:$J$47,2,FALSE),""))</x:f>
      </x:c>
      <x:c r="F139" s="40" t="str">
        <x:f>IF(D139="","",IFERROR(VLOOKUP(D139,'Base Sectores'!$A$5:$J$47,3,FALSE),""))</x:f>
      </x:c>
      <x:c r="G139" s="3" t="str">
        <x:f>IF(D139="","",IFERROR(VLOOKUP(D139,'Base Sectores'!$A$5:$J$47,4,FALSE),""))</x:f>
      </x:c>
      <x:c r="H139" s="3" t="str">
        <x:f>IF(D139="","",IFERROR(VLOOKUP(D139,'Base Sectores'!$A$5:$J$47,5,FALSE),""))</x:f>
      </x:c>
      <x:c r="I139" s="3" t="str">
        <x:f>IF(D139="","",IFERROR(VLOOKUP(D139,'Base Sectores'!$A$5:$J$47,6,FALSE),""))</x:f>
      </x:c>
      <x:c r="J139" s="3" t="str">
        <x:f>IF(D139="","",IFERROR(VLOOKUP(D139,'Base Sectores'!$A$5:$J$47,7,FALSE),""))</x:f>
      </x:c>
      <x:c r="K139" s="3" t="str">
        <x:f>IF(D139="","",IFERROR(VLOOKUP(D139,'Base Sectores'!$A$5:$J$47,9,FALSE),""))</x:f>
      </x:c>
      <x:c r="L139" s="6"/>
      <x:c r="M139" s="3" t="str">
        <x:f>IF(L139="","",IFERROR(VLOOKUP(L139,Configuracion!$D$4:$H$15,2,FALSE),""))</x:f>
      </x:c>
      <x:c r="N139" s="3" t="str">
        <x:f>IF(L139="","",IFERROR(VLOOKUP(L139,Configuracion!$D$4:$H$15,3,FALSE),""))</x:f>
      </x:c>
      <x:c r="O139" s="6"/>
      <x:c r="P139" s="3" t="str">
        <x:f>IF(L139="","",IFERROR(VLOOKUP(L139,Configuracion!$D$4:$H$15,4,FALSE),0))</x:f>
      </x:c>
      <x:c r="Q139" s="10"/>
      <x:c r="R139" s="10"/>
      <x:c r="S139" s="4" t="str">
        <x:f t="shared" si="21"/>
      </x:c>
      <x:c r="T139" s="6"/>
      <x:c r="U139" s="6"/>
      <x:c r="V139" s="6"/>
      <x:c r="W139" s="6"/>
      <x:c r="X139" s="6"/>
      <x:c r="Y139" s="6"/>
      <x:c r="Z139" s="6"/>
      <x:c r="AA139" s="6"/>
      <x:c r="AB139" s="6"/>
      <x:c r="AC139" s="10"/>
      <x:c r="AD139" s="10"/>
      <x:c r="AE139" s="4" t="str">
        <x:f t="shared" si="22"/>
      </x:c>
      <x:c r="AF139" s="4" t="str">
        <x:f t="shared" si="23"/>
      </x:c>
      <x:c r="AG139" s="4" t="str">
        <x:f t="shared" si="24"/>
      </x:c>
      <x:c r="AH139" s="11">
        <x:f t="shared" si="25"/>
        <x:v>0</x:v>
      </x:c>
      <x:c r="AI139" s="4" t="str">
        <x:f t="shared" si="26"/>
      </x:c>
      <x:c r="AJ139" s="4">
        <x:f t="shared" si="27"/>
        <x:v>0</x:v>
      </x:c>
      <x:c r="AK139" s="4">
        <x:f t="shared" si="28"/>
        <x:v>0</x:v>
      </x:c>
      <x:c r="AL139" s="11">
        <x:f t="shared" si="29"/>
        <x:v>0</x:v>
      </x:c>
      <x:c r="AM139" s="6"/>
      <x:c r="AN139" s="6"/>
    </x:row>
    <x:row r="140">
      <x:c r="A140" s="3" t="str">
        <x:f t="shared" si="20"/>
      </x:c>
      <x:c r="B140" s="9"/>
      <x:c r="C140" s="36"/>
      <x:c r="D140" s="6"/>
      <x:c r="E140" s="3" t="str">
        <x:f>IF(D140="","",IFERROR(VLOOKUP(D140,'Base Sectores'!$A$5:$J$47,2,FALSE),""))</x:f>
      </x:c>
      <x:c r="F140" s="40" t="str">
        <x:f>IF(D140="","",IFERROR(VLOOKUP(D140,'Base Sectores'!$A$5:$J$47,3,FALSE),""))</x:f>
      </x:c>
      <x:c r="G140" s="3" t="str">
        <x:f>IF(D140="","",IFERROR(VLOOKUP(D140,'Base Sectores'!$A$5:$J$47,4,FALSE),""))</x:f>
      </x:c>
      <x:c r="H140" s="3" t="str">
        <x:f>IF(D140="","",IFERROR(VLOOKUP(D140,'Base Sectores'!$A$5:$J$47,5,FALSE),""))</x:f>
      </x:c>
      <x:c r="I140" s="3" t="str">
        <x:f>IF(D140="","",IFERROR(VLOOKUP(D140,'Base Sectores'!$A$5:$J$47,6,FALSE),""))</x:f>
      </x:c>
      <x:c r="J140" s="3" t="str">
        <x:f>IF(D140="","",IFERROR(VLOOKUP(D140,'Base Sectores'!$A$5:$J$47,7,FALSE),""))</x:f>
      </x:c>
      <x:c r="K140" s="3" t="str">
        <x:f>IF(D140="","",IFERROR(VLOOKUP(D140,'Base Sectores'!$A$5:$J$47,9,FALSE),""))</x:f>
      </x:c>
      <x:c r="L140" s="6"/>
      <x:c r="M140" s="3" t="str">
        <x:f>IF(L140="","",IFERROR(VLOOKUP(L140,Configuracion!$D$4:$H$15,2,FALSE),""))</x:f>
      </x:c>
      <x:c r="N140" s="3" t="str">
        <x:f>IF(L140="","",IFERROR(VLOOKUP(L140,Configuracion!$D$4:$H$15,3,FALSE),""))</x:f>
      </x:c>
      <x:c r="O140" s="6"/>
      <x:c r="P140" s="3" t="str">
        <x:f>IF(L140="","",IFERROR(VLOOKUP(L140,Configuracion!$D$4:$H$15,4,FALSE),0))</x:f>
      </x:c>
      <x:c r="Q140" s="10"/>
      <x:c r="R140" s="10"/>
      <x:c r="S140" s="4" t="str">
        <x:f t="shared" si="21"/>
      </x:c>
      <x:c r="T140" s="6"/>
      <x:c r="U140" s="6"/>
      <x:c r="V140" s="6"/>
      <x:c r="W140" s="6"/>
      <x:c r="X140" s="6"/>
      <x:c r="Y140" s="6"/>
      <x:c r="Z140" s="6"/>
      <x:c r="AA140" s="6"/>
      <x:c r="AB140" s="6"/>
      <x:c r="AC140" s="10"/>
      <x:c r="AD140" s="10"/>
      <x:c r="AE140" s="4" t="str">
        <x:f t="shared" si="22"/>
      </x:c>
      <x:c r="AF140" s="4" t="str">
        <x:f t="shared" si="23"/>
      </x:c>
      <x:c r="AG140" s="4" t="str">
        <x:f t="shared" si="24"/>
      </x:c>
      <x:c r="AH140" s="11">
        <x:f t="shared" si="25"/>
        <x:v>0</x:v>
      </x:c>
      <x:c r="AI140" s="4" t="str">
        <x:f t="shared" si="26"/>
      </x:c>
      <x:c r="AJ140" s="4">
        <x:f t="shared" si="27"/>
        <x:v>0</x:v>
      </x:c>
      <x:c r="AK140" s="4">
        <x:f t="shared" si="28"/>
        <x:v>0</x:v>
      </x:c>
      <x:c r="AL140" s="11">
        <x:f t="shared" si="29"/>
        <x:v>0</x:v>
      </x:c>
      <x:c r="AM140" s="6"/>
      <x:c r="AN140" s="6"/>
    </x:row>
    <x:row r="141">
      <x:c r="A141" s="3" t="str">
        <x:f t="shared" si="20"/>
      </x:c>
      <x:c r="B141" s="9"/>
      <x:c r="C141" s="36"/>
      <x:c r="D141" s="6"/>
      <x:c r="E141" s="3" t="str">
        <x:f>IF(D141="","",IFERROR(VLOOKUP(D141,'Base Sectores'!$A$5:$J$47,2,FALSE),""))</x:f>
      </x:c>
      <x:c r="F141" s="40" t="str">
        <x:f>IF(D141="","",IFERROR(VLOOKUP(D141,'Base Sectores'!$A$5:$J$47,3,FALSE),""))</x:f>
      </x:c>
      <x:c r="G141" s="3" t="str">
        <x:f>IF(D141="","",IFERROR(VLOOKUP(D141,'Base Sectores'!$A$5:$J$47,4,FALSE),""))</x:f>
      </x:c>
      <x:c r="H141" s="3" t="str">
        <x:f>IF(D141="","",IFERROR(VLOOKUP(D141,'Base Sectores'!$A$5:$J$47,5,FALSE),""))</x:f>
      </x:c>
      <x:c r="I141" s="3" t="str">
        <x:f>IF(D141="","",IFERROR(VLOOKUP(D141,'Base Sectores'!$A$5:$J$47,6,FALSE),""))</x:f>
      </x:c>
      <x:c r="J141" s="3" t="str">
        <x:f>IF(D141="","",IFERROR(VLOOKUP(D141,'Base Sectores'!$A$5:$J$47,7,FALSE),""))</x:f>
      </x:c>
      <x:c r="K141" s="3" t="str">
        <x:f>IF(D141="","",IFERROR(VLOOKUP(D141,'Base Sectores'!$A$5:$J$47,9,FALSE),""))</x:f>
      </x:c>
      <x:c r="L141" s="6"/>
      <x:c r="M141" s="3" t="str">
        <x:f>IF(L141="","",IFERROR(VLOOKUP(L141,Configuracion!$D$4:$H$15,2,FALSE),""))</x:f>
      </x:c>
      <x:c r="N141" s="3" t="str">
        <x:f>IF(L141="","",IFERROR(VLOOKUP(L141,Configuracion!$D$4:$H$15,3,FALSE),""))</x:f>
      </x:c>
      <x:c r="O141" s="6"/>
      <x:c r="P141" s="3" t="str">
        <x:f>IF(L141="","",IFERROR(VLOOKUP(L141,Configuracion!$D$4:$H$15,4,FALSE),0))</x:f>
      </x:c>
      <x:c r="Q141" s="10"/>
      <x:c r="R141" s="10"/>
      <x:c r="S141" s="4" t="str">
        <x:f t="shared" si="21"/>
      </x:c>
      <x:c r="T141" s="6"/>
      <x:c r="U141" s="6"/>
      <x:c r="V141" s="6"/>
      <x:c r="W141" s="6"/>
      <x:c r="X141" s="6"/>
      <x:c r="Y141" s="6"/>
      <x:c r="Z141" s="6"/>
      <x:c r="AA141" s="6"/>
      <x:c r="AB141" s="6"/>
      <x:c r="AC141" s="10"/>
      <x:c r="AD141" s="10"/>
      <x:c r="AE141" s="4" t="str">
        <x:f t="shared" si="22"/>
      </x:c>
      <x:c r="AF141" s="4" t="str">
        <x:f t="shared" si="23"/>
      </x:c>
      <x:c r="AG141" s="4" t="str">
        <x:f t="shared" si="24"/>
      </x:c>
      <x:c r="AH141" s="11">
        <x:f t="shared" si="25"/>
        <x:v>0</x:v>
      </x:c>
      <x:c r="AI141" s="4" t="str">
        <x:f t="shared" si="26"/>
      </x:c>
      <x:c r="AJ141" s="4">
        <x:f t="shared" si="27"/>
        <x:v>0</x:v>
      </x:c>
      <x:c r="AK141" s="4">
        <x:f t="shared" si="28"/>
        <x:v>0</x:v>
      </x:c>
      <x:c r="AL141" s="11">
        <x:f t="shared" si="29"/>
        <x:v>0</x:v>
      </x:c>
      <x:c r="AM141" s="6"/>
      <x:c r="AN141" s="6"/>
    </x:row>
    <x:row r="142">
      <x:c r="A142" s="3" t="str">
        <x:f t="shared" si="20"/>
      </x:c>
      <x:c r="B142" s="9"/>
      <x:c r="C142" s="36"/>
      <x:c r="D142" s="6"/>
      <x:c r="E142" s="3" t="str">
        <x:f>IF(D142="","",IFERROR(VLOOKUP(D142,'Base Sectores'!$A$5:$J$47,2,FALSE),""))</x:f>
      </x:c>
      <x:c r="F142" s="40" t="str">
        <x:f>IF(D142="","",IFERROR(VLOOKUP(D142,'Base Sectores'!$A$5:$J$47,3,FALSE),""))</x:f>
      </x:c>
      <x:c r="G142" s="3" t="str">
        <x:f>IF(D142="","",IFERROR(VLOOKUP(D142,'Base Sectores'!$A$5:$J$47,4,FALSE),""))</x:f>
      </x:c>
      <x:c r="H142" s="3" t="str">
        <x:f>IF(D142="","",IFERROR(VLOOKUP(D142,'Base Sectores'!$A$5:$J$47,5,FALSE),""))</x:f>
      </x:c>
      <x:c r="I142" s="3" t="str">
        <x:f>IF(D142="","",IFERROR(VLOOKUP(D142,'Base Sectores'!$A$5:$J$47,6,FALSE),""))</x:f>
      </x:c>
      <x:c r="J142" s="3" t="str">
        <x:f>IF(D142="","",IFERROR(VLOOKUP(D142,'Base Sectores'!$A$5:$J$47,7,FALSE),""))</x:f>
      </x:c>
      <x:c r="K142" s="3" t="str">
        <x:f>IF(D142="","",IFERROR(VLOOKUP(D142,'Base Sectores'!$A$5:$J$47,9,FALSE),""))</x:f>
      </x:c>
      <x:c r="L142" s="6"/>
      <x:c r="M142" s="3" t="str">
        <x:f>IF(L142="","",IFERROR(VLOOKUP(L142,Configuracion!$D$4:$H$15,2,FALSE),""))</x:f>
      </x:c>
      <x:c r="N142" s="3" t="str">
        <x:f>IF(L142="","",IFERROR(VLOOKUP(L142,Configuracion!$D$4:$H$15,3,FALSE),""))</x:f>
      </x:c>
      <x:c r="O142" s="6"/>
      <x:c r="P142" s="3" t="str">
        <x:f>IF(L142="","",IFERROR(VLOOKUP(L142,Configuracion!$D$4:$H$15,4,FALSE),0))</x:f>
      </x:c>
      <x:c r="Q142" s="10"/>
      <x:c r="R142" s="10"/>
      <x:c r="S142" s="4" t="str">
        <x:f t="shared" si="21"/>
      </x:c>
      <x:c r="T142" s="6"/>
      <x:c r="U142" s="6"/>
      <x:c r="V142" s="6"/>
      <x:c r="W142" s="6"/>
      <x:c r="X142" s="6"/>
      <x:c r="Y142" s="6"/>
      <x:c r="Z142" s="6"/>
      <x:c r="AA142" s="6"/>
      <x:c r="AB142" s="6"/>
      <x:c r="AC142" s="10"/>
      <x:c r="AD142" s="10"/>
      <x:c r="AE142" s="4" t="str">
        <x:f t="shared" si="22"/>
      </x:c>
      <x:c r="AF142" s="4" t="str">
        <x:f t="shared" si="23"/>
      </x:c>
      <x:c r="AG142" s="4" t="str">
        <x:f t="shared" si="24"/>
      </x:c>
      <x:c r="AH142" s="11">
        <x:f t="shared" si="25"/>
        <x:v>0</x:v>
      </x:c>
      <x:c r="AI142" s="4" t="str">
        <x:f t="shared" si="26"/>
      </x:c>
      <x:c r="AJ142" s="4">
        <x:f t="shared" si="27"/>
        <x:v>0</x:v>
      </x:c>
      <x:c r="AK142" s="4">
        <x:f t="shared" si="28"/>
        <x:v>0</x:v>
      </x:c>
      <x:c r="AL142" s="11">
        <x:f t="shared" si="29"/>
        <x:v>0</x:v>
      </x:c>
      <x:c r="AM142" s="6"/>
      <x:c r="AN142" s="6"/>
    </x:row>
    <x:row r="143">
      <x:c r="A143" s="3" t="str">
        <x:f t="shared" si="20"/>
      </x:c>
      <x:c r="B143" s="9"/>
      <x:c r="C143" s="36"/>
      <x:c r="D143" s="6"/>
      <x:c r="E143" s="3" t="str">
        <x:f>IF(D143="","",IFERROR(VLOOKUP(D143,'Base Sectores'!$A$5:$J$47,2,FALSE),""))</x:f>
      </x:c>
      <x:c r="F143" s="40" t="str">
        <x:f>IF(D143="","",IFERROR(VLOOKUP(D143,'Base Sectores'!$A$5:$J$47,3,FALSE),""))</x:f>
      </x:c>
      <x:c r="G143" s="3" t="str">
        <x:f>IF(D143="","",IFERROR(VLOOKUP(D143,'Base Sectores'!$A$5:$J$47,4,FALSE),""))</x:f>
      </x:c>
      <x:c r="H143" s="3" t="str">
        <x:f>IF(D143="","",IFERROR(VLOOKUP(D143,'Base Sectores'!$A$5:$J$47,5,FALSE),""))</x:f>
      </x:c>
      <x:c r="I143" s="3" t="str">
        <x:f>IF(D143="","",IFERROR(VLOOKUP(D143,'Base Sectores'!$A$5:$J$47,6,FALSE),""))</x:f>
      </x:c>
      <x:c r="J143" s="3" t="str">
        <x:f>IF(D143="","",IFERROR(VLOOKUP(D143,'Base Sectores'!$A$5:$J$47,7,FALSE),""))</x:f>
      </x:c>
      <x:c r="K143" s="3" t="str">
        <x:f>IF(D143="","",IFERROR(VLOOKUP(D143,'Base Sectores'!$A$5:$J$47,9,FALSE),""))</x:f>
      </x:c>
      <x:c r="L143" s="6"/>
      <x:c r="M143" s="3" t="str">
        <x:f>IF(L143="","",IFERROR(VLOOKUP(L143,Configuracion!$D$4:$H$15,2,FALSE),""))</x:f>
      </x:c>
      <x:c r="N143" s="3" t="str">
        <x:f>IF(L143="","",IFERROR(VLOOKUP(L143,Configuracion!$D$4:$H$15,3,FALSE),""))</x:f>
      </x:c>
      <x:c r="O143" s="6"/>
      <x:c r="P143" s="3" t="str">
        <x:f>IF(L143="","",IFERROR(VLOOKUP(L143,Configuracion!$D$4:$H$15,4,FALSE),0))</x:f>
      </x:c>
      <x:c r="Q143" s="10"/>
      <x:c r="R143" s="10"/>
      <x:c r="S143" s="4" t="str">
        <x:f t="shared" si="21"/>
      </x:c>
      <x:c r="T143" s="6"/>
      <x:c r="U143" s="6"/>
      <x:c r="V143" s="6"/>
      <x:c r="W143" s="6"/>
      <x:c r="X143" s="6"/>
      <x:c r="Y143" s="6"/>
      <x:c r="Z143" s="6"/>
      <x:c r="AA143" s="6"/>
      <x:c r="AB143" s="6"/>
      <x:c r="AC143" s="10"/>
      <x:c r="AD143" s="10"/>
      <x:c r="AE143" s="4" t="str">
        <x:f t="shared" si="22"/>
      </x:c>
      <x:c r="AF143" s="4" t="str">
        <x:f t="shared" si="23"/>
      </x:c>
      <x:c r="AG143" s="4" t="str">
        <x:f t="shared" si="24"/>
      </x:c>
      <x:c r="AH143" s="11">
        <x:f t="shared" si="25"/>
        <x:v>0</x:v>
      </x:c>
      <x:c r="AI143" s="4" t="str">
        <x:f t="shared" si="26"/>
      </x:c>
      <x:c r="AJ143" s="4">
        <x:f t="shared" si="27"/>
        <x:v>0</x:v>
      </x:c>
      <x:c r="AK143" s="4">
        <x:f t="shared" si="28"/>
        <x:v>0</x:v>
      </x:c>
      <x:c r="AL143" s="11">
        <x:f t="shared" si="29"/>
        <x:v>0</x:v>
      </x:c>
      <x:c r="AM143" s="6"/>
      <x:c r="AN143" s="6"/>
    </x:row>
    <x:row r="144">
      <x:c r="A144" s="3" t="str">
        <x:f t="shared" si="20"/>
      </x:c>
      <x:c r="B144" s="9"/>
      <x:c r="C144" s="36"/>
      <x:c r="D144" s="6"/>
      <x:c r="E144" s="3" t="str">
        <x:f>IF(D144="","",IFERROR(VLOOKUP(D144,'Base Sectores'!$A$5:$J$47,2,FALSE),""))</x:f>
      </x:c>
      <x:c r="F144" s="40" t="str">
        <x:f>IF(D144="","",IFERROR(VLOOKUP(D144,'Base Sectores'!$A$5:$J$47,3,FALSE),""))</x:f>
      </x:c>
      <x:c r="G144" s="3" t="str">
        <x:f>IF(D144="","",IFERROR(VLOOKUP(D144,'Base Sectores'!$A$5:$J$47,4,FALSE),""))</x:f>
      </x:c>
      <x:c r="H144" s="3" t="str">
        <x:f>IF(D144="","",IFERROR(VLOOKUP(D144,'Base Sectores'!$A$5:$J$47,5,FALSE),""))</x:f>
      </x:c>
      <x:c r="I144" s="3" t="str">
        <x:f>IF(D144="","",IFERROR(VLOOKUP(D144,'Base Sectores'!$A$5:$J$47,6,FALSE),""))</x:f>
      </x:c>
      <x:c r="J144" s="3" t="str">
        <x:f>IF(D144="","",IFERROR(VLOOKUP(D144,'Base Sectores'!$A$5:$J$47,7,FALSE),""))</x:f>
      </x:c>
      <x:c r="K144" s="3" t="str">
        <x:f>IF(D144="","",IFERROR(VLOOKUP(D144,'Base Sectores'!$A$5:$J$47,9,FALSE),""))</x:f>
      </x:c>
      <x:c r="L144" s="6"/>
      <x:c r="M144" s="3" t="str">
        <x:f>IF(L144="","",IFERROR(VLOOKUP(L144,Configuracion!$D$4:$H$15,2,FALSE),""))</x:f>
      </x:c>
      <x:c r="N144" s="3" t="str">
        <x:f>IF(L144="","",IFERROR(VLOOKUP(L144,Configuracion!$D$4:$H$15,3,FALSE),""))</x:f>
      </x:c>
      <x:c r="O144" s="6"/>
      <x:c r="P144" s="3" t="str">
        <x:f>IF(L144="","",IFERROR(VLOOKUP(L144,Configuracion!$D$4:$H$15,4,FALSE),0))</x:f>
      </x:c>
      <x:c r="Q144" s="10"/>
      <x:c r="R144" s="10"/>
      <x:c r="S144" s="4" t="str">
        <x:f t="shared" si="21"/>
      </x:c>
      <x:c r="T144" s="6"/>
      <x:c r="U144" s="6"/>
      <x:c r="V144" s="6"/>
      <x:c r="W144" s="6"/>
      <x:c r="X144" s="6"/>
      <x:c r="Y144" s="6"/>
      <x:c r="Z144" s="6"/>
      <x:c r="AA144" s="6"/>
      <x:c r="AB144" s="6"/>
      <x:c r="AC144" s="10"/>
      <x:c r="AD144" s="10"/>
      <x:c r="AE144" s="4" t="str">
        <x:f t="shared" si="22"/>
      </x:c>
      <x:c r="AF144" s="4" t="str">
        <x:f t="shared" si="23"/>
      </x:c>
      <x:c r="AG144" s="4" t="str">
        <x:f t="shared" si="24"/>
      </x:c>
      <x:c r="AH144" s="11">
        <x:f t="shared" si="25"/>
        <x:v>0</x:v>
      </x:c>
      <x:c r="AI144" s="4" t="str">
        <x:f t="shared" si="26"/>
      </x:c>
      <x:c r="AJ144" s="4">
        <x:f t="shared" si="27"/>
        <x:v>0</x:v>
      </x:c>
      <x:c r="AK144" s="4">
        <x:f t="shared" si="28"/>
        <x:v>0</x:v>
      </x:c>
      <x:c r="AL144" s="11">
        <x:f t="shared" si="29"/>
        <x:v>0</x:v>
      </x:c>
      <x:c r="AM144" s="6"/>
      <x:c r="AN144" s="6"/>
    </x:row>
    <x:row r="145">
      <x:c r="A145" s="3" t="str">
        <x:f t="shared" si="20"/>
      </x:c>
      <x:c r="B145" s="9"/>
      <x:c r="C145" s="36"/>
      <x:c r="D145" s="6"/>
      <x:c r="E145" s="3" t="str">
        <x:f>IF(D145="","",IFERROR(VLOOKUP(D145,'Base Sectores'!$A$5:$J$47,2,FALSE),""))</x:f>
      </x:c>
      <x:c r="F145" s="40" t="str">
        <x:f>IF(D145="","",IFERROR(VLOOKUP(D145,'Base Sectores'!$A$5:$J$47,3,FALSE),""))</x:f>
      </x:c>
      <x:c r="G145" s="3" t="str">
        <x:f>IF(D145="","",IFERROR(VLOOKUP(D145,'Base Sectores'!$A$5:$J$47,4,FALSE),""))</x:f>
      </x:c>
      <x:c r="H145" s="3" t="str">
        <x:f>IF(D145="","",IFERROR(VLOOKUP(D145,'Base Sectores'!$A$5:$J$47,5,FALSE),""))</x:f>
      </x:c>
      <x:c r="I145" s="3" t="str">
        <x:f>IF(D145="","",IFERROR(VLOOKUP(D145,'Base Sectores'!$A$5:$J$47,6,FALSE),""))</x:f>
      </x:c>
      <x:c r="J145" s="3" t="str">
        <x:f>IF(D145="","",IFERROR(VLOOKUP(D145,'Base Sectores'!$A$5:$J$47,7,FALSE),""))</x:f>
      </x:c>
      <x:c r="K145" s="3" t="str">
        <x:f>IF(D145="","",IFERROR(VLOOKUP(D145,'Base Sectores'!$A$5:$J$47,9,FALSE),""))</x:f>
      </x:c>
      <x:c r="L145" s="6"/>
      <x:c r="M145" s="3" t="str">
        <x:f>IF(L145="","",IFERROR(VLOOKUP(L145,Configuracion!$D$4:$H$15,2,FALSE),""))</x:f>
      </x:c>
      <x:c r="N145" s="3" t="str">
        <x:f>IF(L145="","",IFERROR(VLOOKUP(L145,Configuracion!$D$4:$H$15,3,FALSE),""))</x:f>
      </x:c>
      <x:c r="O145" s="6"/>
      <x:c r="P145" s="3" t="str">
        <x:f>IF(L145="","",IFERROR(VLOOKUP(L145,Configuracion!$D$4:$H$15,4,FALSE),0))</x:f>
      </x:c>
      <x:c r="Q145" s="10"/>
      <x:c r="R145" s="10"/>
      <x:c r="S145" s="4" t="str">
        <x:f t="shared" si="21"/>
      </x:c>
      <x:c r="T145" s="6"/>
      <x:c r="U145" s="6"/>
      <x:c r="V145" s="6"/>
      <x:c r="W145" s="6"/>
      <x:c r="X145" s="6"/>
      <x:c r="Y145" s="6"/>
      <x:c r="Z145" s="6"/>
      <x:c r="AA145" s="6"/>
      <x:c r="AB145" s="6"/>
      <x:c r="AC145" s="10"/>
      <x:c r="AD145" s="10"/>
      <x:c r="AE145" s="4" t="str">
        <x:f t="shared" si="22"/>
      </x:c>
      <x:c r="AF145" s="4" t="str">
        <x:f t="shared" si="23"/>
      </x:c>
      <x:c r="AG145" s="4" t="str">
        <x:f t="shared" si="24"/>
      </x:c>
      <x:c r="AH145" s="11">
        <x:f t="shared" si="25"/>
        <x:v>0</x:v>
      </x:c>
      <x:c r="AI145" s="4" t="str">
        <x:f t="shared" si="26"/>
      </x:c>
      <x:c r="AJ145" s="4">
        <x:f t="shared" si="27"/>
        <x:v>0</x:v>
      </x:c>
      <x:c r="AK145" s="4">
        <x:f t="shared" si="28"/>
        <x:v>0</x:v>
      </x:c>
      <x:c r="AL145" s="11">
        <x:f t="shared" si="29"/>
        <x:v>0</x:v>
      </x:c>
      <x:c r="AM145" s="6"/>
      <x:c r="AN145" s="6"/>
    </x:row>
    <x:row r="146">
      <x:c r="A146" s="3" t="str">
        <x:f t="shared" si="20"/>
      </x:c>
      <x:c r="B146" s="9"/>
      <x:c r="C146" s="36"/>
      <x:c r="D146" s="6"/>
      <x:c r="E146" s="3" t="str">
        <x:f>IF(D146="","",IFERROR(VLOOKUP(D146,'Base Sectores'!$A$5:$J$47,2,FALSE),""))</x:f>
      </x:c>
      <x:c r="F146" s="40" t="str">
        <x:f>IF(D146="","",IFERROR(VLOOKUP(D146,'Base Sectores'!$A$5:$J$47,3,FALSE),""))</x:f>
      </x:c>
      <x:c r="G146" s="3" t="str">
        <x:f>IF(D146="","",IFERROR(VLOOKUP(D146,'Base Sectores'!$A$5:$J$47,4,FALSE),""))</x:f>
      </x:c>
      <x:c r="H146" s="3" t="str">
        <x:f>IF(D146="","",IFERROR(VLOOKUP(D146,'Base Sectores'!$A$5:$J$47,5,FALSE),""))</x:f>
      </x:c>
      <x:c r="I146" s="3" t="str">
        <x:f>IF(D146="","",IFERROR(VLOOKUP(D146,'Base Sectores'!$A$5:$J$47,6,FALSE),""))</x:f>
      </x:c>
      <x:c r="J146" s="3" t="str">
        <x:f>IF(D146="","",IFERROR(VLOOKUP(D146,'Base Sectores'!$A$5:$J$47,7,FALSE),""))</x:f>
      </x:c>
      <x:c r="K146" s="3" t="str">
        <x:f>IF(D146="","",IFERROR(VLOOKUP(D146,'Base Sectores'!$A$5:$J$47,9,FALSE),""))</x:f>
      </x:c>
      <x:c r="L146" s="6"/>
      <x:c r="M146" s="3" t="str">
        <x:f>IF(L146="","",IFERROR(VLOOKUP(L146,Configuracion!$D$4:$H$15,2,FALSE),""))</x:f>
      </x:c>
      <x:c r="N146" s="3" t="str">
        <x:f>IF(L146="","",IFERROR(VLOOKUP(L146,Configuracion!$D$4:$H$15,3,FALSE),""))</x:f>
      </x:c>
      <x:c r="O146" s="6"/>
      <x:c r="P146" s="3" t="str">
        <x:f>IF(L146="","",IFERROR(VLOOKUP(L146,Configuracion!$D$4:$H$15,4,FALSE),0))</x:f>
      </x:c>
      <x:c r="Q146" s="10"/>
      <x:c r="R146" s="10"/>
      <x:c r="S146" s="4" t="str">
        <x:f t="shared" si="21"/>
      </x:c>
      <x:c r="T146" s="6"/>
      <x:c r="U146" s="6"/>
      <x:c r="V146" s="6"/>
      <x:c r="W146" s="6"/>
      <x:c r="X146" s="6"/>
      <x:c r="Y146" s="6"/>
      <x:c r="Z146" s="6"/>
      <x:c r="AA146" s="6"/>
      <x:c r="AB146" s="6"/>
      <x:c r="AC146" s="10"/>
      <x:c r="AD146" s="10"/>
      <x:c r="AE146" s="4" t="str">
        <x:f t="shared" si="22"/>
      </x:c>
      <x:c r="AF146" s="4" t="str">
        <x:f t="shared" si="23"/>
      </x:c>
      <x:c r="AG146" s="4" t="str">
        <x:f t="shared" si="24"/>
      </x:c>
      <x:c r="AH146" s="11">
        <x:f t="shared" si="25"/>
        <x:v>0</x:v>
      </x:c>
      <x:c r="AI146" s="4" t="str">
        <x:f t="shared" si="26"/>
      </x:c>
      <x:c r="AJ146" s="4">
        <x:f t="shared" si="27"/>
        <x:v>0</x:v>
      </x:c>
      <x:c r="AK146" s="4">
        <x:f t="shared" si="28"/>
        <x:v>0</x:v>
      </x:c>
      <x:c r="AL146" s="11">
        <x:f t="shared" si="29"/>
        <x:v>0</x:v>
      </x:c>
      <x:c r="AM146" s="6"/>
      <x:c r="AN146" s="6"/>
    </x:row>
    <x:row r="147">
      <x:c r="A147" s="3" t="str">
        <x:f t="shared" si="20"/>
      </x:c>
      <x:c r="B147" s="9"/>
      <x:c r="C147" s="36"/>
      <x:c r="D147" s="6"/>
      <x:c r="E147" s="3" t="str">
        <x:f>IF(D147="","",IFERROR(VLOOKUP(D147,'Base Sectores'!$A$5:$J$47,2,FALSE),""))</x:f>
      </x:c>
      <x:c r="F147" s="40" t="str">
        <x:f>IF(D147="","",IFERROR(VLOOKUP(D147,'Base Sectores'!$A$5:$J$47,3,FALSE),""))</x:f>
      </x:c>
      <x:c r="G147" s="3" t="str">
        <x:f>IF(D147="","",IFERROR(VLOOKUP(D147,'Base Sectores'!$A$5:$J$47,4,FALSE),""))</x:f>
      </x:c>
      <x:c r="H147" s="3" t="str">
        <x:f>IF(D147="","",IFERROR(VLOOKUP(D147,'Base Sectores'!$A$5:$J$47,5,FALSE),""))</x:f>
      </x:c>
      <x:c r="I147" s="3" t="str">
        <x:f>IF(D147="","",IFERROR(VLOOKUP(D147,'Base Sectores'!$A$5:$J$47,6,FALSE),""))</x:f>
      </x:c>
      <x:c r="J147" s="3" t="str">
        <x:f>IF(D147="","",IFERROR(VLOOKUP(D147,'Base Sectores'!$A$5:$J$47,7,FALSE),""))</x:f>
      </x:c>
      <x:c r="K147" s="3" t="str">
        <x:f>IF(D147="","",IFERROR(VLOOKUP(D147,'Base Sectores'!$A$5:$J$47,9,FALSE),""))</x:f>
      </x:c>
      <x:c r="L147" s="6"/>
      <x:c r="M147" s="3" t="str">
        <x:f>IF(L147="","",IFERROR(VLOOKUP(L147,Configuracion!$D$4:$H$15,2,FALSE),""))</x:f>
      </x:c>
      <x:c r="N147" s="3" t="str">
        <x:f>IF(L147="","",IFERROR(VLOOKUP(L147,Configuracion!$D$4:$H$15,3,FALSE),""))</x:f>
      </x:c>
      <x:c r="O147" s="6"/>
      <x:c r="P147" s="3" t="str">
        <x:f>IF(L147="","",IFERROR(VLOOKUP(L147,Configuracion!$D$4:$H$15,4,FALSE),0))</x:f>
      </x:c>
      <x:c r="Q147" s="10"/>
      <x:c r="R147" s="10"/>
      <x:c r="S147" s="4" t="str">
        <x:f t="shared" si="21"/>
      </x:c>
      <x:c r="T147" s="6"/>
      <x:c r="U147" s="6"/>
      <x:c r="V147" s="6"/>
      <x:c r="W147" s="6"/>
      <x:c r="X147" s="6"/>
      <x:c r="Y147" s="6"/>
      <x:c r="Z147" s="6"/>
      <x:c r="AA147" s="6"/>
      <x:c r="AB147" s="6"/>
      <x:c r="AC147" s="10"/>
      <x:c r="AD147" s="10"/>
      <x:c r="AE147" s="4" t="str">
        <x:f t="shared" si="22"/>
      </x:c>
      <x:c r="AF147" s="4" t="str">
        <x:f t="shared" si="23"/>
      </x:c>
      <x:c r="AG147" s="4" t="str">
        <x:f t="shared" si="24"/>
      </x:c>
      <x:c r="AH147" s="11">
        <x:f t="shared" si="25"/>
        <x:v>0</x:v>
      </x:c>
      <x:c r="AI147" s="4" t="str">
        <x:f t="shared" si="26"/>
      </x:c>
      <x:c r="AJ147" s="4">
        <x:f t="shared" si="27"/>
        <x:v>0</x:v>
      </x:c>
      <x:c r="AK147" s="4">
        <x:f t="shared" si="28"/>
        <x:v>0</x:v>
      </x:c>
      <x:c r="AL147" s="11">
        <x:f t="shared" si="29"/>
        <x:v>0</x:v>
      </x:c>
      <x:c r="AM147" s="6"/>
      <x:c r="AN147" s="6"/>
    </x:row>
    <x:row r="148">
      <x:c r="A148" s="3" t="str">
        <x:f t="shared" si="20"/>
      </x:c>
      <x:c r="B148" s="9"/>
      <x:c r="C148" s="36"/>
      <x:c r="D148" s="6"/>
      <x:c r="E148" s="3" t="str">
        <x:f>IF(D148="","",IFERROR(VLOOKUP(D148,'Base Sectores'!$A$5:$J$47,2,FALSE),""))</x:f>
      </x:c>
      <x:c r="F148" s="40" t="str">
        <x:f>IF(D148="","",IFERROR(VLOOKUP(D148,'Base Sectores'!$A$5:$J$47,3,FALSE),""))</x:f>
      </x:c>
      <x:c r="G148" s="3" t="str">
        <x:f>IF(D148="","",IFERROR(VLOOKUP(D148,'Base Sectores'!$A$5:$J$47,4,FALSE),""))</x:f>
      </x:c>
      <x:c r="H148" s="3" t="str">
        <x:f>IF(D148="","",IFERROR(VLOOKUP(D148,'Base Sectores'!$A$5:$J$47,5,FALSE),""))</x:f>
      </x:c>
      <x:c r="I148" s="3" t="str">
        <x:f>IF(D148="","",IFERROR(VLOOKUP(D148,'Base Sectores'!$A$5:$J$47,6,FALSE),""))</x:f>
      </x:c>
      <x:c r="J148" s="3" t="str">
        <x:f>IF(D148="","",IFERROR(VLOOKUP(D148,'Base Sectores'!$A$5:$J$47,7,FALSE),""))</x:f>
      </x:c>
      <x:c r="K148" s="3" t="str">
        <x:f>IF(D148="","",IFERROR(VLOOKUP(D148,'Base Sectores'!$A$5:$J$47,9,FALSE),""))</x:f>
      </x:c>
      <x:c r="L148" s="6"/>
      <x:c r="M148" s="3" t="str">
        <x:f>IF(L148="","",IFERROR(VLOOKUP(L148,Configuracion!$D$4:$H$15,2,FALSE),""))</x:f>
      </x:c>
      <x:c r="N148" s="3" t="str">
        <x:f>IF(L148="","",IFERROR(VLOOKUP(L148,Configuracion!$D$4:$H$15,3,FALSE),""))</x:f>
      </x:c>
      <x:c r="O148" s="6"/>
      <x:c r="P148" s="3" t="str">
        <x:f>IF(L148="","",IFERROR(VLOOKUP(L148,Configuracion!$D$4:$H$15,4,FALSE),0))</x:f>
      </x:c>
      <x:c r="Q148" s="10"/>
      <x:c r="R148" s="10"/>
      <x:c r="S148" s="4" t="str">
        <x:f t="shared" si="21"/>
      </x:c>
      <x:c r="T148" s="6"/>
      <x:c r="U148" s="6"/>
      <x:c r="V148" s="6"/>
      <x:c r="W148" s="6"/>
      <x:c r="X148" s="6"/>
      <x:c r="Y148" s="6"/>
      <x:c r="Z148" s="6"/>
      <x:c r="AA148" s="6"/>
      <x:c r="AB148" s="6"/>
      <x:c r="AC148" s="10"/>
      <x:c r="AD148" s="10"/>
      <x:c r="AE148" s="4" t="str">
        <x:f t="shared" si="22"/>
      </x:c>
      <x:c r="AF148" s="4" t="str">
        <x:f t="shared" si="23"/>
      </x:c>
      <x:c r="AG148" s="4" t="str">
        <x:f t="shared" si="24"/>
      </x:c>
      <x:c r="AH148" s="11">
        <x:f t="shared" si="25"/>
        <x:v>0</x:v>
      </x:c>
      <x:c r="AI148" s="4" t="str">
        <x:f t="shared" si="26"/>
      </x:c>
      <x:c r="AJ148" s="4">
        <x:f t="shared" si="27"/>
        <x:v>0</x:v>
      </x:c>
      <x:c r="AK148" s="4">
        <x:f t="shared" si="28"/>
        <x:v>0</x:v>
      </x:c>
      <x:c r="AL148" s="11">
        <x:f t="shared" si="29"/>
        <x:v>0</x:v>
      </x:c>
      <x:c r="AM148" s="6"/>
      <x:c r="AN148" s="6"/>
    </x:row>
    <x:row r="149">
      <x:c r="A149" s="3" t="str">
        <x:f t="shared" si="20"/>
      </x:c>
      <x:c r="B149" s="9"/>
      <x:c r="C149" s="36"/>
      <x:c r="D149" s="6"/>
      <x:c r="E149" s="3" t="str">
        <x:f>IF(D149="","",IFERROR(VLOOKUP(D149,'Base Sectores'!$A$5:$J$47,2,FALSE),""))</x:f>
      </x:c>
      <x:c r="F149" s="40" t="str">
        <x:f>IF(D149="","",IFERROR(VLOOKUP(D149,'Base Sectores'!$A$5:$J$47,3,FALSE),""))</x:f>
      </x:c>
      <x:c r="G149" s="3" t="str">
        <x:f>IF(D149="","",IFERROR(VLOOKUP(D149,'Base Sectores'!$A$5:$J$47,4,FALSE),""))</x:f>
      </x:c>
      <x:c r="H149" s="3" t="str">
        <x:f>IF(D149="","",IFERROR(VLOOKUP(D149,'Base Sectores'!$A$5:$J$47,5,FALSE),""))</x:f>
      </x:c>
      <x:c r="I149" s="3" t="str">
        <x:f>IF(D149="","",IFERROR(VLOOKUP(D149,'Base Sectores'!$A$5:$J$47,6,FALSE),""))</x:f>
      </x:c>
      <x:c r="J149" s="3" t="str">
        <x:f>IF(D149="","",IFERROR(VLOOKUP(D149,'Base Sectores'!$A$5:$J$47,7,FALSE),""))</x:f>
      </x:c>
      <x:c r="K149" s="3" t="str">
        <x:f>IF(D149="","",IFERROR(VLOOKUP(D149,'Base Sectores'!$A$5:$J$47,9,FALSE),""))</x:f>
      </x:c>
      <x:c r="L149" s="6"/>
      <x:c r="M149" s="3" t="str">
        <x:f>IF(L149="","",IFERROR(VLOOKUP(L149,Configuracion!$D$4:$H$15,2,FALSE),""))</x:f>
      </x:c>
      <x:c r="N149" s="3" t="str">
        <x:f>IF(L149="","",IFERROR(VLOOKUP(L149,Configuracion!$D$4:$H$15,3,FALSE),""))</x:f>
      </x:c>
      <x:c r="O149" s="6"/>
      <x:c r="P149" s="3" t="str">
        <x:f>IF(L149="","",IFERROR(VLOOKUP(L149,Configuracion!$D$4:$H$15,4,FALSE),0))</x:f>
      </x:c>
      <x:c r="Q149" s="10"/>
      <x:c r="R149" s="10"/>
      <x:c r="S149" s="4" t="str">
        <x:f t="shared" si="21"/>
      </x:c>
      <x:c r="T149" s="6"/>
      <x:c r="U149" s="6"/>
      <x:c r="V149" s="6"/>
      <x:c r="W149" s="6"/>
      <x:c r="X149" s="6"/>
      <x:c r="Y149" s="6"/>
      <x:c r="Z149" s="6"/>
      <x:c r="AA149" s="6"/>
      <x:c r="AB149" s="6"/>
      <x:c r="AC149" s="10"/>
      <x:c r="AD149" s="10"/>
      <x:c r="AE149" s="4" t="str">
        <x:f t="shared" si="22"/>
      </x:c>
      <x:c r="AF149" s="4" t="str">
        <x:f t="shared" si="23"/>
      </x:c>
      <x:c r="AG149" s="4" t="str">
        <x:f t="shared" si="24"/>
      </x:c>
      <x:c r="AH149" s="11">
        <x:f t="shared" si="25"/>
        <x:v>0</x:v>
      </x:c>
      <x:c r="AI149" s="4" t="str">
        <x:f t="shared" si="26"/>
      </x:c>
      <x:c r="AJ149" s="4">
        <x:f t="shared" si="27"/>
        <x:v>0</x:v>
      </x:c>
      <x:c r="AK149" s="4">
        <x:f t="shared" si="28"/>
        <x:v>0</x:v>
      </x:c>
      <x:c r="AL149" s="11">
        <x:f t="shared" si="29"/>
        <x:v>0</x:v>
      </x:c>
      <x:c r="AM149" s="6"/>
      <x:c r="AN149" s="6"/>
    </x:row>
    <x:row r="150">
      <x:c r="A150" s="3" t="str">
        <x:f t="shared" si="20"/>
      </x:c>
      <x:c r="B150" s="9"/>
      <x:c r="C150" s="36"/>
      <x:c r="D150" s="6"/>
      <x:c r="E150" s="3" t="str">
        <x:f>IF(D150="","",IFERROR(VLOOKUP(D150,'Base Sectores'!$A$5:$J$47,2,FALSE),""))</x:f>
      </x:c>
      <x:c r="F150" s="40" t="str">
        <x:f>IF(D150="","",IFERROR(VLOOKUP(D150,'Base Sectores'!$A$5:$J$47,3,FALSE),""))</x:f>
      </x:c>
      <x:c r="G150" s="3" t="str">
        <x:f>IF(D150="","",IFERROR(VLOOKUP(D150,'Base Sectores'!$A$5:$J$47,4,FALSE),""))</x:f>
      </x:c>
      <x:c r="H150" s="3" t="str">
        <x:f>IF(D150="","",IFERROR(VLOOKUP(D150,'Base Sectores'!$A$5:$J$47,5,FALSE),""))</x:f>
      </x:c>
      <x:c r="I150" s="3" t="str">
        <x:f>IF(D150="","",IFERROR(VLOOKUP(D150,'Base Sectores'!$A$5:$J$47,6,FALSE),""))</x:f>
      </x:c>
      <x:c r="J150" s="3" t="str">
        <x:f>IF(D150="","",IFERROR(VLOOKUP(D150,'Base Sectores'!$A$5:$J$47,7,FALSE),""))</x:f>
      </x:c>
      <x:c r="K150" s="3" t="str">
        <x:f>IF(D150="","",IFERROR(VLOOKUP(D150,'Base Sectores'!$A$5:$J$47,9,FALSE),""))</x:f>
      </x:c>
      <x:c r="L150" s="6"/>
      <x:c r="M150" s="3" t="str">
        <x:f>IF(L150="","",IFERROR(VLOOKUP(L150,Configuracion!$D$4:$H$15,2,FALSE),""))</x:f>
      </x:c>
      <x:c r="N150" s="3" t="str">
        <x:f>IF(L150="","",IFERROR(VLOOKUP(L150,Configuracion!$D$4:$H$15,3,FALSE),""))</x:f>
      </x:c>
      <x:c r="O150" s="6"/>
      <x:c r="P150" s="3" t="str">
        <x:f>IF(L150="","",IFERROR(VLOOKUP(L150,Configuracion!$D$4:$H$15,4,FALSE),0))</x:f>
      </x:c>
      <x:c r="Q150" s="10"/>
      <x:c r="R150" s="10"/>
      <x:c r="S150" s="4" t="str">
        <x:f t="shared" si="21"/>
      </x:c>
      <x:c r="T150" s="6"/>
      <x:c r="U150" s="6"/>
      <x:c r="V150" s="6"/>
      <x:c r="W150" s="6"/>
      <x:c r="X150" s="6"/>
      <x:c r="Y150" s="6"/>
      <x:c r="Z150" s="6"/>
      <x:c r="AA150" s="6"/>
      <x:c r="AB150" s="6"/>
      <x:c r="AC150" s="10"/>
      <x:c r="AD150" s="10"/>
      <x:c r="AE150" s="4" t="str">
        <x:f t="shared" si="22"/>
      </x:c>
      <x:c r="AF150" s="4" t="str">
        <x:f t="shared" si="23"/>
      </x:c>
      <x:c r="AG150" s="4" t="str">
        <x:f t="shared" si="24"/>
      </x:c>
      <x:c r="AH150" s="11">
        <x:f t="shared" si="25"/>
        <x:v>0</x:v>
      </x:c>
      <x:c r="AI150" s="4" t="str">
        <x:f t="shared" si="26"/>
      </x:c>
      <x:c r="AJ150" s="4">
        <x:f t="shared" si="27"/>
        <x:v>0</x:v>
      </x:c>
      <x:c r="AK150" s="4">
        <x:f t="shared" si="28"/>
        <x:v>0</x:v>
      </x:c>
      <x:c r="AL150" s="11">
        <x:f t="shared" si="29"/>
        <x:v>0</x:v>
      </x:c>
      <x:c r="AM150" s="6"/>
      <x:c r="AN150" s="6"/>
    </x:row>
    <x:row r="151">
      <x:c r="A151" s="3" t="str">
        <x:f t="shared" si="20"/>
      </x:c>
      <x:c r="B151" s="9"/>
      <x:c r="C151" s="36"/>
      <x:c r="D151" s="6"/>
      <x:c r="E151" s="3" t="str">
        <x:f>IF(D151="","",IFERROR(VLOOKUP(D151,'Base Sectores'!$A$5:$J$47,2,FALSE),""))</x:f>
      </x:c>
      <x:c r="F151" s="40" t="str">
        <x:f>IF(D151="","",IFERROR(VLOOKUP(D151,'Base Sectores'!$A$5:$J$47,3,FALSE),""))</x:f>
      </x:c>
      <x:c r="G151" s="3" t="str">
        <x:f>IF(D151="","",IFERROR(VLOOKUP(D151,'Base Sectores'!$A$5:$J$47,4,FALSE),""))</x:f>
      </x:c>
      <x:c r="H151" s="3" t="str">
        <x:f>IF(D151="","",IFERROR(VLOOKUP(D151,'Base Sectores'!$A$5:$J$47,5,FALSE),""))</x:f>
      </x:c>
      <x:c r="I151" s="3" t="str">
        <x:f>IF(D151="","",IFERROR(VLOOKUP(D151,'Base Sectores'!$A$5:$J$47,6,FALSE),""))</x:f>
      </x:c>
      <x:c r="J151" s="3" t="str">
        <x:f>IF(D151="","",IFERROR(VLOOKUP(D151,'Base Sectores'!$A$5:$J$47,7,FALSE),""))</x:f>
      </x:c>
      <x:c r="K151" s="3" t="str">
        <x:f>IF(D151="","",IFERROR(VLOOKUP(D151,'Base Sectores'!$A$5:$J$47,9,FALSE),""))</x:f>
      </x:c>
      <x:c r="L151" s="6"/>
      <x:c r="M151" s="3" t="str">
        <x:f>IF(L151="","",IFERROR(VLOOKUP(L151,Configuracion!$D$4:$H$15,2,FALSE),""))</x:f>
      </x:c>
      <x:c r="N151" s="3" t="str">
        <x:f>IF(L151="","",IFERROR(VLOOKUP(L151,Configuracion!$D$4:$H$15,3,FALSE),""))</x:f>
      </x:c>
      <x:c r="O151" s="6"/>
      <x:c r="P151" s="3" t="str">
        <x:f>IF(L151="","",IFERROR(VLOOKUP(L151,Configuracion!$D$4:$H$15,4,FALSE),0))</x:f>
      </x:c>
      <x:c r="Q151" s="10"/>
      <x:c r="R151" s="10"/>
      <x:c r="S151" s="4" t="str">
        <x:f t="shared" si="21"/>
      </x:c>
      <x:c r="T151" s="6"/>
      <x:c r="U151" s="6"/>
      <x:c r="V151" s="6"/>
      <x:c r="W151" s="6"/>
      <x:c r="X151" s="6"/>
      <x:c r="Y151" s="6"/>
      <x:c r="Z151" s="6"/>
      <x:c r="AA151" s="6"/>
      <x:c r="AB151" s="6"/>
      <x:c r="AC151" s="10"/>
      <x:c r="AD151" s="10"/>
      <x:c r="AE151" s="4" t="str">
        <x:f t="shared" si="22"/>
      </x:c>
      <x:c r="AF151" s="4" t="str">
        <x:f t="shared" si="23"/>
      </x:c>
      <x:c r="AG151" s="4" t="str">
        <x:f t="shared" si="24"/>
      </x:c>
      <x:c r="AH151" s="11">
        <x:f t="shared" si="25"/>
        <x:v>0</x:v>
      </x:c>
      <x:c r="AI151" s="4" t="str">
        <x:f t="shared" si="26"/>
      </x:c>
      <x:c r="AJ151" s="4">
        <x:f t="shared" si="27"/>
        <x:v>0</x:v>
      </x:c>
      <x:c r="AK151" s="4">
        <x:f t="shared" si="28"/>
        <x:v>0</x:v>
      </x:c>
      <x:c r="AL151" s="11">
        <x:f t="shared" si="29"/>
        <x:v>0</x:v>
      </x:c>
      <x:c r="AM151" s="6"/>
      <x:c r="AN151" s="6"/>
    </x:row>
    <x:row r="152">
      <x:c r="A152" s="3" t="str">
        <x:f t="shared" si="20"/>
      </x:c>
      <x:c r="B152" s="9"/>
      <x:c r="C152" s="36"/>
      <x:c r="D152" s="6"/>
      <x:c r="E152" s="3" t="str">
        <x:f>IF(D152="","",IFERROR(VLOOKUP(D152,'Base Sectores'!$A$5:$J$47,2,FALSE),""))</x:f>
      </x:c>
      <x:c r="F152" s="40" t="str">
        <x:f>IF(D152="","",IFERROR(VLOOKUP(D152,'Base Sectores'!$A$5:$J$47,3,FALSE),""))</x:f>
      </x:c>
      <x:c r="G152" s="3" t="str">
        <x:f>IF(D152="","",IFERROR(VLOOKUP(D152,'Base Sectores'!$A$5:$J$47,4,FALSE),""))</x:f>
      </x:c>
      <x:c r="H152" s="3" t="str">
        <x:f>IF(D152="","",IFERROR(VLOOKUP(D152,'Base Sectores'!$A$5:$J$47,5,FALSE),""))</x:f>
      </x:c>
      <x:c r="I152" s="3" t="str">
        <x:f>IF(D152="","",IFERROR(VLOOKUP(D152,'Base Sectores'!$A$5:$J$47,6,FALSE),""))</x:f>
      </x:c>
      <x:c r="J152" s="3" t="str">
        <x:f>IF(D152="","",IFERROR(VLOOKUP(D152,'Base Sectores'!$A$5:$J$47,7,FALSE),""))</x:f>
      </x:c>
      <x:c r="K152" s="3" t="str">
        <x:f>IF(D152="","",IFERROR(VLOOKUP(D152,'Base Sectores'!$A$5:$J$47,9,FALSE),""))</x:f>
      </x:c>
      <x:c r="L152" s="6"/>
      <x:c r="M152" s="3" t="str">
        <x:f>IF(L152="","",IFERROR(VLOOKUP(L152,Configuracion!$D$4:$H$15,2,FALSE),""))</x:f>
      </x:c>
      <x:c r="N152" s="3" t="str">
        <x:f>IF(L152="","",IFERROR(VLOOKUP(L152,Configuracion!$D$4:$H$15,3,FALSE),""))</x:f>
      </x:c>
      <x:c r="O152" s="6"/>
      <x:c r="P152" s="3" t="str">
        <x:f>IF(L152="","",IFERROR(VLOOKUP(L152,Configuracion!$D$4:$H$15,4,FALSE),0))</x:f>
      </x:c>
      <x:c r="Q152" s="10"/>
      <x:c r="R152" s="10"/>
      <x:c r="S152" s="4" t="str">
        <x:f t="shared" si="21"/>
      </x:c>
      <x:c r="T152" s="6"/>
      <x:c r="U152" s="6"/>
      <x:c r="V152" s="6"/>
      <x:c r="W152" s="6"/>
      <x:c r="X152" s="6"/>
      <x:c r="Y152" s="6"/>
      <x:c r="Z152" s="6"/>
      <x:c r="AA152" s="6"/>
      <x:c r="AB152" s="6"/>
      <x:c r="AC152" s="10"/>
      <x:c r="AD152" s="10"/>
      <x:c r="AE152" s="4" t="str">
        <x:f t="shared" si="22"/>
      </x:c>
      <x:c r="AF152" s="4" t="str">
        <x:f t="shared" si="23"/>
      </x:c>
      <x:c r="AG152" s="4" t="str">
        <x:f t="shared" si="24"/>
      </x:c>
      <x:c r="AH152" s="11">
        <x:f t="shared" si="25"/>
        <x:v>0</x:v>
      </x:c>
      <x:c r="AI152" s="4" t="str">
        <x:f t="shared" si="26"/>
      </x:c>
      <x:c r="AJ152" s="4">
        <x:f t="shared" si="27"/>
        <x:v>0</x:v>
      </x:c>
      <x:c r="AK152" s="4">
        <x:f t="shared" si="28"/>
        <x:v>0</x:v>
      </x:c>
      <x:c r="AL152" s="11">
        <x:f t="shared" si="29"/>
        <x:v>0</x:v>
      </x:c>
      <x:c r="AM152" s="6"/>
      <x:c r="AN152" s="6"/>
    </x:row>
    <x:row r="153">
      <x:c r="A153" s="3" t="str">
        <x:f t="shared" si="20"/>
      </x:c>
      <x:c r="B153" s="9"/>
      <x:c r="C153" s="36"/>
      <x:c r="D153" s="6"/>
      <x:c r="E153" s="3" t="str">
        <x:f>IF(D153="","",IFERROR(VLOOKUP(D153,'Base Sectores'!$A$5:$J$47,2,FALSE),""))</x:f>
      </x:c>
      <x:c r="F153" s="40" t="str">
        <x:f>IF(D153="","",IFERROR(VLOOKUP(D153,'Base Sectores'!$A$5:$J$47,3,FALSE),""))</x:f>
      </x:c>
      <x:c r="G153" s="3" t="str">
        <x:f>IF(D153="","",IFERROR(VLOOKUP(D153,'Base Sectores'!$A$5:$J$47,4,FALSE),""))</x:f>
      </x:c>
      <x:c r="H153" s="3" t="str">
        <x:f>IF(D153="","",IFERROR(VLOOKUP(D153,'Base Sectores'!$A$5:$J$47,5,FALSE),""))</x:f>
      </x:c>
      <x:c r="I153" s="3" t="str">
        <x:f>IF(D153="","",IFERROR(VLOOKUP(D153,'Base Sectores'!$A$5:$J$47,6,FALSE),""))</x:f>
      </x:c>
      <x:c r="J153" s="3" t="str">
        <x:f>IF(D153="","",IFERROR(VLOOKUP(D153,'Base Sectores'!$A$5:$J$47,7,FALSE),""))</x:f>
      </x:c>
      <x:c r="K153" s="3" t="str">
        <x:f>IF(D153="","",IFERROR(VLOOKUP(D153,'Base Sectores'!$A$5:$J$47,9,FALSE),""))</x:f>
      </x:c>
      <x:c r="L153" s="6"/>
      <x:c r="M153" s="3" t="str">
        <x:f>IF(L153="","",IFERROR(VLOOKUP(L153,Configuracion!$D$4:$H$15,2,FALSE),""))</x:f>
      </x:c>
      <x:c r="N153" s="3" t="str">
        <x:f>IF(L153="","",IFERROR(VLOOKUP(L153,Configuracion!$D$4:$H$15,3,FALSE),""))</x:f>
      </x:c>
      <x:c r="O153" s="6"/>
      <x:c r="P153" s="3" t="str">
        <x:f>IF(L153="","",IFERROR(VLOOKUP(L153,Configuracion!$D$4:$H$15,4,FALSE),0))</x:f>
      </x:c>
      <x:c r="Q153" s="10"/>
      <x:c r="R153" s="10"/>
      <x:c r="S153" s="4" t="str">
        <x:f t="shared" si="21"/>
      </x:c>
      <x:c r="T153" s="6"/>
      <x:c r="U153" s="6"/>
      <x:c r="V153" s="6"/>
      <x:c r="W153" s="6"/>
      <x:c r="X153" s="6"/>
      <x:c r="Y153" s="6"/>
      <x:c r="Z153" s="6"/>
      <x:c r="AA153" s="6"/>
      <x:c r="AB153" s="6"/>
      <x:c r="AC153" s="10"/>
      <x:c r="AD153" s="10"/>
      <x:c r="AE153" s="4" t="str">
        <x:f t="shared" si="22"/>
      </x:c>
      <x:c r="AF153" s="4" t="str">
        <x:f t="shared" si="23"/>
      </x:c>
      <x:c r="AG153" s="4" t="str">
        <x:f t="shared" si="24"/>
      </x:c>
      <x:c r="AH153" s="11">
        <x:f t="shared" si="25"/>
        <x:v>0</x:v>
      </x:c>
      <x:c r="AI153" s="4" t="str">
        <x:f t="shared" si="26"/>
      </x:c>
      <x:c r="AJ153" s="4">
        <x:f t="shared" si="27"/>
        <x:v>0</x:v>
      </x:c>
      <x:c r="AK153" s="4">
        <x:f t="shared" si="28"/>
        <x:v>0</x:v>
      </x:c>
      <x:c r="AL153" s="11">
        <x:f t="shared" si="29"/>
        <x:v>0</x:v>
      </x:c>
      <x:c r="AM153" s="6"/>
      <x:c r="AN153" s="6"/>
    </x:row>
    <x:row r="154">
      <x:c r="A154" s="3" t="str">
        <x:f t="shared" si="20"/>
      </x:c>
      <x:c r="B154" s="9"/>
      <x:c r="C154" s="36"/>
      <x:c r="D154" s="6"/>
      <x:c r="E154" s="3" t="str">
        <x:f>IF(D154="","",IFERROR(VLOOKUP(D154,'Base Sectores'!$A$5:$J$47,2,FALSE),""))</x:f>
      </x:c>
      <x:c r="F154" s="40" t="str">
        <x:f>IF(D154="","",IFERROR(VLOOKUP(D154,'Base Sectores'!$A$5:$J$47,3,FALSE),""))</x:f>
      </x:c>
      <x:c r="G154" s="3" t="str">
        <x:f>IF(D154="","",IFERROR(VLOOKUP(D154,'Base Sectores'!$A$5:$J$47,4,FALSE),""))</x:f>
      </x:c>
      <x:c r="H154" s="3" t="str">
        <x:f>IF(D154="","",IFERROR(VLOOKUP(D154,'Base Sectores'!$A$5:$J$47,5,FALSE),""))</x:f>
      </x:c>
      <x:c r="I154" s="3" t="str">
        <x:f>IF(D154="","",IFERROR(VLOOKUP(D154,'Base Sectores'!$A$5:$J$47,6,FALSE),""))</x:f>
      </x:c>
      <x:c r="J154" s="3" t="str">
        <x:f>IF(D154="","",IFERROR(VLOOKUP(D154,'Base Sectores'!$A$5:$J$47,7,FALSE),""))</x:f>
      </x:c>
      <x:c r="K154" s="3" t="str">
        <x:f>IF(D154="","",IFERROR(VLOOKUP(D154,'Base Sectores'!$A$5:$J$47,9,FALSE),""))</x:f>
      </x:c>
      <x:c r="L154" s="6"/>
      <x:c r="M154" s="3" t="str">
        <x:f>IF(L154="","",IFERROR(VLOOKUP(L154,Configuracion!$D$4:$H$15,2,FALSE),""))</x:f>
      </x:c>
      <x:c r="N154" s="3" t="str">
        <x:f>IF(L154="","",IFERROR(VLOOKUP(L154,Configuracion!$D$4:$H$15,3,FALSE),""))</x:f>
      </x:c>
      <x:c r="O154" s="6"/>
      <x:c r="P154" s="3" t="str">
        <x:f>IF(L154="","",IFERROR(VLOOKUP(L154,Configuracion!$D$4:$H$15,4,FALSE),0))</x:f>
      </x:c>
      <x:c r="Q154" s="10"/>
      <x:c r="R154" s="10"/>
      <x:c r="S154" s="4" t="str">
        <x:f t="shared" si="21"/>
      </x:c>
      <x:c r="T154" s="6"/>
      <x:c r="U154" s="6"/>
      <x:c r="V154" s="6"/>
      <x:c r="W154" s="6"/>
      <x:c r="X154" s="6"/>
      <x:c r="Y154" s="6"/>
      <x:c r="Z154" s="6"/>
      <x:c r="AA154" s="6"/>
      <x:c r="AB154" s="6"/>
      <x:c r="AC154" s="10"/>
      <x:c r="AD154" s="10"/>
      <x:c r="AE154" s="4" t="str">
        <x:f t="shared" si="22"/>
      </x:c>
      <x:c r="AF154" s="4" t="str">
        <x:f t="shared" si="23"/>
      </x:c>
      <x:c r="AG154" s="4" t="str">
        <x:f t="shared" si="24"/>
      </x:c>
      <x:c r="AH154" s="11">
        <x:f t="shared" si="25"/>
        <x:v>0</x:v>
      </x:c>
      <x:c r="AI154" s="4" t="str">
        <x:f t="shared" si="26"/>
      </x:c>
      <x:c r="AJ154" s="4">
        <x:f t="shared" si="27"/>
        <x:v>0</x:v>
      </x:c>
      <x:c r="AK154" s="4">
        <x:f t="shared" si="28"/>
        <x:v>0</x:v>
      </x:c>
      <x:c r="AL154" s="11">
        <x:f t="shared" si="29"/>
        <x:v>0</x:v>
      </x:c>
      <x:c r="AM154" s="6"/>
      <x:c r="AN154" s="6"/>
    </x:row>
    <x:row r="155">
      <x:c r="A155" s="3" t="str">
        <x:f t="shared" si="20"/>
      </x:c>
      <x:c r="B155" s="9"/>
      <x:c r="C155" s="36"/>
      <x:c r="D155" s="6"/>
      <x:c r="E155" s="3" t="str">
        <x:f>IF(D155="","",IFERROR(VLOOKUP(D155,'Base Sectores'!$A$5:$J$47,2,FALSE),""))</x:f>
      </x:c>
      <x:c r="F155" s="40" t="str">
        <x:f>IF(D155="","",IFERROR(VLOOKUP(D155,'Base Sectores'!$A$5:$J$47,3,FALSE),""))</x:f>
      </x:c>
      <x:c r="G155" s="3" t="str">
        <x:f>IF(D155="","",IFERROR(VLOOKUP(D155,'Base Sectores'!$A$5:$J$47,4,FALSE),""))</x:f>
      </x:c>
      <x:c r="H155" s="3" t="str">
        <x:f>IF(D155="","",IFERROR(VLOOKUP(D155,'Base Sectores'!$A$5:$J$47,5,FALSE),""))</x:f>
      </x:c>
      <x:c r="I155" s="3" t="str">
        <x:f>IF(D155="","",IFERROR(VLOOKUP(D155,'Base Sectores'!$A$5:$J$47,6,FALSE),""))</x:f>
      </x:c>
      <x:c r="J155" s="3" t="str">
        <x:f>IF(D155="","",IFERROR(VLOOKUP(D155,'Base Sectores'!$A$5:$J$47,7,FALSE),""))</x:f>
      </x:c>
      <x:c r="K155" s="3" t="str">
        <x:f>IF(D155="","",IFERROR(VLOOKUP(D155,'Base Sectores'!$A$5:$J$47,9,FALSE),""))</x:f>
      </x:c>
      <x:c r="L155" s="6"/>
      <x:c r="M155" s="3" t="str">
        <x:f>IF(L155="","",IFERROR(VLOOKUP(L155,Configuracion!$D$4:$H$15,2,FALSE),""))</x:f>
      </x:c>
      <x:c r="N155" s="3" t="str">
        <x:f>IF(L155="","",IFERROR(VLOOKUP(L155,Configuracion!$D$4:$H$15,3,FALSE),""))</x:f>
      </x:c>
      <x:c r="O155" s="6"/>
      <x:c r="P155" s="3" t="str">
        <x:f>IF(L155="","",IFERROR(VLOOKUP(L155,Configuracion!$D$4:$H$15,4,FALSE),0))</x:f>
      </x:c>
      <x:c r="Q155" s="10"/>
      <x:c r="R155" s="10"/>
      <x:c r="S155" s="4" t="str">
        <x:f t="shared" si="21"/>
      </x:c>
      <x:c r="T155" s="6"/>
      <x:c r="U155" s="6"/>
      <x:c r="V155" s="6"/>
      <x:c r="W155" s="6"/>
      <x:c r="X155" s="6"/>
      <x:c r="Y155" s="6"/>
      <x:c r="Z155" s="6"/>
      <x:c r="AA155" s="6"/>
      <x:c r="AB155" s="6"/>
      <x:c r="AC155" s="10"/>
      <x:c r="AD155" s="10"/>
      <x:c r="AE155" s="4" t="str">
        <x:f t="shared" si="22"/>
      </x:c>
      <x:c r="AF155" s="4" t="str">
        <x:f t="shared" si="23"/>
      </x:c>
      <x:c r="AG155" s="4" t="str">
        <x:f t="shared" si="24"/>
      </x:c>
      <x:c r="AH155" s="11">
        <x:f t="shared" si="25"/>
        <x:v>0</x:v>
      </x:c>
      <x:c r="AI155" s="4" t="str">
        <x:f t="shared" si="26"/>
      </x:c>
      <x:c r="AJ155" s="4">
        <x:f t="shared" si="27"/>
        <x:v>0</x:v>
      </x:c>
      <x:c r="AK155" s="4">
        <x:f t="shared" si="28"/>
        <x:v>0</x:v>
      </x:c>
      <x:c r="AL155" s="11">
        <x:f t="shared" si="29"/>
        <x:v>0</x:v>
      </x:c>
      <x:c r="AM155" s="6"/>
      <x:c r="AN155" s="6"/>
    </x:row>
    <x:row r="156">
      <x:c r="A156" s="3" t="str">
        <x:f t="shared" si="20"/>
      </x:c>
      <x:c r="B156" s="9"/>
      <x:c r="C156" s="36"/>
      <x:c r="D156" s="6"/>
      <x:c r="E156" s="3" t="str">
        <x:f>IF(D156="","",IFERROR(VLOOKUP(D156,'Base Sectores'!$A$5:$J$47,2,FALSE),""))</x:f>
      </x:c>
      <x:c r="F156" s="40" t="str">
        <x:f>IF(D156="","",IFERROR(VLOOKUP(D156,'Base Sectores'!$A$5:$J$47,3,FALSE),""))</x:f>
      </x:c>
      <x:c r="G156" s="3" t="str">
        <x:f>IF(D156="","",IFERROR(VLOOKUP(D156,'Base Sectores'!$A$5:$J$47,4,FALSE),""))</x:f>
      </x:c>
      <x:c r="H156" s="3" t="str">
        <x:f>IF(D156="","",IFERROR(VLOOKUP(D156,'Base Sectores'!$A$5:$J$47,5,FALSE),""))</x:f>
      </x:c>
      <x:c r="I156" s="3" t="str">
        <x:f>IF(D156="","",IFERROR(VLOOKUP(D156,'Base Sectores'!$A$5:$J$47,6,FALSE),""))</x:f>
      </x:c>
      <x:c r="J156" s="3" t="str">
        <x:f>IF(D156="","",IFERROR(VLOOKUP(D156,'Base Sectores'!$A$5:$J$47,7,FALSE),""))</x:f>
      </x:c>
      <x:c r="K156" s="3" t="str">
        <x:f>IF(D156="","",IFERROR(VLOOKUP(D156,'Base Sectores'!$A$5:$J$47,9,FALSE),""))</x:f>
      </x:c>
      <x:c r="L156" s="6"/>
      <x:c r="M156" s="3" t="str">
        <x:f>IF(L156="","",IFERROR(VLOOKUP(L156,Configuracion!$D$4:$H$15,2,FALSE),""))</x:f>
      </x:c>
      <x:c r="N156" s="3" t="str">
        <x:f>IF(L156="","",IFERROR(VLOOKUP(L156,Configuracion!$D$4:$H$15,3,FALSE),""))</x:f>
      </x:c>
      <x:c r="O156" s="6"/>
      <x:c r="P156" s="3" t="str">
        <x:f>IF(L156="","",IFERROR(VLOOKUP(L156,Configuracion!$D$4:$H$15,4,FALSE),0))</x:f>
      </x:c>
      <x:c r="Q156" s="10"/>
      <x:c r="R156" s="10"/>
      <x:c r="S156" s="4" t="str">
        <x:f t="shared" si="21"/>
      </x:c>
      <x:c r="T156" s="6"/>
      <x:c r="U156" s="6"/>
      <x:c r="V156" s="6"/>
      <x:c r="W156" s="6"/>
      <x:c r="X156" s="6"/>
      <x:c r="Y156" s="6"/>
      <x:c r="Z156" s="6"/>
      <x:c r="AA156" s="6"/>
      <x:c r="AB156" s="6"/>
      <x:c r="AC156" s="10"/>
      <x:c r="AD156" s="10"/>
      <x:c r="AE156" s="4" t="str">
        <x:f t="shared" si="22"/>
      </x:c>
      <x:c r="AF156" s="4" t="str">
        <x:f t="shared" si="23"/>
      </x:c>
      <x:c r="AG156" s="4" t="str">
        <x:f t="shared" si="24"/>
      </x:c>
      <x:c r="AH156" s="11">
        <x:f t="shared" si="25"/>
        <x:v>0</x:v>
      </x:c>
      <x:c r="AI156" s="4" t="str">
        <x:f t="shared" si="26"/>
      </x:c>
      <x:c r="AJ156" s="4">
        <x:f t="shared" si="27"/>
        <x:v>0</x:v>
      </x:c>
      <x:c r="AK156" s="4">
        <x:f t="shared" si="28"/>
        <x:v>0</x:v>
      </x:c>
      <x:c r="AL156" s="11">
        <x:f t="shared" si="29"/>
        <x:v>0</x:v>
      </x:c>
      <x:c r="AM156" s="6"/>
      <x:c r="AN156" s="6"/>
    </x:row>
    <x:row r="157">
      <x:c r="A157" s="3" t="str">
        <x:f t="shared" si="20"/>
      </x:c>
      <x:c r="B157" s="9"/>
      <x:c r="C157" s="36"/>
      <x:c r="D157" s="6"/>
      <x:c r="E157" s="3" t="str">
        <x:f>IF(D157="","",IFERROR(VLOOKUP(D157,'Base Sectores'!$A$5:$J$47,2,FALSE),""))</x:f>
      </x:c>
      <x:c r="F157" s="40" t="str">
        <x:f>IF(D157="","",IFERROR(VLOOKUP(D157,'Base Sectores'!$A$5:$J$47,3,FALSE),""))</x:f>
      </x:c>
      <x:c r="G157" s="3" t="str">
        <x:f>IF(D157="","",IFERROR(VLOOKUP(D157,'Base Sectores'!$A$5:$J$47,4,FALSE),""))</x:f>
      </x:c>
      <x:c r="H157" s="3" t="str">
        <x:f>IF(D157="","",IFERROR(VLOOKUP(D157,'Base Sectores'!$A$5:$J$47,5,FALSE),""))</x:f>
      </x:c>
      <x:c r="I157" s="3" t="str">
        <x:f>IF(D157="","",IFERROR(VLOOKUP(D157,'Base Sectores'!$A$5:$J$47,6,FALSE),""))</x:f>
      </x:c>
      <x:c r="J157" s="3" t="str">
        <x:f>IF(D157="","",IFERROR(VLOOKUP(D157,'Base Sectores'!$A$5:$J$47,7,FALSE),""))</x:f>
      </x:c>
      <x:c r="K157" s="3" t="str">
        <x:f>IF(D157="","",IFERROR(VLOOKUP(D157,'Base Sectores'!$A$5:$J$47,9,FALSE),""))</x:f>
      </x:c>
      <x:c r="L157" s="6"/>
      <x:c r="M157" s="3" t="str">
        <x:f>IF(L157="","",IFERROR(VLOOKUP(L157,Configuracion!$D$4:$H$15,2,FALSE),""))</x:f>
      </x:c>
      <x:c r="N157" s="3" t="str">
        <x:f>IF(L157="","",IFERROR(VLOOKUP(L157,Configuracion!$D$4:$H$15,3,FALSE),""))</x:f>
      </x:c>
      <x:c r="O157" s="6"/>
      <x:c r="P157" s="3" t="str">
        <x:f>IF(L157="","",IFERROR(VLOOKUP(L157,Configuracion!$D$4:$H$15,4,FALSE),0))</x:f>
      </x:c>
      <x:c r="Q157" s="10"/>
      <x:c r="R157" s="10"/>
      <x:c r="S157" s="4" t="str">
        <x:f t="shared" si="21"/>
      </x:c>
      <x:c r="T157" s="6"/>
      <x:c r="U157" s="6"/>
      <x:c r="V157" s="6"/>
      <x:c r="W157" s="6"/>
      <x:c r="X157" s="6"/>
      <x:c r="Y157" s="6"/>
      <x:c r="Z157" s="6"/>
      <x:c r="AA157" s="6"/>
      <x:c r="AB157" s="6"/>
      <x:c r="AC157" s="10"/>
      <x:c r="AD157" s="10"/>
      <x:c r="AE157" s="4" t="str">
        <x:f t="shared" si="22"/>
      </x:c>
      <x:c r="AF157" s="4" t="str">
        <x:f t="shared" si="23"/>
      </x:c>
      <x:c r="AG157" s="4" t="str">
        <x:f t="shared" si="24"/>
      </x:c>
      <x:c r="AH157" s="11">
        <x:f t="shared" si="25"/>
        <x:v>0</x:v>
      </x:c>
      <x:c r="AI157" s="4" t="str">
        <x:f t="shared" si="26"/>
      </x:c>
      <x:c r="AJ157" s="4">
        <x:f t="shared" si="27"/>
        <x:v>0</x:v>
      </x:c>
      <x:c r="AK157" s="4">
        <x:f t="shared" si="28"/>
        <x:v>0</x:v>
      </x:c>
      <x:c r="AL157" s="11">
        <x:f t="shared" si="29"/>
        <x:v>0</x:v>
      </x:c>
      <x:c r="AM157" s="6"/>
      <x:c r="AN157" s="6"/>
    </x:row>
    <x:row r="158">
      <x:c r="A158" s="3" t="str">
        <x:f t="shared" si="20"/>
      </x:c>
      <x:c r="B158" s="9"/>
      <x:c r="C158" s="36"/>
      <x:c r="D158" s="6"/>
      <x:c r="E158" s="3" t="str">
        <x:f>IF(D158="","",IFERROR(VLOOKUP(D158,'Base Sectores'!$A$5:$J$47,2,FALSE),""))</x:f>
      </x:c>
      <x:c r="F158" s="40" t="str">
        <x:f>IF(D158="","",IFERROR(VLOOKUP(D158,'Base Sectores'!$A$5:$J$47,3,FALSE),""))</x:f>
      </x:c>
      <x:c r="G158" s="3" t="str">
        <x:f>IF(D158="","",IFERROR(VLOOKUP(D158,'Base Sectores'!$A$5:$J$47,4,FALSE),""))</x:f>
      </x:c>
      <x:c r="H158" s="3" t="str">
        <x:f>IF(D158="","",IFERROR(VLOOKUP(D158,'Base Sectores'!$A$5:$J$47,5,FALSE),""))</x:f>
      </x:c>
      <x:c r="I158" s="3" t="str">
        <x:f>IF(D158="","",IFERROR(VLOOKUP(D158,'Base Sectores'!$A$5:$J$47,6,FALSE),""))</x:f>
      </x:c>
      <x:c r="J158" s="3" t="str">
        <x:f>IF(D158="","",IFERROR(VLOOKUP(D158,'Base Sectores'!$A$5:$J$47,7,FALSE),""))</x:f>
      </x:c>
      <x:c r="K158" s="3" t="str">
        <x:f>IF(D158="","",IFERROR(VLOOKUP(D158,'Base Sectores'!$A$5:$J$47,9,FALSE),""))</x:f>
      </x:c>
      <x:c r="L158" s="6"/>
      <x:c r="M158" s="3" t="str">
        <x:f>IF(L158="","",IFERROR(VLOOKUP(L158,Configuracion!$D$4:$H$15,2,FALSE),""))</x:f>
      </x:c>
      <x:c r="N158" s="3" t="str">
        <x:f>IF(L158="","",IFERROR(VLOOKUP(L158,Configuracion!$D$4:$H$15,3,FALSE),""))</x:f>
      </x:c>
      <x:c r="O158" s="6"/>
      <x:c r="P158" s="3" t="str">
        <x:f>IF(L158="","",IFERROR(VLOOKUP(L158,Configuracion!$D$4:$H$15,4,FALSE),0))</x:f>
      </x:c>
      <x:c r="Q158" s="10"/>
      <x:c r="R158" s="10"/>
      <x:c r="S158" s="4" t="str">
        <x:f t="shared" si="21"/>
      </x:c>
      <x:c r="T158" s="6"/>
      <x:c r="U158" s="6"/>
      <x:c r="V158" s="6"/>
      <x:c r="W158" s="6"/>
      <x:c r="X158" s="6"/>
      <x:c r="Y158" s="6"/>
      <x:c r="Z158" s="6"/>
      <x:c r="AA158" s="6"/>
      <x:c r="AB158" s="6"/>
      <x:c r="AC158" s="10"/>
      <x:c r="AD158" s="10"/>
      <x:c r="AE158" s="4" t="str">
        <x:f t="shared" si="22"/>
      </x:c>
      <x:c r="AF158" s="4" t="str">
        <x:f t="shared" si="23"/>
      </x:c>
      <x:c r="AG158" s="4" t="str">
        <x:f t="shared" si="24"/>
      </x:c>
      <x:c r="AH158" s="11">
        <x:f t="shared" si="25"/>
        <x:v>0</x:v>
      </x:c>
      <x:c r="AI158" s="4" t="str">
        <x:f t="shared" si="26"/>
      </x:c>
      <x:c r="AJ158" s="4">
        <x:f t="shared" si="27"/>
        <x:v>0</x:v>
      </x:c>
      <x:c r="AK158" s="4">
        <x:f t="shared" si="28"/>
        <x:v>0</x:v>
      </x:c>
      <x:c r="AL158" s="11">
        <x:f t="shared" si="29"/>
        <x:v>0</x:v>
      </x:c>
      <x:c r="AM158" s="6"/>
      <x:c r="AN158" s="6"/>
    </x:row>
    <x:row r="159">
      <x:c r="A159" s="3" t="str">
        <x:f t="shared" si="20"/>
      </x:c>
      <x:c r="B159" s="9"/>
      <x:c r="C159" s="36"/>
      <x:c r="D159" s="6"/>
      <x:c r="E159" s="3" t="str">
        <x:f>IF(D159="","",IFERROR(VLOOKUP(D159,'Base Sectores'!$A$5:$J$47,2,FALSE),""))</x:f>
      </x:c>
      <x:c r="F159" s="40" t="str">
        <x:f>IF(D159="","",IFERROR(VLOOKUP(D159,'Base Sectores'!$A$5:$J$47,3,FALSE),""))</x:f>
      </x:c>
      <x:c r="G159" s="3" t="str">
        <x:f>IF(D159="","",IFERROR(VLOOKUP(D159,'Base Sectores'!$A$5:$J$47,4,FALSE),""))</x:f>
      </x:c>
      <x:c r="H159" s="3" t="str">
        <x:f>IF(D159="","",IFERROR(VLOOKUP(D159,'Base Sectores'!$A$5:$J$47,5,FALSE),""))</x:f>
      </x:c>
      <x:c r="I159" s="3" t="str">
        <x:f>IF(D159="","",IFERROR(VLOOKUP(D159,'Base Sectores'!$A$5:$J$47,6,FALSE),""))</x:f>
      </x:c>
      <x:c r="J159" s="3" t="str">
        <x:f>IF(D159="","",IFERROR(VLOOKUP(D159,'Base Sectores'!$A$5:$J$47,7,FALSE),""))</x:f>
      </x:c>
      <x:c r="K159" s="3" t="str">
        <x:f>IF(D159="","",IFERROR(VLOOKUP(D159,'Base Sectores'!$A$5:$J$47,9,FALSE),""))</x:f>
      </x:c>
      <x:c r="L159" s="6"/>
      <x:c r="M159" s="3" t="str">
        <x:f>IF(L159="","",IFERROR(VLOOKUP(L159,Configuracion!$D$4:$H$15,2,FALSE),""))</x:f>
      </x:c>
      <x:c r="N159" s="3" t="str">
        <x:f>IF(L159="","",IFERROR(VLOOKUP(L159,Configuracion!$D$4:$H$15,3,FALSE),""))</x:f>
      </x:c>
      <x:c r="O159" s="6"/>
      <x:c r="P159" s="3" t="str">
        <x:f>IF(L159="","",IFERROR(VLOOKUP(L159,Configuracion!$D$4:$H$15,4,FALSE),0))</x:f>
      </x:c>
      <x:c r="Q159" s="10"/>
      <x:c r="R159" s="10"/>
      <x:c r="S159" s="4" t="str">
        <x:f t="shared" si="21"/>
      </x:c>
      <x:c r="T159" s="6"/>
      <x:c r="U159" s="6"/>
      <x:c r="V159" s="6"/>
      <x:c r="W159" s="6"/>
      <x:c r="X159" s="6"/>
      <x:c r="Y159" s="6"/>
      <x:c r="Z159" s="6"/>
      <x:c r="AA159" s="6"/>
      <x:c r="AB159" s="6"/>
      <x:c r="AC159" s="10"/>
      <x:c r="AD159" s="10"/>
      <x:c r="AE159" s="4" t="str">
        <x:f t="shared" si="22"/>
      </x:c>
      <x:c r="AF159" s="4" t="str">
        <x:f t="shared" si="23"/>
      </x:c>
      <x:c r="AG159" s="4" t="str">
        <x:f t="shared" si="24"/>
      </x:c>
      <x:c r="AH159" s="11">
        <x:f t="shared" si="25"/>
        <x:v>0</x:v>
      </x:c>
      <x:c r="AI159" s="4" t="str">
        <x:f t="shared" si="26"/>
      </x:c>
      <x:c r="AJ159" s="4">
        <x:f t="shared" si="27"/>
        <x:v>0</x:v>
      </x:c>
      <x:c r="AK159" s="4">
        <x:f t="shared" si="28"/>
        <x:v>0</x:v>
      </x:c>
      <x:c r="AL159" s="11">
        <x:f t="shared" si="29"/>
        <x:v>0</x:v>
      </x:c>
      <x:c r="AM159" s="6"/>
      <x:c r="AN159" s="6"/>
    </x:row>
    <x:row r="160">
      <x:c r="A160" s="3" t="str">
        <x:f t="shared" si="20"/>
      </x:c>
      <x:c r="B160" s="9"/>
      <x:c r="C160" s="36"/>
      <x:c r="D160" s="6"/>
      <x:c r="E160" s="3" t="str">
        <x:f>IF(D160="","",IFERROR(VLOOKUP(D160,'Base Sectores'!$A$5:$J$47,2,FALSE),""))</x:f>
      </x:c>
      <x:c r="F160" s="40" t="str">
        <x:f>IF(D160="","",IFERROR(VLOOKUP(D160,'Base Sectores'!$A$5:$J$47,3,FALSE),""))</x:f>
      </x:c>
      <x:c r="G160" s="3" t="str">
        <x:f>IF(D160="","",IFERROR(VLOOKUP(D160,'Base Sectores'!$A$5:$J$47,4,FALSE),""))</x:f>
      </x:c>
      <x:c r="H160" s="3" t="str">
        <x:f>IF(D160="","",IFERROR(VLOOKUP(D160,'Base Sectores'!$A$5:$J$47,5,FALSE),""))</x:f>
      </x:c>
      <x:c r="I160" s="3" t="str">
        <x:f>IF(D160="","",IFERROR(VLOOKUP(D160,'Base Sectores'!$A$5:$J$47,6,FALSE),""))</x:f>
      </x:c>
      <x:c r="J160" s="3" t="str">
        <x:f>IF(D160="","",IFERROR(VLOOKUP(D160,'Base Sectores'!$A$5:$J$47,7,FALSE),""))</x:f>
      </x:c>
      <x:c r="K160" s="3" t="str">
        <x:f>IF(D160="","",IFERROR(VLOOKUP(D160,'Base Sectores'!$A$5:$J$47,9,FALSE),""))</x:f>
      </x:c>
      <x:c r="L160" s="6"/>
      <x:c r="M160" s="3" t="str">
        <x:f>IF(L160="","",IFERROR(VLOOKUP(L160,Configuracion!$D$4:$H$15,2,FALSE),""))</x:f>
      </x:c>
      <x:c r="N160" s="3" t="str">
        <x:f>IF(L160="","",IFERROR(VLOOKUP(L160,Configuracion!$D$4:$H$15,3,FALSE),""))</x:f>
      </x:c>
      <x:c r="O160" s="6"/>
      <x:c r="P160" s="3" t="str">
        <x:f>IF(L160="","",IFERROR(VLOOKUP(L160,Configuracion!$D$4:$H$15,4,FALSE),0))</x:f>
      </x:c>
      <x:c r="Q160" s="10"/>
      <x:c r="R160" s="10"/>
      <x:c r="S160" s="4" t="str">
        <x:f t="shared" si="21"/>
      </x:c>
      <x:c r="T160" s="6"/>
      <x:c r="U160" s="6"/>
      <x:c r="V160" s="6"/>
      <x:c r="W160" s="6"/>
      <x:c r="X160" s="6"/>
      <x:c r="Y160" s="6"/>
      <x:c r="Z160" s="6"/>
      <x:c r="AA160" s="6"/>
      <x:c r="AB160" s="6"/>
      <x:c r="AC160" s="10"/>
      <x:c r="AD160" s="10"/>
      <x:c r="AE160" s="4" t="str">
        <x:f t="shared" si="22"/>
      </x:c>
      <x:c r="AF160" s="4" t="str">
        <x:f t="shared" si="23"/>
      </x:c>
      <x:c r="AG160" s="4" t="str">
        <x:f t="shared" si="24"/>
      </x:c>
      <x:c r="AH160" s="11">
        <x:f t="shared" si="25"/>
        <x:v>0</x:v>
      </x:c>
      <x:c r="AI160" s="4" t="str">
        <x:f t="shared" si="26"/>
      </x:c>
      <x:c r="AJ160" s="4">
        <x:f t="shared" si="27"/>
        <x:v>0</x:v>
      </x:c>
      <x:c r="AK160" s="4">
        <x:f t="shared" si="28"/>
        <x:v>0</x:v>
      </x:c>
      <x:c r="AL160" s="11">
        <x:f t="shared" si="29"/>
        <x:v>0</x:v>
      </x:c>
      <x:c r="AM160" s="6"/>
      <x:c r="AN160" s="6"/>
    </x:row>
    <x:row r="161">
      <x:c r="A161" s="3" t="str">
        <x:f t="shared" si="20"/>
      </x:c>
      <x:c r="B161" s="9"/>
      <x:c r="C161" s="36"/>
      <x:c r="D161" s="6"/>
      <x:c r="E161" s="3" t="str">
        <x:f>IF(D161="","",IFERROR(VLOOKUP(D161,'Base Sectores'!$A$5:$J$47,2,FALSE),""))</x:f>
      </x:c>
      <x:c r="F161" s="40" t="str">
        <x:f>IF(D161="","",IFERROR(VLOOKUP(D161,'Base Sectores'!$A$5:$J$47,3,FALSE),""))</x:f>
      </x:c>
      <x:c r="G161" s="3" t="str">
        <x:f>IF(D161="","",IFERROR(VLOOKUP(D161,'Base Sectores'!$A$5:$J$47,4,FALSE),""))</x:f>
      </x:c>
      <x:c r="H161" s="3" t="str">
        <x:f>IF(D161="","",IFERROR(VLOOKUP(D161,'Base Sectores'!$A$5:$J$47,5,FALSE),""))</x:f>
      </x:c>
      <x:c r="I161" s="3" t="str">
        <x:f>IF(D161="","",IFERROR(VLOOKUP(D161,'Base Sectores'!$A$5:$J$47,6,FALSE),""))</x:f>
      </x:c>
      <x:c r="J161" s="3" t="str">
        <x:f>IF(D161="","",IFERROR(VLOOKUP(D161,'Base Sectores'!$A$5:$J$47,7,FALSE),""))</x:f>
      </x:c>
      <x:c r="K161" s="3" t="str">
        <x:f>IF(D161="","",IFERROR(VLOOKUP(D161,'Base Sectores'!$A$5:$J$47,9,FALSE),""))</x:f>
      </x:c>
      <x:c r="L161" s="6"/>
      <x:c r="M161" s="3" t="str">
        <x:f>IF(L161="","",IFERROR(VLOOKUP(L161,Configuracion!$D$4:$H$15,2,FALSE),""))</x:f>
      </x:c>
      <x:c r="N161" s="3" t="str">
        <x:f>IF(L161="","",IFERROR(VLOOKUP(L161,Configuracion!$D$4:$H$15,3,FALSE),""))</x:f>
      </x:c>
      <x:c r="O161" s="6"/>
      <x:c r="P161" s="3" t="str">
        <x:f>IF(L161="","",IFERROR(VLOOKUP(L161,Configuracion!$D$4:$H$15,4,FALSE),0))</x:f>
      </x:c>
      <x:c r="Q161" s="10"/>
      <x:c r="R161" s="10"/>
      <x:c r="S161" s="4" t="str">
        <x:f t="shared" si="21"/>
      </x:c>
      <x:c r="T161" s="6"/>
      <x:c r="U161" s="6"/>
      <x:c r="V161" s="6"/>
      <x:c r="W161" s="6"/>
      <x:c r="X161" s="6"/>
      <x:c r="Y161" s="6"/>
      <x:c r="Z161" s="6"/>
      <x:c r="AA161" s="6"/>
      <x:c r="AB161" s="6"/>
      <x:c r="AC161" s="10"/>
      <x:c r="AD161" s="10"/>
      <x:c r="AE161" s="4" t="str">
        <x:f t="shared" si="22"/>
      </x:c>
      <x:c r="AF161" s="4" t="str">
        <x:f t="shared" si="23"/>
      </x:c>
      <x:c r="AG161" s="4" t="str">
        <x:f t="shared" si="24"/>
      </x:c>
      <x:c r="AH161" s="11">
        <x:f t="shared" si="25"/>
        <x:v>0</x:v>
      </x:c>
      <x:c r="AI161" s="4" t="str">
        <x:f t="shared" si="26"/>
      </x:c>
      <x:c r="AJ161" s="4">
        <x:f t="shared" si="27"/>
        <x:v>0</x:v>
      </x:c>
      <x:c r="AK161" s="4">
        <x:f t="shared" si="28"/>
        <x:v>0</x:v>
      </x:c>
      <x:c r="AL161" s="11">
        <x:f t="shared" si="29"/>
        <x:v>0</x:v>
      </x:c>
      <x:c r="AM161" s="6"/>
      <x:c r="AN161" s="6"/>
    </x:row>
    <x:row r="162">
      <x:c r="A162" s="3" t="str">
        <x:f t="shared" si="20"/>
      </x:c>
      <x:c r="B162" s="9"/>
      <x:c r="C162" s="36"/>
      <x:c r="D162" s="6"/>
      <x:c r="E162" s="3" t="str">
        <x:f>IF(D162="","",IFERROR(VLOOKUP(D162,'Base Sectores'!$A$5:$J$47,2,FALSE),""))</x:f>
      </x:c>
      <x:c r="F162" s="40" t="str">
        <x:f>IF(D162="","",IFERROR(VLOOKUP(D162,'Base Sectores'!$A$5:$J$47,3,FALSE),""))</x:f>
      </x:c>
      <x:c r="G162" s="3" t="str">
        <x:f>IF(D162="","",IFERROR(VLOOKUP(D162,'Base Sectores'!$A$5:$J$47,4,FALSE),""))</x:f>
      </x:c>
      <x:c r="H162" s="3" t="str">
        <x:f>IF(D162="","",IFERROR(VLOOKUP(D162,'Base Sectores'!$A$5:$J$47,5,FALSE),""))</x:f>
      </x:c>
      <x:c r="I162" s="3" t="str">
        <x:f>IF(D162="","",IFERROR(VLOOKUP(D162,'Base Sectores'!$A$5:$J$47,6,FALSE),""))</x:f>
      </x:c>
      <x:c r="J162" s="3" t="str">
        <x:f>IF(D162="","",IFERROR(VLOOKUP(D162,'Base Sectores'!$A$5:$J$47,7,FALSE),""))</x:f>
      </x:c>
      <x:c r="K162" s="3" t="str">
        <x:f>IF(D162="","",IFERROR(VLOOKUP(D162,'Base Sectores'!$A$5:$J$47,9,FALSE),""))</x:f>
      </x:c>
      <x:c r="L162" s="6"/>
      <x:c r="M162" s="3" t="str">
        <x:f>IF(L162="","",IFERROR(VLOOKUP(L162,Configuracion!$D$4:$H$15,2,FALSE),""))</x:f>
      </x:c>
      <x:c r="N162" s="3" t="str">
        <x:f>IF(L162="","",IFERROR(VLOOKUP(L162,Configuracion!$D$4:$H$15,3,FALSE),""))</x:f>
      </x:c>
      <x:c r="O162" s="6"/>
      <x:c r="P162" s="3" t="str">
        <x:f>IF(L162="","",IFERROR(VLOOKUP(L162,Configuracion!$D$4:$H$15,4,FALSE),0))</x:f>
      </x:c>
      <x:c r="Q162" s="10"/>
      <x:c r="R162" s="10"/>
      <x:c r="S162" s="4" t="str">
        <x:f t="shared" si="21"/>
      </x:c>
      <x:c r="T162" s="6"/>
      <x:c r="U162" s="6"/>
      <x:c r="V162" s="6"/>
      <x:c r="W162" s="6"/>
      <x:c r="X162" s="6"/>
      <x:c r="Y162" s="6"/>
      <x:c r="Z162" s="6"/>
      <x:c r="AA162" s="6"/>
      <x:c r="AB162" s="6"/>
      <x:c r="AC162" s="10"/>
      <x:c r="AD162" s="10"/>
      <x:c r="AE162" s="4" t="str">
        <x:f t="shared" si="22"/>
      </x:c>
      <x:c r="AF162" s="4" t="str">
        <x:f t="shared" si="23"/>
      </x:c>
      <x:c r="AG162" s="4" t="str">
        <x:f t="shared" si="24"/>
      </x:c>
      <x:c r="AH162" s="11">
        <x:f t="shared" si="25"/>
        <x:v>0</x:v>
      </x:c>
      <x:c r="AI162" s="4" t="str">
        <x:f t="shared" si="26"/>
      </x:c>
      <x:c r="AJ162" s="4">
        <x:f t="shared" si="27"/>
        <x:v>0</x:v>
      </x:c>
      <x:c r="AK162" s="4">
        <x:f t="shared" si="28"/>
        <x:v>0</x:v>
      </x:c>
      <x:c r="AL162" s="11">
        <x:f t="shared" si="29"/>
        <x:v>0</x:v>
      </x:c>
      <x:c r="AM162" s="6"/>
      <x:c r="AN162" s="6"/>
    </x:row>
    <x:row r="163">
      <x:c r="A163" s="3" t="str">
        <x:f t="shared" si="20"/>
      </x:c>
      <x:c r="B163" s="9"/>
      <x:c r="C163" s="36"/>
      <x:c r="D163" s="6"/>
      <x:c r="E163" s="3" t="str">
        <x:f>IF(D163="","",IFERROR(VLOOKUP(D163,'Base Sectores'!$A$5:$J$47,2,FALSE),""))</x:f>
      </x:c>
      <x:c r="F163" s="40" t="str">
        <x:f>IF(D163="","",IFERROR(VLOOKUP(D163,'Base Sectores'!$A$5:$J$47,3,FALSE),""))</x:f>
      </x:c>
      <x:c r="G163" s="3" t="str">
        <x:f>IF(D163="","",IFERROR(VLOOKUP(D163,'Base Sectores'!$A$5:$J$47,4,FALSE),""))</x:f>
      </x:c>
      <x:c r="H163" s="3" t="str">
        <x:f>IF(D163="","",IFERROR(VLOOKUP(D163,'Base Sectores'!$A$5:$J$47,5,FALSE),""))</x:f>
      </x:c>
      <x:c r="I163" s="3" t="str">
        <x:f>IF(D163="","",IFERROR(VLOOKUP(D163,'Base Sectores'!$A$5:$J$47,6,FALSE),""))</x:f>
      </x:c>
      <x:c r="J163" s="3" t="str">
        <x:f>IF(D163="","",IFERROR(VLOOKUP(D163,'Base Sectores'!$A$5:$J$47,7,FALSE),""))</x:f>
      </x:c>
      <x:c r="K163" s="3" t="str">
        <x:f>IF(D163="","",IFERROR(VLOOKUP(D163,'Base Sectores'!$A$5:$J$47,9,FALSE),""))</x:f>
      </x:c>
      <x:c r="L163" s="6"/>
      <x:c r="M163" s="3" t="str">
        <x:f>IF(L163="","",IFERROR(VLOOKUP(L163,Configuracion!$D$4:$H$15,2,FALSE),""))</x:f>
      </x:c>
      <x:c r="N163" s="3" t="str">
        <x:f>IF(L163="","",IFERROR(VLOOKUP(L163,Configuracion!$D$4:$H$15,3,FALSE),""))</x:f>
      </x:c>
      <x:c r="O163" s="6"/>
      <x:c r="P163" s="3" t="str">
        <x:f>IF(L163="","",IFERROR(VLOOKUP(L163,Configuracion!$D$4:$H$15,4,FALSE),0))</x:f>
      </x:c>
      <x:c r="Q163" s="10"/>
      <x:c r="R163" s="10"/>
      <x:c r="S163" s="4" t="str">
        <x:f t="shared" si="21"/>
      </x:c>
      <x:c r="T163" s="6"/>
      <x:c r="U163" s="6"/>
      <x:c r="V163" s="6"/>
      <x:c r="W163" s="6"/>
      <x:c r="X163" s="6"/>
      <x:c r="Y163" s="6"/>
      <x:c r="Z163" s="6"/>
      <x:c r="AA163" s="6"/>
      <x:c r="AB163" s="6"/>
      <x:c r="AC163" s="10"/>
      <x:c r="AD163" s="10"/>
      <x:c r="AE163" s="4" t="str">
        <x:f t="shared" si="22"/>
      </x:c>
      <x:c r="AF163" s="4" t="str">
        <x:f t="shared" si="23"/>
      </x:c>
      <x:c r="AG163" s="4" t="str">
        <x:f t="shared" si="24"/>
      </x:c>
      <x:c r="AH163" s="11">
        <x:f t="shared" si="25"/>
        <x:v>0</x:v>
      </x:c>
      <x:c r="AI163" s="4" t="str">
        <x:f t="shared" si="26"/>
      </x:c>
      <x:c r="AJ163" s="4">
        <x:f t="shared" si="27"/>
        <x:v>0</x:v>
      </x:c>
      <x:c r="AK163" s="4">
        <x:f t="shared" si="28"/>
        <x:v>0</x:v>
      </x:c>
      <x:c r="AL163" s="11">
        <x:f t="shared" si="29"/>
        <x:v>0</x:v>
      </x:c>
      <x:c r="AM163" s="6"/>
      <x:c r="AN163" s="6"/>
    </x:row>
    <x:row r="164">
      <x:c r="A164" s="3" t="str">
        <x:f t="shared" si="20"/>
      </x:c>
      <x:c r="B164" s="9"/>
      <x:c r="C164" s="36"/>
      <x:c r="D164" s="6"/>
      <x:c r="E164" s="3" t="str">
        <x:f>IF(D164="","",IFERROR(VLOOKUP(D164,'Base Sectores'!$A$5:$J$47,2,FALSE),""))</x:f>
      </x:c>
      <x:c r="F164" s="40" t="str">
        <x:f>IF(D164="","",IFERROR(VLOOKUP(D164,'Base Sectores'!$A$5:$J$47,3,FALSE),""))</x:f>
      </x:c>
      <x:c r="G164" s="3" t="str">
        <x:f>IF(D164="","",IFERROR(VLOOKUP(D164,'Base Sectores'!$A$5:$J$47,4,FALSE),""))</x:f>
      </x:c>
      <x:c r="H164" s="3" t="str">
        <x:f>IF(D164="","",IFERROR(VLOOKUP(D164,'Base Sectores'!$A$5:$J$47,5,FALSE),""))</x:f>
      </x:c>
      <x:c r="I164" s="3" t="str">
        <x:f>IF(D164="","",IFERROR(VLOOKUP(D164,'Base Sectores'!$A$5:$J$47,6,FALSE),""))</x:f>
      </x:c>
      <x:c r="J164" s="3" t="str">
        <x:f>IF(D164="","",IFERROR(VLOOKUP(D164,'Base Sectores'!$A$5:$J$47,7,FALSE),""))</x:f>
      </x:c>
      <x:c r="K164" s="3" t="str">
        <x:f>IF(D164="","",IFERROR(VLOOKUP(D164,'Base Sectores'!$A$5:$J$47,9,FALSE),""))</x:f>
      </x:c>
      <x:c r="L164" s="6"/>
      <x:c r="M164" s="3" t="str">
        <x:f>IF(L164="","",IFERROR(VLOOKUP(L164,Configuracion!$D$4:$H$15,2,FALSE),""))</x:f>
      </x:c>
      <x:c r="N164" s="3" t="str">
        <x:f>IF(L164="","",IFERROR(VLOOKUP(L164,Configuracion!$D$4:$H$15,3,FALSE),""))</x:f>
      </x:c>
      <x:c r="O164" s="6"/>
      <x:c r="P164" s="3" t="str">
        <x:f>IF(L164="","",IFERROR(VLOOKUP(L164,Configuracion!$D$4:$H$15,4,FALSE),0))</x:f>
      </x:c>
      <x:c r="Q164" s="10"/>
      <x:c r="R164" s="10"/>
      <x:c r="S164" s="4" t="str">
        <x:f t="shared" si="21"/>
      </x:c>
      <x:c r="T164" s="6"/>
      <x:c r="U164" s="6"/>
      <x:c r="V164" s="6"/>
      <x:c r="W164" s="6"/>
      <x:c r="X164" s="6"/>
      <x:c r="Y164" s="6"/>
      <x:c r="Z164" s="6"/>
      <x:c r="AA164" s="6"/>
      <x:c r="AB164" s="6"/>
      <x:c r="AC164" s="10"/>
      <x:c r="AD164" s="10"/>
      <x:c r="AE164" s="4" t="str">
        <x:f t="shared" si="22"/>
      </x:c>
      <x:c r="AF164" s="4" t="str">
        <x:f t="shared" si="23"/>
      </x:c>
      <x:c r="AG164" s="4" t="str">
        <x:f t="shared" si="24"/>
      </x:c>
      <x:c r="AH164" s="11">
        <x:f t="shared" si="25"/>
        <x:v>0</x:v>
      </x:c>
      <x:c r="AI164" s="4" t="str">
        <x:f t="shared" si="26"/>
      </x:c>
      <x:c r="AJ164" s="4">
        <x:f t="shared" si="27"/>
        <x:v>0</x:v>
      </x:c>
      <x:c r="AK164" s="4">
        <x:f t="shared" si="28"/>
        <x:v>0</x:v>
      </x:c>
      <x:c r="AL164" s="11">
        <x:f t="shared" si="29"/>
        <x:v>0</x:v>
      </x:c>
      <x:c r="AM164" s="6"/>
      <x:c r="AN164" s="6"/>
    </x:row>
    <x:row r="165">
      <x:c r="A165" s="3" t="str">
        <x:f t="shared" si="20"/>
      </x:c>
      <x:c r="B165" s="9"/>
      <x:c r="C165" s="36"/>
      <x:c r="D165" s="6"/>
      <x:c r="E165" s="3" t="str">
        <x:f>IF(D165="","",IFERROR(VLOOKUP(D165,'Base Sectores'!$A$5:$J$47,2,FALSE),""))</x:f>
      </x:c>
      <x:c r="F165" s="40" t="str">
        <x:f>IF(D165="","",IFERROR(VLOOKUP(D165,'Base Sectores'!$A$5:$J$47,3,FALSE),""))</x:f>
      </x:c>
      <x:c r="G165" s="3" t="str">
        <x:f>IF(D165="","",IFERROR(VLOOKUP(D165,'Base Sectores'!$A$5:$J$47,4,FALSE),""))</x:f>
      </x:c>
      <x:c r="H165" s="3" t="str">
        <x:f>IF(D165="","",IFERROR(VLOOKUP(D165,'Base Sectores'!$A$5:$J$47,5,FALSE),""))</x:f>
      </x:c>
      <x:c r="I165" s="3" t="str">
        <x:f>IF(D165="","",IFERROR(VLOOKUP(D165,'Base Sectores'!$A$5:$J$47,6,FALSE),""))</x:f>
      </x:c>
      <x:c r="J165" s="3" t="str">
        <x:f>IF(D165="","",IFERROR(VLOOKUP(D165,'Base Sectores'!$A$5:$J$47,7,FALSE),""))</x:f>
      </x:c>
      <x:c r="K165" s="3" t="str">
        <x:f>IF(D165="","",IFERROR(VLOOKUP(D165,'Base Sectores'!$A$5:$J$47,9,FALSE),""))</x:f>
      </x:c>
      <x:c r="L165" s="6"/>
      <x:c r="M165" s="3" t="str">
        <x:f>IF(L165="","",IFERROR(VLOOKUP(L165,Configuracion!$D$4:$H$15,2,FALSE),""))</x:f>
      </x:c>
      <x:c r="N165" s="3" t="str">
        <x:f>IF(L165="","",IFERROR(VLOOKUP(L165,Configuracion!$D$4:$H$15,3,FALSE),""))</x:f>
      </x:c>
      <x:c r="O165" s="6"/>
      <x:c r="P165" s="3" t="str">
        <x:f>IF(L165="","",IFERROR(VLOOKUP(L165,Configuracion!$D$4:$H$15,4,FALSE),0))</x:f>
      </x:c>
      <x:c r="Q165" s="10"/>
      <x:c r="R165" s="10"/>
      <x:c r="S165" s="4" t="str">
        <x:f t="shared" si="21"/>
      </x:c>
      <x:c r="T165" s="6"/>
      <x:c r="U165" s="6"/>
      <x:c r="V165" s="6"/>
      <x:c r="W165" s="6"/>
      <x:c r="X165" s="6"/>
      <x:c r="Y165" s="6"/>
      <x:c r="Z165" s="6"/>
      <x:c r="AA165" s="6"/>
      <x:c r="AB165" s="6"/>
      <x:c r="AC165" s="10"/>
      <x:c r="AD165" s="10"/>
      <x:c r="AE165" s="4" t="str">
        <x:f t="shared" si="22"/>
      </x:c>
      <x:c r="AF165" s="4" t="str">
        <x:f t="shared" si="23"/>
      </x:c>
      <x:c r="AG165" s="4" t="str">
        <x:f t="shared" si="24"/>
      </x:c>
      <x:c r="AH165" s="11">
        <x:f t="shared" si="25"/>
        <x:v>0</x:v>
      </x:c>
      <x:c r="AI165" s="4" t="str">
        <x:f t="shared" si="26"/>
      </x:c>
      <x:c r="AJ165" s="4">
        <x:f t="shared" si="27"/>
        <x:v>0</x:v>
      </x:c>
      <x:c r="AK165" s="4">
        <x:f t="shared" si="28"/>
        <x:v>0</x:v>
      </x:c>
      <x:c r="AL165" s="11">
        <x:f t="shared" si="29"/>
        <x:v>0</x:v>
      </x:c>
      <x:c r="AM165" s="6"/>
      <x:c r="AN165" s="6"/>
    </x:row>
    <x:row r="166">
      <x:c r="A166" s="3" t="str">
        <x:f t="shared" si="20"/>
      </x:c>
      <x:c r="B166" s="9"/>
      <x:c r="C166" s="36"/>
      <x:c r="D166" s="6"/>
      <x:c r="E166" s="3" t="str">
        <x:f>IF(D166="","",IFERROR(VLOOKUP(D166,'Base Sectores'!$A$5:$J$47,2,FALSE),""))</x:f>
      </x:c>
      <x:c r="F166" s="40" t="str">
        <x:f>IF(D166="","",IFERROR(VLOOKUP(D166,'Base Sectores'!$A$5:$J$47,3,FALSE),""))</x:f>
      </x:c>
      <x:c r="G166" s="3" t="str">
        <x:f>IF(D166="","",IFERROR(VLOOKUP(D166,'Base Sectores'!$A$5:$J$47,4,FALSE),""))</x:f>
      </x:c>
      <x:c r="H166" s="3" t="str">
        <x:f>IF(D166="","",IFERROR(VLOOKUP(D166,'Base Sectores'!$A$5:$J$47,5,FALSE),""))</x:f>
      </x:c>
      <x:c r="I166" s="3" t="str">
        <x:f>IF(D166="","",IFERROR(VLOOKUP(D166,'Base Sectores'!$A$5:$J$47,6,FALSE),""))</x:f>
      </x:c>
      <x:c r="J166" s="3" t="str">
        <x:f>IF(D166="","",IFERROR(VLOOKUP(D166,'Base Sectores'!$A$5:$J$47,7,FALSE),""))</x:f>
      </x:c>
      <x:c r="K166" s="3" t="str">
        <x:f>IF(D166="","",IFERROR(VLOOKUP(D166,'Base Sectores'!$A$5:$J$47,9,FALSE),""))</x:f>
      </x:c>
      <x:c r="L166" s="6"/>
      <x:c r="M166" s="3" t="str">
        <x:f>IF(L166="","",IFERROR(VLOOKUP(L166,Configuracion!$D$4:$H$15,2,FALSE),""))</x:f>
      </x:c>
      <x:c r="N166" s="3" t="str">
        <x:f>IF(L166="","",IFERROR(VLOOKUP(L166,Configuracion!$D$4:$H$15,3,FALSE),""))</x:f>
      </x:c>
      <x:c r="O166" s="6"/>
      <x:c r="P166" s="3" t="str">
        <x:f>IF(L166="","",IFERROR(VLOOKUP(L166,Configuracion!$D$4:$H$15,4,FALSE),0))</x:f>
      </x:c>
      <x:c r="Q166" s="10"/>
      <x:c r="R166" s="10"/>
      <x:c r="S166" s="4" t="str">
        <x:f t="shared" si="21"/>
      </x:c>
      <x:c r="T166" s="6"/>
      <x:c r="U166" s="6"/>
      <x:c r="V166" s="6"/>
      <x:c r="W166" s="6"/>
      <x:c r="X166" s="6"/>
      <x:c r="Y166" s="6"/>
      <x:c r="Z166" s="6"/>
      <x:c r="AA166" s="6"/>
      <x:c r="AB166" s="6"/>
      <x:c r="AC166" s="10"/>
      <x:c r="AD166" s="10"/>
      <x:c r="AE166" s="4" t="str">
        <x:f t="shared" si="22"/>
      </x:c>
      <x:c r="AF166" s="4" t="str">
        <x:f t="shared" si="23"/>
      </x:c>
      <x:c r="AG166" s="4" t="str">
        <x:f t="shared" si="24"/>
      </x:c>
      <x:c r="AH166" s="11">
        <x:f t="shared" si="25"/>
        <x:v>0</x:v>
      </x:c>
      <x:c r="AI166" s="4" t="str">
        <x:f t="shared" si="26"/>
      </x:c>
      <x:c r="AJ166" s="4">
        <x:f t="shared" si="27"/>
        <x:v>0</x:v>
      </x:c>
      <x:c r="AK166" s="4">
        <x:f t="shared" si="28"/>
        <x:v>0</x:v>
      </x:c>
      <x:c r="AL166" s="11">
        <x:f t="shared" si="29"/>
        <x:v>0</x:v>
      </x:c>
      <x:c r="AM166" s="6"/>
      <x:c r="AN166" s="6"/>
    </x:row>
    <x:row r="167">
      <x:c r="A167" s="3" t="str">
        <x:f t="shared" si="20"/>
      </x:c>
      <x:c r="B167" s="9"/>
      <x:c r="C167" s="36"/>
      <x:c r="D167" s="6"/>
      <x:c r="E167" s="3" t="str">
        <x:f>IF(D167="","",IFERROR(VLOOKUP(D167,'Base Sectores'!$A$5:$J$47,2,FALSE),""))</x:f>
      </x:c>
      <x:c r="F167" s="40" t="str">
        <x:f>IF(D167="","",IFERROR(VLOOKUP(D167,'Base Sectores'!$A$5:$J$47,3,FALSE),""))</x:f>
      </x:c>
      <x:c r="G167" s="3" t="str">
        <x:f>IF(D167="","",IFERROR(VLOOKUP(D167,'Base Sectores'!$A$5:$J$47,4,FALSE),""))</x:f>
      </x:c>
      <x:c r="H167" s="3" t="str">
        <x:f>IF(D167="","",IFERROR(VLOOKUP(D167,'Base Sectores'!$A$5:$J$47,5,FALSE),""))</x:f>
      </x:c>
      <x:c r="I167" s="3" t="str">
        <x:f>IF(D167="","",IFERROR(VLOOKUP(D167,'Base Sectores'!$A$5:$J$47,6,FALSE),""))</x:f>
      </x:c>
      <x:c r="J167" s="3" t="str">
        <x:f>IF(D167="","",IFERROR(VLOOKUP(D167,'Base Sectores'!$A$5:$J$47,7,FALSE),""))</x:f>
      </x:c>
      <x:c r="K167" s="3" t="str">
        <x:f>IF(D167="","",IFERROR(VLOOKUP(D167,'Base Sectores'!$A$5:$J$47,9,FALSE),""))</x:f>
      </x:c>
      <x:c r="L167" s="6"/>
      <x:c r="M167" s="3" t="str">
        <x:f>IF(L167="","",IFERROR(VLOOKUP(L167,Configuracion!$D$4:$H$15,2,FALSE),""))</x:f>
      </x:c>
      <x:c r="N167" s="3" t="str">
        <x:f>IF(L167="","",IFERROR(VLOOKUP(L167,Configuracion!$D$4:$H$15,3,FALSE),""))</x:f>
      </x:c>
      <x:c r="O167" s="6"/>
      <x:c r="P167" s="3" t="str">
        <x:f>IF(L167="","",IFERROR(VLOOKUP(L167,Configuracion!$D$4:$H$15,4,FALSE),0))</x:f>
      </x:c>
      <x:c r="Q167" s="10"/>
      <x:c r="R167" s="10"/>
      <x:c r="S167" s="4" t="str">
        <x:f t="shared" si="21"/>
      </x:c>
      <x:c r="T167" s="6"/>
      <x:c r="U167" s="6"/>
      <x:c r="V167" s="6"/>
      <x:c r="W167" s="6"/>
      <x:c r="X167" s="6"/>
      <x:c r="Y167" s="6"/>
      <x:c r="Z167" s="6"/>
      <x:c r="AA167" s="6"/>
      <x:c r="AB167" s="6"/>
      <x:c r="AC167" s="10"/>
      <x:c r="AD167" s="10"/>
      <x:c r="AE167" s="4" t="str">
        <x:f t="shared" si="22"/>
      </x:c>
      <x:c r="AF167" s="4" t="str">
        <x:f t="shared" si="23"/>
      </x:c>
      <x:c r="AG167" s="4" t="str">
        <x:f t="shared" si="24"/>
      </x:c>
      <x:c r="AH167" s="11">
        <x:f t="shared" si="25"/>
        <x:v>0</x:v>
      </x:c>
      <x:c r="AI167" s="4" t="str">
        <x:f t="shared" si="26"/>
      </x:c>
      <x:c r="AJ167" s="4">
        <x:f t="shared" si="27"/>
        <x:v>0</x:v>
      </x:c>
      <x:c r="AK167" s="4">
        <x:f t="shared" si="28"/>
        <x:v>0</x:v>
      </x:c>
      <x:c r="AL167" s="11">
        <x:f t="shared" si="29"/>
        <x:v>0</x:v>
      </x:c>
      <x:c r="AM167" s="6"/>
      <x:c r="AN167" s="6"/>
    </x:row>
    <x:row r="168">
      <x:c r="A168" s="3" t="str">
        <x:f t="shared" si="20"/>
      </x:c>
      <x:c r="B168" s="9"/>
      <x:c r="C168" s="36"/>
      <x:c r="D168" s="6"/>
      <x:c r="E168" s="3" t="str">
        <x:f>IF(D168="","",IFERROR(VLOOKUP(D168,'Base Sectores'!$A$5:$J$47,2,FALSE),""))</x:f>
      </x:c>
      <x:c r="F168" s="40" t="str">
        <x:f>IF(D168="","",IFERROR(VLOOKUP(D168,'Base Sectores'!$A$5:$J$47,3,FALSE),""))</x:f>
      </x:c>
      <x:c r="G168" s="3" t="str">
        <x:f>IF(D168="","",IFERROR(VLOOKUP(D168,'Base Sectores'!$A$5:$J$47,4,FALSE),""))</x:f>
      </x:c>
      <x:c r="H168" s="3" t="str">
        <x:f>IF(D168="","",IFERROR(VLOOKUP(D168,'Base Sectores'!$A$5:$J$47,5,FALSE),""))</x:f>
      </x:c>
      <x:c r="I168" s="3" t="str">
        <x:f>IF(D168="","",IFERROR(VLOOKUP(D168,'Base Sectores'!$A$5:$J$47,6,FALSE),""))</x:f>
      </x:c>
      <x:c r="J168" s="3" t="str">
        <x:f>IF(D168="","",IFERROR(VLOOKUP(D168,'Base Sectores'!$A$5:$J$47,7,FALSE),""))</x:f>
      </x:c>
      <x:c r="K168" s="3" t="str">
        <x:f>IF(D168="","",IFERROR(VLOOKUP(D168,'Base Sectores'!$A$5:$J$47,9,FALSE),""))</x:f>
      </x:c>
      <x:c r="L168" s="6"/>
      <x:c r="M168" s="3" t="str">
        <x:f>IF(L168="","",IFERROR(VLOOKUP(L168,Configuracion!$D$4:$H$15,2,FALSE),""))</x:f>
      </x:c>
      <x:c r="N168" s="3" t="str">
        <x:f>IF(L168="","",IFERROR(VLOOKUP(L168,Configuracion!$D$4:$H$15,3,FALSE),""))</x:f>
      </x:c>
      <x:c r="O168" s="6"/>
      <x:c r="P168" s="3" t="str">
        <x:f>IF(L168="","",IFERROR(VLOOKUP(L168,Configuracion!$D$4:$H$15,4,FALSE),0))</x:f>
      </x:c>
      <x:c r="Q168" s="10"/>
      <x:c r="R168" s="10"/>
      <x:c r="S168" s="4" t="str">
        <x:f t="shared" si="21"/>
      </x:c>
      <x:c r="T168" s="6"/>
      <x:c r="U168" s="6"/>
      <x:c r="V168" s="6"/>
      <x:c r="W168" s="6"/>
      <x:c r="X168" s="6"/>
      <x:c r="Y168" s="6"/>
      <x:c r="Z168" s="6"/>
      <x:c r="AA168" s="6"/>
      <x:c r="AB168" s="6"/>
      <x:c r="AC168" s="10"/>
      <x:c r="AD168" s="10"/>
      <x:c r="AE168" s="4" t="str">
        <x:f t="shared" si="22"/>
      </x:c>
      <x:c r="AF168" s="4" t="str">
        <x:f t="shared" si="23"/>
      </x:c>
      <x:c r="AG168" s="4" t="str">
        <x:f t="shared" si="24"/>
      </x:c>
      <x:c r="AH168" s="11">
        <x:f t="shared" si="25"/>
        <x:v>0</x:v>
      </x:c>
      <x:c r="AI168" s="4" t="str">
        <x:f t="shared" si="26"/>
      </x:c>
      <x:c r="AJ168" s="4">
        <x:f t="shared" si="27"/>
        <x:v>0</x:v>
      </x:c>
      <x:c r="AK168" s="4">
        <x:f t="shared" si="28"/>
        <x:v>0</x:v>
      </x:c>
      <x:c r="AL168" s="11">
        <x:f t="shared" si="29"/>
        <x:v>0</x:v>
      </x:c>
      <x:c r="AM168" s="6"/>
      <x:c r="AN168" s="6"/>
    </x:row>
    <x:row r="169">
      <x:c r="A169" s="3" t="str">
        <x:f t="shared" si="20"/>
      </x:c>
      <x:c r="B169" s="9"/>
      <x:c r="C169" s="36"/>
      <x:c r="D169" s="6"/>
      <x:c r="E169" s="3" t="str">
        <x:f>IF(D169="","",IFERROR(VLOOKUP(D169,'Base Sectores'!$A$5:$J$47,2,FALSE),""))</x:f>
      </x:c>
      <x:c r="F169" s="40" t="str">
        <x:f>IF(D169="","",IFERROR(VLOOKUP(D169,'Base Sectores'!$A$5:$J$47,3,FALSE),""))</x:f>
      </x:c>
      <x:c r="G169" s="3" t="str">
        <x:f>IF(D169="","",IFERROR(VLOOKUP(D169,'Base Sectores'!$A$5:$J$47,4,FALSE),""))</x:f>
      </x:c>
      <x:c r="H169" s="3" t="str">
        <x:f>IF(D169="","",IFERROR(VLOOKUP(D169,'Base Sectores'!$A$5:$J$47,5,FALSE),""))</x:f>
      </x:c>
      <x:c r="I169" s="3" t="str">
        <x:f>IF(D169="","",IFERROR(VLOOKUP(D169,'Base Sectores'!$A$5:$J$47,6,FALSE),""))</x:f>
      </x:c>
      <x:c r="J169" s="3" t="str">
        <x:f>IF(D169="","",IFERROR(VLOOKUP(D169,'Base Sectores'!$A$5:$J$47,7,FALSE),""))</x:f>
      </x:c>
      <x:c r="K169" s="3" t="str">
        <x:f>IF(D169="","",IFERROR(VLOOKUP(D169,'Base Sectores'!$A$5:$J$47,9,FALSE),""))</x:f>
      </x:c>
      <x:c r="L169" s="6"/>
      <x:c r="M169" s="3" t="str">
        <x:f>IF(L169="","",IFERROR(VLOOKUP(L169,Configuracion!$D$4:$H$15,2,FALSE),""))</x:f>
      </x:c>
      <x:c r="N169" s="3" t="str">
        <x:f>IF(L169="","",IFERROR(VLOOKUP(L169,Configuracion!$D$4:$H$15,3,FALSE),""))</x:f>
      </x:c>
      <x:c r="O169" s="6"/>
      <x:c r="P169" s="3" t="str">
        <x:f>IF(L169="","",IFERROR(VLOOKUP(L169,Configuracion!$D$4:$H$15,4,FALSE),0))</x:f>
      </x:c>
      <x:c r="Q169" s="10"/>
      <x:c r="R169" s="10"/>
      <x:c r="S169" s="4" t="str">
        <x:f t="shared" si="21"/>
      </x:c>
      <x:c r="T169" s="6"/>
      <x:c r="U169" s="6"/>
      <x:c r="V169" s="6"/>
      <x:c r="W169" s="6"/>
      <x:c r="X169" s="6"/>
      <x:c r="Y169" s="6"/>
      <x:c r="Z169" s="6"/>
      <x:c r="AA169" s="6"/>
      <x:c r="AB169" s="6"/>
      <x:c r="AC169" s="10"/>
      <x:c r="AD169" s="10"/>
      <x:c r="AE169" s="4" t="str">
        <x:f t="shared" si="22"/>
      </x:c>
      <x:c r="AF169" s="4" t="str">
        <x:f t="shared" si="23"/>
      </x:c>
      <x:c r="AG169" s="4" t="str">
        <x:f t="shared" si="24"/>
      </x:c>
      <x:c r="AH169" s="11">
        <x:f t="shared" si="25"/>
        <x:v>0</x:v>
      </x:c>
      <x:c r="AI169" s="4" t="str">
        <x:f t="shared" si="26"/>
      </x:c>
      <x:c r="AJ169" s="4">
        <x:f t="shared" si="27"/>
        <x:v>0</x:v>
      </x:c>
      <x:c r="AK169" s="4">
        <x:f t="shared" si="28"/>
        <x:v>0</x:v>
      </x:c>
      <x:c r="AL169" s="11">
        <x:f t="shared" si="29"/>
        <x:v>0</x:v>
      </x:c>
      <x:c r="AM169" s="6"/>
      <x:c r="AN169" s="6"/>
    </x:row>
    <x:row r="170">
      <x:c r="A170" s="3" t="str">
        <x:f t="shared" si="20"/>
      </x:c>
      <x:c r="B170" s="9"/>
      <x:c r="C170" s="36"/>
      <x:c r="D170" s="6"/>
      <x:c r="E170" s="3" t="str">
        <x:f>IF(D170="","",IFERROR(VLOOKUP(D170,'Base Sectores'!$A$5:$J$47,2,FALSE),""))</x:f>
      </x:c>
      <x:c r="F170" s="40" t="str">
        <x:f>IF(D170="","",IFERROR(VLOOKUP(D170,'Base Sectores'!$A$5:$J$47,3,FALSE),""))</x:f>
      </x:c>
      <x:c r="G170" s="3" t="str">
        <x:f>IF(D170="","",IFERROR(VLOOKUP(D170,'Base Sectores'!$A$5:$J$47,4,FALSE),""))</x:f>
      </x:c>
      <x:c r="H170" s="3" t="str">
        <x:f>IF(D170="","",IFERROR(VLOOKUP(D170,'Base Sectores'!$A$5:$J$47,5,FALSE),""))</x:f>
      </x:c>
      <x:c r="I170" s="3" t="str">
        <x:f>IF(D170="","",IFERROR(VLOOKUP(D170,'Base Sectores'!$A$5:$J$47,6,FALSE),""))</x:f>
      </x:c>
      <x:c r="J170" s="3" t="str">
        <x:f>IF(D170="","",IFERROR(VLOOKUP(D170,'Base Sectores'!$A$5:$J$47,7,FALSE),""))</x:f>
      </x:c>
      <x:c r="K170" s="3" t="str">
        <x:f>IF(D170="","",IFERROR(VLOOKUP(D170,'Base Sectores'!$A$5:$J$47,9,FALSE),""))</x:f>
      </x:c>
      <x:c r="L170" s="6"/>
      <x:c r="M170" s="3" t="str">
        <x:f>IF(L170="","",IFERROR(VLOOKUP(L170,Configuracion!$D$4:$H$15,2,FALSE),""))</x:f>
      </x:c>
      <x:c r="N170" s="3" t="str">
        <x:f>IF(L170="","",IFERROR(VLOOKUP(L170,Configuracion!$D$4:$H$15,3,FALSE),""))</x:f>
      </x:c>
      <x:c r="O170" s="6"/>
      <x:c r="P170" s="3" t="str">
        <x:f>IF(L170="","",IFERROR(VLOOKUP(L170,Configuracion!$D$4:$H$15,4,FALSE),0))</x:f>
      </x:c>
      <x:c r="Q170" s="10"/>
      <x:c r="R170" s="10"/>
      <x:c r="S170" s="4" t="str">
        <x:f t="shared" si="21"/>
      </x:c>
      <x:c r="T170" s="6"/>
      <x:c r="U170" s="6"/>
      <x:c r="V170" s="6"/>
      <x:c r="W170" s="6"/>
      <x:c r="X170" s="6"/>
      <x:c r="Y170" s="6"/>
      <x:c r="Z170" s="6"/>
      <x:c r="AA170" s="6"/>
      <x:c r="AB170" s="6"/>
      <x:c r="AC170" s="10"/>
      <x:c r="AD170" s="10"/>
      <x:c r="AE170" s="4" t="str">
        <x:f t="shared" si="22"/>
      </x:c>
      <x:c r="AF170" s="4" t="str">
        <x:f t="shared" si="23"/>
      </x:c>
      <x:c r="AG170" s="4" t="str">
        <x:f t="shared" si="24"/>
      </x:c>
      <x:c r="AH170" s="11">
        <x:f t="shared" si="25"/>
        <x:v>0</x:v>
      </x:c>
      <x:c r="AI170" s="4" t="str">
        <x:f t="shared" si="26"/>
      </x:c>
      <x:c r="AJ170" s="4">
        <x:f t="shared" si="27"/>
        <x:v>0</x:v>
      </x:c>
      <x:c r="AK170" s="4">
        <x:f t="shared" si="28"/>
        <x:v>0</x:v>
      </x:c>
      <x:c r="AL170" s="11">
        <x:f t="shared" si="29"/>
        <x:v>0</x:v>
      </x:c>
      <x:c r="AM170" s="6"/>
      <x:c r="AN170" s="6"/>
    </x:row>
    <x:row r="171">
      <x:c r="A171" s="3" t="str">
        <x:f t="shared" si="20"/>
      </x:c>
      <x:c r="B171" s="9"/>
      <x:c r="C171" s="36"/>
      <x:c r="D171" s="6"/>
      <x:c r="E171" s="3" t="str">
        <x:f>IF(D171="","",IFERROR(VLOOKUP(D171,'Base Sectores'!$A$5:$J$47,2,FALSE),""))</x:f>
      </x:c>
      <x:c r="F171" s="40" t="str">
        <x:f>IF(D171="","",IFERROR(VLOOKUP(D171,'Base Sectores'!$A$5:$J$47,3,FALSE),""))</x:f>
      </x:c>
      <x:c r="G171" s="3" t="str">
        <x:f>IF(D171="","",IFERROR(VLOOKUP(D171,'Base Sectores'!$A$5:$J$47,4,FALSE),""))</x:f>
      </x:c>
      <x:c r="H171" s="3" t="str">
        <x:f>IF(D171="","",IFERROR(VLOOKUP(D171,'Base Sectores'!$A$5:$J$47,5,FALSE),""))</x:f>
      </x:c>
      <x:c r="I171" s="3" t="str">
        <x:f>IF(D171="","",IFERROR(VLOOKUP(D171,'Base Sectores'!$A$5:$J$47,6,FALSE),""))</x:f>
      </x:c>
      <x:c r="J171" s="3" t="str">
        <x:f>IF(D171="","",IFERROR(VLOOKUP(D171,'Base Sectores'!$A$5:$J$47,7,FALSE),""))</x:f>
      </x:c>
      <x:c r="K171" s="3" t="str">
        <x:f>IF(D171="","",IFERROR(VLOOKUP(D171,'Base Sectores'!$A$5:$J$47,9,FALSE),""))</x:f>
      </x:c>
      <x:c r="L171" s="6"/>
      <x:c r="M171" s="3" t="str">
        <x:f>IF(L171="","",IFERROR(VLOOKUP(L171,Configuracion!$D$4:$H$15,2,FALSE),""))</x:f>
      </x:c>
      <x:c r="N171" s="3" t="str">
        <x:f>IF(L171="","",IFERROR(VLOOKUP(L171,Configuracion!$D$4:$H$15,3,FALSE),""))</x:f>
      </x:c>
      <x:c r="O171" s="6"/>
      <x:c r="P171" s="3" t="str">
        <x:f>IF(L171="","",IFERROR(VLOOKUP(L171,Configuracion!$D$4:$H$15,4,FALSE),0))</x:f>
      </x:c>
      <x:c r="Q171" s="10"/>
      <x:c r="R171" s="10"/>
      <x:c r="S171" s="4" t="str">
        <x:f t="shared" si="21"/>
      </x:c>
      <x:c r="T171" s="6"/>
      <x:c r="U171" s="6"/>
      <x:c r="V171" s="6"/>
      <x:c r="W171" s="6"/>
      <x:c r="X171" s="6"/>
      <x:c r="Y171" s="6"/>
      <x:c r="Z171" s="6"/>
      <x:c r="AA171" s="6"/>
      <x:c r="AB171" s="6"/>
      <x:c r="AC171" s="10"/>
      <x:c r="AD171" s="10"/>
      <x:c r="AE171" s="4" t="str">
        <x:f t="shared" si="22"/>
      </x:c>
      <x:c r="AF171" s="4" t="str">
        <x:f t="shared" si="23"/>
      </x:c>
      <x:c r="AG171" s="4" t="str">
        <x:f t="shared" si="24"/>
      </x:c>
      <x:c r="AH171" s="11">
        <x:f t="shared" si="25"/>
        <x:v>0</x:v>
      </x:c>
      <x:c r="AI171" s="4" t="str">
        <x:f t="shared" si="26"/>
      </x:c>
      <x:c r="AJ171" s="4">
        <x:f t="shared" si="27"/>
        <x:v>0</x:v>
      </x:c>
      <x:c r="AK171" s="4">
        <x:f t="shared" si="28"/>
        <x:v>0</x:v>
      </x:c>
      <x:c r="AL171" s="11">
        <x:f t="shared" si="29"/>
        <x:v>0</x:v>
      </x:c>
      <x:c r="AM171" s="6"/>
      <x:c r="AN171" s="6"/>
    </x:row>
    <x:row r="172">
      <x:c r="A172" s="3" t="str">
        <x:f t="shared" si="20"/>
      </x:c>
      <x:c r="B172" s="9"/>
      <x:c r="C172" s="36"/>
      <x:c r="D172" s="6"/>
      <x:c r="E172" s="3" t="str">
        <x:f>IF(D172="","",IFERROR(VLOOKUP(D172,'Base Sectores'!$A$5:$J$47,2,FALSE),""))</x:f>
      </x:c>
      <x:c r="F172" s="40" t="str">
        <x:f>IF(D172="","",IFERROR(VLOOKUP(D172,'Base Sectores'!$A$5:$J$47,3,FALSE),""))</x:f>
      </x:c>
      <x:c r="G172" s="3" t="str">
        <x:f>IF(D172="","",IFERROR(VLOOKUP(D172,'Base Sectores'!$A$5:$J$47,4,FALSE),""))</x:f>
      </x:c>
      <x:c r="H172" s="3" t="str">
        <x:f>IF(D172="","",IFERROR(VLOOKUP(D172,'Base Sectores'!$A$5:$J$47,5,FALSE),""))</x:f>
      </x:c>
      <x:c r="I172" s="3" t="str">
        <x:f>IF(D172="","",IFERROR(VLOOKUP(D172,'Base Sectores'!$A$5:$J$47,6,FALSE),""))</x:f>
      </x:c>
      <x:c r="J172" s="3" t="str">
        <x:f>IF(D172="","",IFERROR(VLOOKUP(D172,'Base Sectores'!$A$5:$J$47,7,FALSE),""))</x:f>
      </x:c>
      <x:c r="K172" s="3" t="str">
        <x:f>IF(D172="","",IFERROR(VLOOKUP(D172,'Base Sectores'!$A$5:$J$47,9,FALSE),""))</x:f>
      </x:c>
      <x:c r="L172" s="6"/>
      <x:c r="M172" s="3" t="str">
        <x:f>IF(L172="","",IFERROR(VLOOKUP(L172,Configuracion!$D$4:$H$15,2,FALSE),""))</x:f>
      </x:c>
      <x:c r="N172" s="3" t="str">
        <x:f>IF(L172="","",IFERROR(VLOOKUP(L172,Configuracion!$D$4:$H$15,3,FALSE),""))</x:f>
      </x:c>
      <x:c r="O172" s="6"/>
      <x:c r="P172" s="3" t="str">
        <x:f>IF(L172="","",IFERROR(VLOOKUP(L172,Configuracion!$D$4:$H$15,4,FALSE),0))</x:f>
      </x:c>
      <x:c r="Q172" s="10"/>
      <x:c r="R172" s="10"/>
      <x:c r="S172" s="4" t="str">
        <x:f t="shared" si="21"/>
      </x:c>
      <x:c r="T172" s="6"/>
      <x:c r="U172" s="6"/>
      <x:c r="V172" s="6"/>
      <x:c r="W172" s="6"/>
      <x:c r="X172" s="6"/>
      <x:c r="Y172" s="6"/>
      <x:c r="Z172" s="6"/>
      <x:c r="AA172" s="6"/>
      <x:c r="AB172" s="6"/>
      <x:c r="AC172" s="10"/>
      <x:c r="AD172" s="10"/>
      <x:c r="AE172" s="4" t="str">
        <x:f t="shared" si="22"/>
      </x:c>
      <x:c r="AF172" s="4" t="str">
        <x:f t="shared" si="23"/>
      </x:c>
      <x:c r="AG172" s="4" t="str">
        <x:f t="shared" si="24"/>
      </x:c>
      <x:c r="AH172" s="11">
        <x:f t="shared" si="25"/>
        <x:v>0</x:v>
      </x:c>
      <x:c r="AI172" s="4" t="str">
        <x:f t="shared" si="26"/>
      </x:c>
      <x:c r="AJ172" s="4">
        <x:f t="shared" si="27"/>
        <x:v>0</x:v>
      </x:c>
      <x:c r="AK172" s="4">
        <x:f t="shared" si="28"/>
        <x:v>0</x:v>
      </x:c>
      <x:c r="AL172" s="11">
        <x:f t="shared" si="29"/>
        <x:v>0</x:v>
      </x:c>
      <x:c r="AM172" s="6"/>
      <x:c r="AN172" s="6"/>
    </x:row>
    <x:row r="173">
      <x:c r="A173" s="3" t="str">
        <x:f t="shared" si="20"/>
      </x:c>
      <x:c r="B173" s="9"/>
      <x:c r="C173" s="36"/>
      <x:c r="D173" s="6"/>
      <x:c r="E173" s="3" t="str">
        <x:f>IF(D173="","",IFERROR(VLOOKUP(D173,'Base Sectores'!$A$5:$J$47,2,FALSE),""))</x:f>
      </x:c>
      <x:c r="F173" s="40" t="str">
        <x:f>IF(D173="","",IFERROR(VLOOKUP(D173,'Base Sectores'!$A$5:$J$47,3,FALSE),""))</x:f>
      </x:c>
      <x:c r="G173" s="3" t="str">
        <x:f>IF(D173="","",IFERROR(VLOOKUP(D173,'Base Sectores'!$A$5:$J$47,4,FALSE),""))</x:f>
      </x:c>
      <x:c r="H173" s="3" t="str">
        <x:f>IF(D173="","",IFERROR(VLOOKUP(D173,'Base Sectores'!$A$5:$J$47,5,FALSE),""))</x:f>
      </x:c>
      <x:c r="I173" s="3" t="str">
        <x:f>IF(D173="","",IFERROR(VLOOKUP(D173,'Base Sectores'!$A$5:$J$47,6,FALSE),""))</x:f>
      </x:c>
      <x:c r="J173" s="3" t="str">
        <x:f>IF(D173="","",IFERROR(VLOOKUP(D173,'Base Sectores'!$A$5:$J$47,7,FALSE),""))</x:f>
      </x:c>
      <x:c r="K173" s="3" t="str">
        <x:f>IF(D173="","",IFERROR(VLOOKUP(D173,'Base Sectores'!$A$5:$J$47,9,FALSE),""))</x:f>
      </x:c>
      <x:c r="L173" s="6"/>
      <x:c r="M173" s="3" t="str">
        <x:f>IF(L173="","",IFERROR(VLOOKUP(L173,Configuracion!$D$4:$H$15,2,FALSE),""))</x:f>
      </x:c>
      <x:c r="N173" s="3" t="str">
        <x:f>IF(L173="","",IFERROR(VLOOKUP(L173,Configuracion!$D$4:$H$15,3,FALSE),""))</x:f>
      </x:c>
      <x:c r="O173" s="6"/>
      <x:c r="P173" s="3" t="str">
        <x:f>IF(L173="","",IFERROR(VLOOKUP(L173,Configuracion!$D$4:$H$15,4,FALSE),0))</x:f>
      </x:c>
      <x:c r="Q173" s="10"/>
      <x:c r="R173" s="10"/>
      <x:c r="S173" s="4" t="str">
        <x:f t="shared" si="21"/>
      </x:c>
      <x:c r="T173" s="6"/>
      <x:c r="U173" s="6"/>
      <x:c r="V173" s="6"/>
      <x:c r="W173" s="6"/>
      <x:c r="X173" s="6"/>
      <x:c r="Y173" s="6"/>
      <x:c r="Z173" s="6"/>
      <x:c r="AA173" s="6"/>
      <x:c r="AB173" s="6"/>
      <x:c r="AC173" s="10"/>
      <x:c r="AD173" s="10"/>
      <x:c r="AE173" s="4" t="str">
        <x:f t="shared" si="22"/>
      </x:c>
      <x:c r="AF173" s="4" t="str">
        <x:f t="shared" si="23"/>
      </x:c>
      <x:c r="AG173" s="4" t="str">
        <x:f t="shared" si="24"/>
      </x:c>
      <x:c r="AH173" s="11">
        <x:f t="shared" si="25"/>
        <x:v>0</x:v>
      </x:c>
      <x:c r="AI173" s="4" t="str">
        <x:f t="shared" si="26"/>
      </x:c>
      <x:c r="AJ173" s="4">
        <x:f t="shared" si="27"/>
        <x:v>0</x:v>
      </x:c>
      <x:c r="AK173" s="4">
        <x:f t="shared" si="28"/>
        <x:v>0</x:v>
      </x:c>
      <x:c r="AL173" s="11">
        <x:f t="shared" si="29"/>
        <x:v>0</x:v>
      </x:c>
      <x:c r="AM173" s="6"/>
      <x:c r="AN173" s="6"/>
    </x:row>
    <x:row r="174">
      <x:c r="A174" s="3" t="str">
        <x:f t="shared" si="20"/>
      </x:c>
      <x:c r="B174" s="9"/>
      <x:c r="C174" s="36"/>
      <x:c r="D174" s="6"/>
      <x:c r="E174" s="3" t="str">
        <x:f>IF(D174="","",IFERROR(VLOOKUP(D174,'Base Sectores'!$A$5:$J$47,2,FALSE),""))</x:f>
      </x:c>
      <x:c r="F174" s="40" t="str">
        <x:f>IF(D174="","",IFERROR(VLOOKUP(D174,'Base Sectores'!$A$5:$J$47,3,FALSE),""))</x:f>
      </x:c>
      <x:c r="G174" s="3" t="str">
        <x:f>IF(D174="","",IFERROR(VLOOKUP(D174,'Base Sectores'!$A$5:$J$47,4,FALSE),""))</x:f>
      </x:c>
      <x:c r="H174" s="3" t="str">
        <x:f>IF(D174="","",IFERROR(VLOOKUP(D174,'Base Sectores'!$A$5:$J$47,5,FALSE),""))</x:f>
      </x:c>
      <x:c r="I174" s="3" t="str">
        <x:f>IF(D174="","",IFERROR(VLOOKUP(D174,'Base Sectores'!$A$5:$J$47,6,FALSE),""))</x:f>
      </x:c>
      <x:c r="J174" s="3" t="str">
        <x:f>IF(D174="","",IFERROR(VLOOKUP(D174,'Base Sectores'!$A$5:$J$47,7,FALSE),""))</x:f>
      </x:c>
      <x:c r="K174" s="3" t="str">
        <x:f>IF(D174="","",IFERROR(VLOOKUP(D174,'Base Sectores'!$A$5:$J$47,9,FALSE),""))</x:f>
      </x:c>
      <x:c r="L174" s="6"/>
      <x:c r="M174" s="3" t="str">
        <x:f>IF(L174="","",IFERROR(VLOOKUP(L174,Configuracion!$D$4:$H$15,2,FALSE),""))</x:f>
      </x:c>
      <x:c r="N174" s="3" t="str">
        <x:f>IF(L174="","",IFERROR(VLOOKUP(L174,Configuracion!$D$4:$H$15,3,FALSE),""))</x:f>
      </x:c>
      <x:c r="O174" s="6"/>
      <x:c r="P174" s="3" t="str">
        <x:f>IF(L174="","",IFERROR(VLOOKUP(L174,Configuracion!$D$4:$H$15,4,FALSE),0))</x:f>
      </x:c>
      <x:c r="Q174" s="10"/>
      <x:c r="R174" s="10"/>
      <x:c r="S174" s="4" t="str">
        <x:f t="shared" si="21"/>
      </x:c>
      <x:c r="T174" s="6"/>
      <x:c r="U174" s="6"/>
      <x:c r="V174" s="6"/>
      <x:c r="W174" s="6"/>
      <x:c r="X174" s="6"/>
      <x:c r="Y174" s="6"/>
      <x:c r="Z174" s="6"/>
      <x:c r="AA174" s="6"/>
      <x:c r="AB174" s="6"/>
      <x:c r="AC174" s="10"/>
      <x:c r="AD174" s="10"/>
      <x:c r="AE174" s="4" t="str">
        <x:f t="shared" si="22"/>
      </x:c>
      <x:c r="AF174" s="4" t="str">
        <x:f t="shared" si="23"/>
      </x:c>
      <x:c r="AG174" s="4" t="str">
        <x:f t="shared" si="24"/>
      </x:c>
      <x:c r="AH174" s="11">
        <x:f t="shared" si="25"/>
        <x:v>0</x:v>
      </x:c>
      <x:c r="AI174" s="4" t="str">
        <x:f t="shared" si="26"/>
      </x:c>
      <x:c r="AJ174" s="4">
        <x:f t="shared" si="27"/>
        <x:v>0</x:v>
      </x:c>
      <x:c r="AK174" s="4">
        <x:f t="shared" si="28"/>
        <x:v>0</x:v>
      </x:c>
      <x:c r="AL174" s="11">
        <x:f t="shared" si="29"/>
        <x:v>0</x:v>
      </x:c>
      <x:c r="AM174" s="6"/>
      <x:c r="AN174" s="6"/>
    </x:row>
    <x:row r="175">
      <x:c r="A175" s="3" t="str">
        <x:f t="shared" si="20"/>
      </x:c>
      <x:c r="B175" s="9"/>
      <x:c r="C175" s="36"/>
      <x:c r="D175" s="6"/>
      <x:c r="E175" s="3" t="str">
        <x:f>IF(D175="","",IFERROR(VLOOKUP(D175,'Base Sectores'!$A$5:$J$47,2,FALSE),""))</x:f>
      </x:c>
      <x:c r="F175" s="40" t="str">
        <x:f>IF(D175="","",IFERROR(VLOOKUP(D175,'Base Sectores'!$A$5:$J$47,3,FALSE),""))</x:f>
      </x:c>
      <x:c r="G175" s="3" t="str">
        <x:f>IF(D175="","",IFERROR(VLOOKUP(D175,'Base Sectores'!$A$5:$J$47,4,FALSE),""))</x:f>
      </x:c>
      <x:c r="H175" s="3" t="str">
        <x:f>IF(D175="","",IFERROR(VLOOKUP(D175,'Base Sectores'!$A$5:$J$47,5,FALSE),""))</x:f>
      </x:c>
      <x:c r="I175" s="3" t="str">
        <x:f>IF(D175="","",IFERROR(VLOOKUP(D175,'Base Sectores'!$A$5:$J$47,6,FALSE),""))</x:f>
      </x:c>
      <x:c r="J175" s="3" t="str">
        <x:f>IF(D175="","",IFERROR(VLOOKUP(D175,'Base Sectores'!$A$5:$J$47,7,FALSE),""))</x:f>
      </x:c>
      <x:c r="K175" s="3" t="str">
        <x:f>IF(D175="","",IFERROR(VLOOKUP(D175,'Base Sectores'!$A$5:$J$47,9,FALSE),""))</x:f>
      </x:c>
      <x:c r="L175" s="6"/>
      <x:c r="M175" s="3" t="str">
        <x:f>IF(L175="","",IFERROR(VLOOKUP(L175,Configuracion!$D$4:$H$15,2,FALSE),""))</x:f>
      </x:c>
      <x:c r="N175" s="3" t="str">
        <x:f>IF(L175="","",IFERROR(VLOOKUP(L175,Configuracion!$D$4:$H$15,3,FALSE),""))</x:f>
      </x:c>
      <x:c r="O175" s="6"/>
      <x:c r="P175" s="3" t="str">
        <x:f>IF(L175="","",IFERROR(VLOOKUP(L175,Configuracion!$D$4:$H$15,4,FALSE),0))</x:f>
      </x:c>
      <x:c r="Q175" s="10"/>
      <x:c r="R175" s="10"/>
      <x:c r="S175" s="4" t="str">
        <x:f t="shared" si="21"/>
      </x:c>
      <x:c r="T175" s="6"/>
      <x:c r="U175" s="6"/>
      <x:c r="V175" s="6"/>
      <x:c r="W175" s="6"/>
      <x:c r="X175" s="6"/>
      <x:c r="Y175" s="6"/>
      <x:c r="Z175" s="6"/>
      <x:c r="AA175" s="6"/>
      <x:c r="AB175" s="6"/>
      <x:c r="AC175" s="10"/>
      <x:c r="AD175" s="10"/>
      <x:c r="AE175" s="4" t="str">
        <x:f t="shared" si="22"/>
      </x:c>
      <x:c r="AF175" s="4" t="str">
        <x:f t="shared" si="23"/>
      </x:c>
      <x:c r="AG175" s="4" t="str">
        <x:f t="shared" si="24"/>
      </x:c>
      <x:c r="AH175" s="11">
        <x:f t="shared" si="25"/>
        <x:v>0</x:v>
      </x:c>
      <x:c r="AI175" s="4" t="str">
        <x:f t="shared" si="26"/>
      </x:c>
      <x:c r="AJ175" s="4">
        <x:f t="shared" si="27"/>
        <x:v>0</x:v>
      </x:c>
      <x:c r="AK175" s="4">
        <x:f t="shared" si="28"/>
        <x:v>0</x:v>
      </x:c>
      <x:c r="AL175" s="11">
        <x:f t="shared" si="29"/>
        <x:v>0</x:v>
      </x:c>
      <x:c r="AM175" s="6"/>
      <x:c r="AN175" s="6"/>
    </x:row>
    <x:row r="176">
      <x:c r="A176" s="3" t="str">
        <x:f t="shared" si="20"/>
      </x:c>
      <x:c r="B176" s="9"/>
      <x:c r="C176" s="36"/>
      <x:c r="D176" s="6"/>
      <x:c r="E176" s="3" t="str">
        <x:f>IF(D176="","",IFERROR(VLOOKUP(D176,'Base Sectores'!$A$5:$J$47,2,FALSE),""))</x:f>
      </x:c>
      <x:c r="F176" s="40" t="str">
        <x:f>IF(D176="","",IFERROR(VLOOKUP(D176,'Base Sectores'!$A$5:$J$47,3,FALSE),""))</x:f>
      </x:c>
      <x:c r="G176" s="3" t="str">
        <x:f>IF(D176="","",IFERROR(VLOOKUP(D176,'Base Sectores'!$A$5:$J$47,4,FALSE),""))</x:f>
      </x:c>
      <x:c r="H176" s="3" t="str">
        <x:f>IF(D176="","",IFERROR(VLOOKUP(D176,'Base Sectores'!$A$5:$J$47,5,FALSE),""))</x:f>
      </x:c>
      <x:c r="I176" s="3" t="str">
        <x:f>IF(D176="","",IFERROR(VLOOKUP(D176,'Base Sectores'!$A$5:$J$47,6,FALSE),""))</x:f>
      </x:c>
      <x:c r="J176" s="3" t="str">
        <x:f>IF(D176="","",IFERROR(VLOOKUP(D176,'Base Sectores'!$A$5:$J$47,7,FALSE),""))</x:f>
      </x:c>
      <x:c r="K176" s="3" t="str">
        <x:f>IF(D176="","",IFERROR(VLOOKUP(D176,'Base Sectores'!$A$5:$J$47,9,FALSE),""))</x:f>
      </x:c>
      <x:c r="L176" s="6"/>
      <x:c r="M176" s="3" t="str">
        <x:f>IF(L176="","",IFERROR(VLOOKUP(L176,Configuracion!$D$4:$H$15,2,FALSE),""))</x:f>
      </x:c>
      <x:c r="N176" s="3" t="str">
        <x:f>IF(L176="","",IFERROR(VLOOKUP(L176,Configuracion!$D$4:$H$15,3,FALSE),""))</x:f>
      </x:c>
      <x:c r="O176" s="6"/>
      <x:c r="P176" s="3" t="str">
        <x:f>IF(L176="","",IFERROR(VLOOKUP(L176,Configuracion!$D$4:$H$15,4,FALSE),0))</x:f>
      </x:c>
      <x:c r="Q176" s="10"/>
      <x:c r="R176" s="10"/>
      <x:c r="S176" s="4" t="str">
        <x:f t="shared" si="21"/>
      </x:c>
      <x:c r="T176" s="6"/>
      <x:c r="U176" s="6"/>
      <x:c r="V176" s="6"/>
      <x:c r="W176" s="6"/>
      <x:c r="X176" s="6"/>
      <x:c r="Y176" s="6"/>
      <x:c r="Z176" s="6"/>
      <x:c r="AA176" s="6"/>
      <x:c r="AB176" s="6"/>
      <x:c r="AC176" s="10"/>
      <x:c r="AD176" s="10"/>
      <x:c r="AE176" s="4" t="str">
        <x:f t="shared" si="22"/>
      </x:c>
      <x:c r="AF176" s="4" t="str">
        <x:f t="shared" si="23"/>
      </x:c>
      <x:c r="AG176" s="4" t="str">
        <x:f t="shared" si="24"/>
      </x:c>
      <x:c r="AH176" s="11">
        <x:f t="shared" si="25"/>
        <x:v>0</x:v>
      </x:c>
      <x:c r="AI176" s="4" t="str">
        <x:f t="shared" si="26"/>
      </x:c>
      <x:c r="AJ176" s="4">
        <x:f t="shared" si="27"/>
        <x:v>0</x:v>
      </x:c>
      <x:c r="AK176" s="4">
        <x:f t="shared" si="28"/>
        <x:v>0</x:v>
      </x:c>
      <x:c r="AL176" s="11">
        <x:f t="shared" si="29"/>
        <x:v>0</x:v>
      </x:c>
      <x:c r="AM176" s="6"/>
      <x:c r="AN176" s="6"/>
    </x:row>
    <x:row r="177">
      <x:c r="A177" s="3" t="str">
        <x:f t="shared" si="20"/>
      </x:c>
      <x:c r="B177" s="9"/>
      <x:c r="C177" s="36"/>
      <x:c r="D177" s="6"/>
      <x:c r="E177" s="3" t="str">
        <x:f>IF(D177="","",IFERROR(VLOOKUP(D177,'Base Sectores'!$A$5:$J$47,2,FALSE),""))</x:f>
      </x:c>
      <x:c r="F177" s="40" t="str">
        <x:f>IF(D177="","",IFERROR(VLOOKUP(D177,'Base Sectores'!$A$5:$J$47,3,FALSE),""))</x:f>
      </x:c>
      <x:c r="G177" s="3" t="str">
        <x:f>IF(D177="","",IFERROR(VLOOKUP(D177,'Base Sectores'!$A$5:$J$47,4,FALSE),""))</x:f>
      </x:c>
      <x:c r="H177" s="3" t="str">
        <x:f>IF(D177="","",IFERROR(VLOOKUP(D177,'Base Sectores'!$A$5:$J$47,5,FALSE),""))</x:f>
      </x:c>
      <x:c r="I177" s="3" t="str">
        <x:f>IF(D177="","",IFERROR(VLOOKUP(D177,'Base Sectores'!$A$5:$J$47,6,FALSE),""))</x:f>
      </x:c>
      <x:c r="J177" s="3" t="str">
        <x:f>IF(D177="","",IFERROR(VLOOKUP(D177,'Base Sectores'!$A$5:$J$47,7,FALSE),""))</x:f>
      </x:c>
      <x:c r="K177" s="3" t="str">
        <x:f>IF(D177="","",IFERROR(VLOOKUP(D177,'Base Sectores'!$A$5:$J$47,9,FALSE),""))</x:f>
      </x:c>
      <x:c r="L177" s="6"/>
      <x:c r="M177" s="3" t="str">
        <x:f>IF(L177="","",IFERROR(VLOOKUP(L177,Configuracion!$D$4:$H$15,2,FALSE),""))</x:f>
      </x:c>
      <x:c r="N177" s="3" t="str">
        <x:f>IF(L177="","",IFERROR(VLOOKUP(L177,Configuracion!$D$4:$H$15,3,FALSE),""))</x:f>
      </x:c>
      <x:c r="O177" s="6"/>
      <x:c r="P177" s="3" t="str">
        <x:f>IF(L177="","",IFERROR(VLOOKUP(L177,Configuracion!$D$4:$H$15,4,FALSE),0))</x:f>
      </x:c>
      <x:c r="Q177" s="10"/>
      <x:c r="R177" s="10"/>
      <x:c r="S177" s="4" t="str">
        <x:f t="shared" si="21"/>
      </x:c>
      <x:c r="T177" s="6"/>
      <x:c r="U177" s="6"/>
      <x:c r="V177" s="6"/>
      <x:c r="W177" s="6"/>
      <x:c r="X177" s="6"/>
      <x:c r="Y177" s="6"/>
      <x:c r="Z177" s="6"/>
      <x:c r="AA177" s="6"/>
      <x:c r="AB177" s="6"/>
      <x:c r="AC177" s="10"/>
      <x:c r="AD177" s="10"/>
      <x:c r="AE177" s="4" t="str">
        <x:f t="shared" si="22"/>
      </x:c>
      <x:c r="AF177" s="4" t="str">
        <x:f t="shared" si="23"/>
      </x:c>
      <x:c r="AG177" s="4" t="str">
        <x:f t="shared" si="24"/>
      </x:c>
      <x:c r="AH177" s="11">
        <x:f t="shared" si="25"/>
        <x:v>0</x:v>
      </x:c>
      <x:c r="AI177" s="4" t="str">
        <x:f t="shared" si="26"/>
      </x:c>
      <x:c r="AJ177" s="4">
        <x:f t="shared" si="27"/>
        <x:v>0</x:v>
      </x:c>
      <x:c r="AK177" s="4">
        <x:f t="shared" si="28"/>
        <x:v>0</x:v>
      </x:c>
      <x:c r="AL177" s="11">
        <x:f t="shared" si="29"/>
        <x:v>0</x:v>
      </x:c>
      <x:c r="AM177" s="6"/>
      <x:c r="AN177" s="6"/>
    </x:row>
    <x:row r="178">
      <x:c r="A178" s="3" t="str">
        <x:f t="shared" si="20"/>
      </x:c>
      <x:c r="B178" s="9"/>
      <x:c r="C178" s="36"/>
      <x:c r="D178" s="6"/>
      <x:c r="E178" s="3" t="str">
        <x:f>IF(D178="","",IFERROR(VLOOKUP(D178,'Base Sectores'!$A$5:$J$47,2,FALSE),""))</x:f>
      </x:c>
      <x:c r="F178" s="40" t="str">
        <x:f>IF(D178="","",IFERROR(VLOOKUP(D178,'Base Sectores'!$A$5:$J$47,3,FALSE),""))</x:f>
      </x:c>
      <x:c r="G178" s="3" t="str">
        <x:f>IF(D178="","",IFERROR(VLOOKUP(D178,'Base Sectores'!$A$5:$J$47,4,FALSE),""))</x:f>
      </x:c>
      <x:c r="H178" s="3" t="str">
        <x:f>IF(D178="","",IFERROR(VLOOKUP(D178,'Base Sectores'!$A$5:$J$47,5,FALSE),""))</x:f>
      </x:c>
      <x:c r="I178" s="3" t="str">
        <x:f>IF(D178="","",IFERROR(VLOOKUP(D178,'Base Sectores'!$A$5:$J$47,6,FALSE),""))</x:f>
      </x:c>
      <x:c r="J178" s="3" t="str">
        <x:f>IF(D178="","",IFERROR(VLOOKUP(D178,'Base Sectores'!$A$5:$J$47,7,FALSE),""))</x:f>
      </x:c>
      <x:c r="K178" s="3" t="str">
        <x:f>IF(D178="","",IFERROR(VLOOKUP(D178,'Base Sectores'!$A$5:$J$47,9,FALSE),""))</x:f>
      </x:c>
      <x:c r="L178" s="6"/>
      <x:c r="M178" s="3" t="str">
        <x:f>IF(L178="","",IFERROR(VLOOKUP(L178,Configuracion!$D$4:$H$15,2,FALSE),""))</x:f>
      </x:c>
      <x:c r="N178" s="3" t="str">
        <x:f>IF(L178="","",IFERROR(VLOOKUP(L178,Configuracion!$D$4:$H$15,3,FALSE),""))</x:f>
      </x:c>
      <x:c r="O178" s="6"/>
      <x:c r="P178" s="3" t="str">
        <x:f>IF(L178="","",IFERROR(VLOOKUP(L178,Configuracion!$D$4:$H$15,4,FALSE),0))</x:f>
      </x:c>
      <x:c r="Q178" s="10"/>
      <x:c r="R178" s="10"/>
      <x:c r="S178" s="4" t="str">
        <x:f t="shared" si="21"/>
      </x:c>
      <x:c r="T178" s="6"/>
      <x:c r="U178" s="6"/>
      <x:c r="V178" s="6"/>
      <x:c r="W178" s="6"/>
      <x:c r="X178" s="6"/>
      <x:c r="Y178" s="6"/>
      <x:c r="Z178" s="6"/>
      <x:c r="AA178" s="6"/>
      <x:c r="AB178" s="6"/>
      <x:c r="AC178" s="10"/>
      <x:c r="AD178" s="10"/>
      <x:c r="AE178" s="4" t="str">
        <x:f t="shared" si="22"/>
      </x:c>
      <x:c r="AF178" s="4" t="str">
        <x:f t="shared" si="23"/>
      </x:c>
      <x:c r="AG178" s="4" t="str">
        <x:f t="shared" si="24"/>
      </x:c>
      <x:c r="AH178" s="11">
        <x:f t="shared" si="25"/>
        <x:v>0</x:v>
      </x:c>
      <x:c r="AI178" s="4" t="str">
        <x:f t="shared" si="26"/>
      </x:c>
      <x:c r="AJ178" s="4">
        <x:f t="shared" si="27"/>
        <x:v>0</x:v>
      </x:c>
      <x:c r="AK178" s="4">
        <x:f t="shared" si="28"/>
        <x:v>0</x:v>
      </x:c>
      <x:c r="AL178" s="11">
        <x:f t="shared" si="29"/>
        <x:v>0</x:v>
      </x:c>
      <x:c r="AM178" s="6"/>
      <x:c r="AN178" s="6"/>
    </x:row>
    <x:row r="179">
      <x:c r="A179" s="3" t="str">
        <x:f t="shared" si="20"/>
      </x:c>
      <x:c r="B179" s="9"/>
      <x:c r="C179" s="36"/>
      <x:c r="D179" s="6"/>
      <x:c r="E179" s="3" t="str">
        <x:f>IF(D179="","",IFERROR(VLOOKUP(D179,'Base Sectores'!$A$5:$J$47,2,FALSE),""))</x:f>
      </x:c>
      <x:c r="F179" s="40" t="str">
        <x:f>IF(D179="","",IFERROR(VLOOKUP(D179,'Base Sectores'!$A$5:$J$47,3,FALSE),""))</x:f>
      </x:c>
      <x:c r="G179" s="3" t="str">
        <x:f>IF(D179="","",IFERROR(VLOOKUP(D179,'Base Sectores'!$A$5:$J$47,4,FALSE),""))</x:f>
      </x:c>
      <x:c r="H179" s="3" t="str">
        <x:f>IF(D179="","",IFERROR(VLOOKUP(D179,'Base Sectores'!$A$5:$J$47,5,FALSE),""))</x:f>
      </x:c>
      <x:c r="I179" s="3" t="str">
        <x:f>IF(D179="","",IFERROR(VLOOKUP(D179,'Base Sectores'!$A$5:$J$47,6,FALSE),""))</x:f>
      </x:c>
      <x:c r="J179" s="3" t="str">
        <x:f>IF(D179="","",IFERROR(VLOOKUP(D179,'Base Sectores'!$A$5:$J$47,7,FALSE),""))</x:f>
      </x:c>
      <x:c r="K179" s="3" t="str">
        <x:f>IF(D179="","",IFERROR(VLOOKUP(D179,'Base Sectores'!$A$5:$J$47,9,FALSE),""))</x:f>
      </x:c>
      <x:c r="L179" s="6"/>
      <x:c r="M179" s="3" t="str">
        <x:f>IF(L179="","",IFERROR(VLOOKUP(L179,Configuracion!$D$4:$H$15,2,FALSE),""))</x:f>
      </x:c>
      <x:c r="N179" s="3" t="str">
        <x:f>IF(L179="","",IFERROR(VLOOKUP(L179,Configuracion!$D$4:$H$15,3,FALSE),""))</x:f>
      </x:c>
      <x:c r="O179" s="6"/>
      <x:c r="P179" s="3" t="str">
        <x:f>IF(L179="","",IFERROR(VLOOKUP(L179,Configuracion!$D$4:$H$15,4,FALSE),0))</x:f>
      </x:c>
      <x:c r="Q179" s="10"/>
      <x:c r="R179" s="10"/>
      <x:c r="S179" s="4" t="str">
        <x:f t="shared" si="21"/>
      </x:c>
      <x:c r="T179" s="6"/>
      <x:c r="U179" s="6"/>
      <x:c r="V179" s="6"/>
      <x:c r="W179" s="6"/>
      <x:c r="X179" s="6"/>
      <x:c r="Y179" s="6"/>
      <x:c r="Z179" s="6"/>
      <x:c r="AA179" s="6"/>
      <x:c r="AB179" s="6"/>
      <x:c r="AC179" s="10"/>
      <x:c r="AD179" s="10"/>
      <x:c r="AE179" s="4" t="str">
        <x:f t="shared" si="22"/>
      </x:c>
      <x:c r="AF179" s="4" t="str">
        <x:f t="shared" si="23"/>
      </x:c>
      <x:c r="AG179" s="4" t="str">
        <x:f t="shared" si="24"/>
      </x:c>
      <x:c r="AH179" s="11">
        <x:f t="shared" si="25"/>
        <x:v>0</x:v>
      </x:c>
      <x:c r="AI179" s="4" t="str">
        <x:f t="shared" si="26"/>
      </x:c>
      <x:c r="AJ179" s="4">
        <x:f t="shared" si="27"/>
        <x:v>0</x:v>
      </x:c>
      <x:c r="AK179" s="4">
        <x:f t="shared" si="28"/>
        <x:v>0</x:v>
      </x:c>
      <x:c r="AL179" s="11">
        <x:f t="shared" si="29"/>
        <x:v>0</x:v>
      </x:c>
      <x:c r="AM179" s="6"/>
      <x:c r="AN179" s="6"/>
    </x:row>
    <x:row r="180">
      <x:c r="A180" s="3" t="str">
        <x:f t="shared" si="20"/>
      </x:c>
      <x:c r="B180" s="9"/>
      <x:c r="C180" s="36"/>
      <x:c r="D180" s="6"/>
      <x:c r="E180" s="3" t="str">
        <x:f>IF(D180="","",IFERROR(VLOOKUP(D180,'Base Sectores'!$A$5:$J$47,2,FALSE),""))</x:f>
      </x:c>
      <x:c r="F180" s="40" t="str">
        <x:f>IF(D180="","",IFERROR(VLOOKUP(D180,'Base Sectores'!$A$5:$J$47,3,FALSE),""))</x:f>
      </x:c>
      <x:c r="G180" s="3" t="str">
        <x:f>IF(D180="","",IFERROR(VLOOKUP(D180,'Base Sectores'!$A$5:$J$47,4,FALSE),""))</x:f>
      </x:c>
      <x:c r="H180" s="3" t="str">
        <x:f>IF(D180="","",IFERROR(VLOOKUP(D180,'Base Sectores'!$A$5:$J$47,5,FALSE),""))</x:f>
      </x:c>
      <x:c r="I180" s="3" t="str">
        <x:f>IF(D180="","",IFERROR(VLOOKUP(D180,'Base Sectores'!$A$5:$J$47,6,FALSE),""))</x:f>
      </x:c>
      <x:c r="J180" s="3" t="str">
        <x:f>IF(D180="","",IFERROR(VLOOKUP(D180,'Base Sectores'!$A$5:$J$47,7,FALSE),""))</x:f>
      </x:c>
      <x:c r="K180" s="3" t="str">
        <x:f>IF(D180="","",IFERROR(VLOOKUP(D180,'Base Sectores'!$A$5:$J$47,9,FALSE),""))</x:f>
      </x:c>
      <x:c r="L180" s="6"/>
      <x:c r="M180" s="3" t="str">
        <x:f>IF(L180="","",IFERROR(VLOOKUP(L180,Configuracion!$D$4:$H$15,2,FALSE),""))</x:f>
      </x:c>
      <x:c r="N180" s="3" t="str">
        <x:f>IF(L180="","",IFERROR(VLOOKUP(L180,Configuracion!$D$4:$H$15,3,FALSE),""))</x:f>
      </x:c>
      <x:c r="O180" s="6"/>
      <x:c r="P180" s="3" t="str">
        <x:f>IF(L180="","",IFERROR(VLOOKUP(L180,Configuracion!$D$4:$H$15,4,FALSE),0))</x:f>
      </x:c>
      <x:c r="Q180" s="10"/>
      <x:c r="R180" s="10"/>
      <x:c r="S180" s="4" t="str">
        <x:f t="shared" si="21"/>
      </x:c>
      <x:c r="T180" s="6"/>
      <x:c r="U180" s="6"/>
      <x:c r="V180" s="6"/>
      <x:c r="W180" s="6"/>
      <x:c r="X180" s="6"/>
      <x:c r="Y180" s="6"/>
      <x:c r="Z180" s="6"/>
      <x:c r="AA180" s="6"/>
      <x:c r="AB180" s="6"/>
      <x:c r="AC180" s="10"/>
      <x:c r="AD180" s="10"/>
      <x:c r="AE180" s="4" t="str">
        <x:f t="shared" si="22"/>
      </x:c>
      <x:c r="AF180" s="4" t="str">
        <x:f t="shared" si="23"/>
      </x:c>
      <x:c r="AG180" s="4" t="str">
        <x:f t="shared" si="24"/>
      </x:c>
      <x:c r="AH180" s="11">
        <x:f t="shared" si="25"/>
        <x:v>0</x:v>
      </x:c>
      <x:c r="AI180" s="4" t="str">
        <x:f t="shared" si="26"/>
      </x:c>
      <x:c r="AJ180" s="4">
        <x:f t="shared" si="27"/>
        <x:v>0</x:v>
      </x:c>
      <x:c r="AK180" s="4">
        <x:f t="shared" si="28"/>
        <x:v>0</x:v>
      </x:c>
      <x:c r="AL180" s="11">
        <x:f t="shared" si="29"/>
        <x:v>0</x:v>
      </x:c>
      <x:c r="AM180" s="6"/>
      <x:c r="AN180" s="6"/>
    </x:row>
    <x:row r="181">
      <x:c r="A181" s="3" t="str">
        <x:f t="shared" si="20"/>
      </x:c>
      <x:c r="B181" s="9"/>
      <x:c r="C181" s="36"/>
      <x:c r="D181" s="6"/>
      <x:c r="E181" s="3" t="str">
        <x:f>IF(D181="","",IFERROR(VLOOKUP(D181,'Base Sectores'!$A$5:$J$47,2,FALSE),""))</x:f>
      </x:c>
      <x:c r="F181" s="40" t="str">
        <x:f>IF(D181="","",IFERROR(VLOOKUP(D181,'Base Sectores'!$A$5:$J$47,3,FALSE),""))</x:f>
      </x:c>
      <x:c r="G181" s="3" t="str">
        <x:f>IF(D181="","",IFERROR(VLOOKUP(D181,'Base Sectores'!$A$5:$J$47,4,FALSE),""))</x:f>
      </x:c>
      <x:c r="H181" s="3" t="str">
        <x:f>IF(D181="","",IFERROR(VLOOKUP(D181,'Base Sectores'!$A$5:$J$47,5,FALSE),""))</x:f>
      </x:c>
      <x:c r="I181" s="3" t="str">
        <x:f>IF(D181="","",IFERROR(VLOOKUP(D181,'Base Sectores'!$A$5:$J$47,6,FALSE),""))</x:f>
      </x:c>
      <x:c r="J181" s="3" t="str">
        <x:f>IF(D181="","",IFERROR(VLOOKUP(D181,'Base Sectores'!$A$5:$J$47,7,FALSE),""))</x:f>
      </x:c>
      <x:c r="K181" s="3" t="str">
        <x:f>IF(D181="","",IFERROR(VLOOKUP(D181,'Base Sectores'!$A$5:$J$47,9,FALSE),""))</x:f>
      </x:c>
      <x:c r="L181" s="6"/>
      <x:c r="M181" s="3" t="str">
        <x:f>IF(L181="","",IFERROR(VLOOKUP(L181,Configuracion!$D$4:$H$15,2,FALSE),""))</x:f>
      </x:c>
      <x:c r="N181" s="3" t="str">
        <x:f>IF(L181="","",IFERROR(VLOOKUP(L181,Configuracion!$D$4:$H$15,3,FALSE),""))</x:f>
      </x:c>
      <x:c r="O181" s="6"/>
      <x:c r="P181" s="3" t="str">
        <x:f>IF(L181="","",IFERROR(VLOOKUP(L181,Configuracion!$D$4:$H$15,4,FALSE),0))</x:f>
      </x:c>
      <x:c r="Q181" s="10"/>
      <x:c r="R181" s="10"/>
      <x:c r="S181" s="4" t="str">
        <x:f t="shared" si="21"/>
      </x:c>
      <x:c r="T181" s="6"/>
      <x:c r="U181" s="6"/>
      <x:c r="V181" s="6"/>
      <x:c r="W181" s="6"/>
      <x:c r="X181" s="6"/>
      <x:c r="Y181" s="6"/>
      <x:c r="Z181" s="6"/>
      <x:c r="AA181" s="6"/>
      <x:c r="AB181" s="6"/>
      <x:c r="AC181" s="10"/>
      <x:c r="AD181" s="10"/>
      <x:c r="AE181" s="4" t="str">
        <x:f t="shared" si="22"/>
      </x:c>
      <x:c r="AF181" s="4" t="str">
        <x:f t="shared" si="23"/>
      </x:c>
      <x:c r="AG181" s="4" t="str">
        <x:f t="shared" si="24"/>
      </x:c>
      <x:c r="AH181" s="11">
        <x:f t="shared" si="25"/>
        <x:v>0</x:v>
      </x:c>
      <x:c r="AI181" s="4" t="str">
        <x:f t="shared" si="26"/>
      </x:c>
      <x:c r="AJ181" s="4">
        <x:f t="shared" si="27"/>
        <x:v>0</x:v>
      </x:c>
      <x:c r="AK181" s="4">
        <x:f t="shared" si="28"/>
        <x:v>0</x:v>
      </x:c>
      <x:c r="AL181" s="11">
        <x:f t="shared" si="29"/>
        <x:v>0</x:v>
      </x:c>
      <x:c r="AM181" s="6"/>
      <x:c r="AN181" s="6"/>
    </x:row>
    <x:row r="182">
      <x:c r="A182" s="3" t="str">
        <x:f t="shared" si="20"/>
      </x:c>
      <x:c r="B182" s="9"/>
      <x:c r="C182" s="36"/>
      <x:c r="D182" s="6"/>
      <x:c r="E182" s="3" t="str">
        <x:f>IF(D182="","",IFERROR(VLOOKUP(D182,'Base Sectores'!$A$5:$J$47,2,FALSE),""))</x:f>
      </x:c>
      <x:c r="F182" s="40" t="str">
        <x:f>IF(D182="","",IFERROR(VLOOKUP(D182,'Base Sectores'!$A$5:$J$47,3,FALSE),""))</x:f>
      </x:c>
      <x:c r="G182" s="3" t="str">
        <x:f>IF(D182="","",IFERROR(VLOOKUP(D182,'Base Sectores'!$A$5:$J$47,4,FALSE),""))</x:f>
      </x:c>
      <x:c r="H182" s="3" t="str">
        <x:f>IF(D182="","",IFERROR(VLOOKUP(D182,'Base Sectores'!$A$5:$J$47,5,FALSE),""))</x:f>
      </x:c>
      <x:c r="I182" s="3" t="str">
        <x:f>IF(D182="","",IFERROR(VLOOKUP(D182,'Base Sectores'!$A$5:$J$47,6,FALSE),""))</x:f>
      </x:c>
      <x:c r="J182" s="3" t="str">
        <x:f>IF(D182="","",IFERROR(VLOOKUP(D182,'Base Sectores'!$A$5:$J$47,7,FALSE),""))</x:f>
      </x:c>
      <x:c r="K182" s="3" t="str">
        <x:f>IF(D182="","",IFERROR(VLOOKUP(D182,'Base Sectores'!$A$5:$J$47,9,FALSE),""))</x:f>
      </x:c>
      <x:c r="L182" s="6"/>
      <x:c r="M182" s="3" t="str">
        <x:f>IF(L182="","",IFERROR(VLOOKUP(L182,Configuracion!$D$4:$H$15,2,FALSE),""))</x:f>
      </x:c>
      <x:c r="N182" s="3" t="str">
        <x:f>IF(L182="","",IFERROR(VLOOKUP(L182,Configuracion!$D$4:$H$15,3,FALSE),""))</x:f>
      </x:c>
      <x:c r="O182" s="6"/>
      <x:c r="P182" s="3" t="str">
        <x:f>IF(L182="","",IFERROR(VLOOKUP(L182,Configuracion!$D$4:$H$15,4,FALSE),0))</x:f>
      </x:c>
      <x:c r="Q182" s="10"/>
      <x:c r="R182" s="10"/>
      <x:c r="S182" s="4" t="str">
        <x:f t="shared" si="21"/>
      </x:c>
      <x:c r="T182" s="6"/>
      <x:c r="U182" s="6"/>
      <x:c r="V182" s="6"/>
      <x:c r="W182" s="6"/>
      <x:c r="X182" s="6"/>
      <x:c r="Y182" s="6"/>
      <x:c r="Z182" s="6"/>
      <x:c r="AA182" s="6"/>
      <x:c r="AB182" s="6"/>
      <x:c r="AC182" s="10"/>
      <x:c r="AD182" s="10"/>
      <x:c r="AE182" s="4" t="str">
        <x:f t="shared" si="22"/>
      </x:c>
      <x:c r="AF182" s="4" t="str">
        <x:f t="shared" si="23"/>
      </x:c>
      <x:c r="AG182" s="4" t="str">
        <x:f t="shared" si="24"/>
      </x:c>
      <x:c r="AH182" s="11">
        <x:f t="shared" si="25"/>
        <x:v>0</x:v>
      </x:c>
      <x:c r="AI182" s="4" t="str">
        <x:f t="shared" si="26"/>
      </x:c>
      <x:c r="AJ182" s="4">
        <x:f t="shared" si="27"/>
        <x:v>0</x:v>
      </x:c>
      <x:c r="AK182" s="4">
        <x:f t="shared" si="28"/>
        <x:v>0</x:v>
      </x:c>
      <x:c r="AL182" s="11">
        <x:f t="shared" si="29"/>
        <x:v>0</x:v>
      </x:c>
      <x:c r="AM182" s="6"/>
      <x:c r="AN182" s="6"/>
    </x:row>
    <x:row r="183">
      <x:c r="A183" s="3" t="str">
        <x:f t="shared" si="20"/>
      </x:c>
      <x:c r="B183" s="9"/>
      <x:c r="C183" s="36"/>
      <x:c r="D183" s="6"/>
      <x:c r="E183" s="3" t="str">
        <x:f>IF(D183="","",IFERROR(VLOOKUP(D183,'Base Sectores'!$A$5:$J$47,2,FALSE),""))</x:f>
      </x:c>
      <x:c r="F183" s="40" t="str">
        <x:f>IF(D183="","",IFERROR(VLOOKUP(D183,'Base Sectores'!$A$5:$J$47,3,FALSE),""))</x:f>
      </x:c>
      <x:c r="G183" s="3" t="str">
        <x:f>IF(D183="","",IFERROR(VLOOKUP(D183,'Base Sectores'!$A$5:$J$47,4,FALSE),""))</x:f>
      </x:c>
      <x:c r="H183" s="3" t="str">
        <x:f>IF(D183="","",IFERROR(VLOOKUP(D183,'Base Sectores'!$A$5:$J$47,5,FALSE),""))</x:f>
      </x:c>
      <x:c r="I183" s="3" t="str">
        <x:f>IF(D183="","",IFERROR(VLOOKUP(D183,'Base Sectores'!$A$5:$J$47,6,FALSE),""))</x:f>
      </x:c>
      <x:c r="J183" s="3" t="str">
        <x:f>IF(D183="","",IFERROR(VLOOKUP(D183,'Base Sectores'!$A$5:$J$47,7,FALSE),""))</x:f>
      </x:c>
      <x:c r="K183" s="3" t="str">
        <x:f>IF(D183="","",IFERROR(VLOOKUP(D183,'Base Sectores'!$A$5:$J$47,9,FALSE),""))</x:f>
      </x:c>
      <x:c r="L183" s="6"/>
      <x:c r="M183" s="3" t="str">
        <x:f>IF(L183="","",IFERROR(VLOOKUP(L183,Configuracion!$D$4:$H$15,2,FALSE),""))</x:f>
      </x:c>
      <x:c r="N183" s="3" t="str">
        <x:f>IF(L183="","",IFERROR(VLOOKUP(L183,Configuracion!$D$4:$H$15,3,FALSE),""))</x:f>
      </x:c>
      <x:c r="O183" s="6"/>
      <x:c r="P183" s="3" t="str">
        <x:f>IF(L183="","",IFERROR(VLOOKUP(L183,Configuracion!$D$4:$H$15,4,FALSE),0))</x:f>
      </x:c>
      <x:c r="Q183" s="10"/>
      <x:c r="R183" s="10"/>
      <x:c r="S183" s="4" t="str">
        <x:f t="shared" si="21"/>
      </x:c>
      <x:c r="T183" s="6"/>
      <x:c r="U183" s="6"/>
      <x:c r="V183" s="6"/>
      <x:c r="W183" s="6"/>
      <x:c r="X183" s="6"/>
      <x:c r="Y183" s="6"/>
      <x:c r="Z183" s="6"/>
      <x:c r="AA183" s="6"/>
      <x:c r="AB183" s="6"/>
      <x:c r="AC183" s="10"/>
      <x:c r="AD183" s="10"/>
      <x:c r="AE183" s="4" t="str">
        <x:f t="shared" si="22"/>
      </x:c>
      <x:c r="AF183" s="4" t="str">
        <x:f t="shared" si="23"/>
      </x:c>
      <x:c r="AG183" s="4" t="str">
        <x:f t="shared" si="24"/>
      </x:c>
      <x:c r="AH183" s="11">
        <x:f t="shared" si="25"/>
        <x:v>0</x:v>
      </x:c>
      <x:c r="AI183" s="4" t="str">
        <x:f t="shared" si="26"/>
      </x:c>
      <x:c r="AJ183" s="4">
        <x:f t="shared" si="27"/>
        <x:v>0</x:v>
      </x:c>
      <x:c r="AK183" s="4">
        <x:f t="shared" si="28"/>
        <x:v>0</x:v>
      </x:c>
      <x:c r="AL183" s="11">
        <x:f t="shared" si="29"/>
        <x:v>0</x:v>
      </x:c>
      <x:c r="AM183" s="6"/>
      <x:c r="AN183" s="6"/>
    </x:row>
    <x:row r="184">
      <x:c r="A184" s="3" t="str">
        <x:f t="shared" si="20"/>
      </x:c>
      <x:c r="B184" s="9"/>
      <x:c r="C184" s="36"/>
      <x:c r="D184" s="6"/>
      <x:c r="E184" s="3" t="str">
        <x:f>IF(D184="","",IFERROR(VLOOKUP(D184,'Base Sectores'!$A$5:$J$47,2,FALSE),""))</x:f>
      </x:c>
      <x:c r="F184" s="40" t="str">
        <x:f>IF(D184="","",IFERROR(VLOOKUP(D184,'Base Sectores'!$A$5:$J$47,3,FALSE),""))</x:f>
      </x:c>
      <x:c r="G184" s="3" t="str">
        <x:f>IF(D184="","",IFERROR(VLOOKUP(D184,'Base Sectores'!$A$5:$J$47,4,FALSE),""))</x:f>
      </x:c>
      <x:c r="H184" s="3" t="str">
        <x:f>IF(D184="","",IFERROR(VLOOKUP(D184,'Base Sectores'!$A$5:$J$47,5,FALSE),""))</x:f>
      </x:c>
      <x:c r="I184" s="3" t="str">
        <x:f>IF(D184="","",IFERROR(VLOOKUP(D184,'Base Sectores'!$A$5:$J$47,6,FALSE),""))</x:f>
      </x:c>
      <x:c r="J184" s="3" t="str">
        <x:f>IF(D184="","",IFERROR(VLOOKUP(D184,'Base Sectores'!$A$5:$J$47,7,FALSE),""))</x:f>
      </x:c>
      <x:c r="K184" s="3" t="str">
        <x:f>IF(D184="","",IFERROR(VLOOKUP(D184,'Base Sectores'!$A$5:$J$47,9,FALSE),""))</x:f>
      </x:c>
      <x:c r="L184" s="6"/>
      <x:c r="M184" s="3" t="str">
        <x:f>IF(L184="","",IFERROR(VLOOKUP(L184,Configuracion!$D$4:$H$15,2,FALSE),""))</x:f>
      </x:c>
      <x:c r="N184" s="3" t="str">
        <x:f>IF(L184="","",IFERROR(VLOOKUP(L184,Configuracion!$D$4:$H$15,3,FALSE),""))</x:f>
      </x:c>
      <x:c r="O184" s="6"/>
      <x:c r="P184" s="3" t="str">
        <x:f>IF(L184="","",IFERROR(VLOOKUP(L184,Configuracion!$D$4:$H$15,4,FALSE),0))</x:f>
      </x:c>
      <x:c r="Q184" s="10"/>
      <x:c r="R184" s="10"/>
      <x:c r="S184" s="4" t="str">
        <x:f t="shared" si="21"/>
      </x:c>
      <x:c r="T184" s="6"/>
      <x:c r="U184" s="6"/>
      <x:c r="V184" s="6"/>
      <x:c r="W184" s="6"/>
      <x:c r="X184" s="6"/>
      <x:c r="Y184" s="6"/>
      <x:c r="Z184" s="6"/>
      <x:c r="AA184" s="6"/>
      <x:c r="AB184" s="6"/>
      <x:c r="AC184" s="10"/>
      <x:c r="AD184" s="10"/>
      <x:c r="AE184" s="4" t="str">
        <x:f t="shared" si="22"/>
      </x:c>
      <x:c r="AF184" s="4" t="str">
        <x:f t="shared" si="23"/>
      </x:c>
      <x:c r="AG184" s="4" t="str">
        <x:f t="shared" si="24"/>
      </x:c>
      <x:c r="AH184" s="11">
        <x:f t="shared" si="25"/>
        <x:v>0</x:v>
      </x:c>
      <x:c r="AI184" s="4" t="str">
        <x:f t="shared" si="26"/>
      </x:c>
      <x:c r="AJ184" s="4">
        <x:f t="shared" si="27"/>
        <x:v>0</x:v>
      </x:c>
      <x:c r="AK184" s="4">
        <x:f t="shared" si="28"/>
        <x:v>0</x:v>
      </x:c>
      <x:c r="AL184" s="11">
        <x:f t="shared" si="29"/>
        <x:v>0</x:v>
      </x:c>
      <x:c r="AM184" s="6"/>
      <x:c r="AN184" s="6"/>
    </x:row>
    <x:row r="185">
      <x:c r="A185" s="3" t="str">
        <x:f t="shared" si="20"/>
      </x:c>
      <x:c r="B185" s="9"/>
      <x:c r="C185" s="36"/>
      <x:c r="D185" s="6"/>
      <x:c r="E185" s="3" t="str">
        <x:f>IF(D185="","",IFERROR(VLOOKUP(D185,'Base Sectores'!$A$5:$J$47,2,FALSE),""))</x:f>
      </x:c>
      <x:c r="F185" s="40" t="str">
        <x:f>IF(D185="","",IFERROR(VLOOKUP(D185,'Base Sectores'!$A$5:$J$47,3,FALSE),""))</x:f>
      </x:c>
      <x:c r="G185" s="3" t="str">
        <x:f>IF(D185="","",IFERROR(VLOOKUP(D185,'Base Sectores'!$A$5:$J$47,4,FALSE),""))</x:f>
      </x:c>
      <x:c r="H185" s="3" t="str">
        <x:f>IF(D185="","",IFERROR(VLOOKUP(D185,'Base Sectores'!$A$5:$J$47,5,FALSE),""))</x:f>
      </x:c>
      <x:c r="I185" s="3" t="str">
        <x:f>IF(D185="","",IFERROR(VLOOKUP(D185,'Base Sectores'!$A$5:$J$47,6,FALSE),""))</x:f>
      </x:c>
      <x:c r="J185" s="3" t="str">
        <x:f>IF(D185="","",IFERROR(VLOOKUP(D185,'Base Sectores'!$A$5:$J$47,7,FALSE),""))</x:f>
      </x:c>
      <x:c r="K185" s="3" t="str">
        <x:f>IF(D185="","",IFERROR(VLOOKUP(D185,'Base Sectores'!$A$5:$J$47,9,FALSE),""))</x:f>
      </x:c>
      <x:c r="L185" s="6"/>
      <x:c r="M185" s="3" t="str">
        <x:f>IF(L185="","",IFERROR(VLOOKUP(L185,Configuracion!$D$4:$H$15,2,FALSE),""))</x:f>
      </x:c>
      <x:c r="N185" s="3" t="str">
        <x:f>IF(L185="","",IFERROR(VLOOKUP(L185,Configuracion!$D$4:$H$15,3,FALSE),""))</x:f>
      </x:c>
      <x:c r="O185" s="6"/>
      <x:c r="P185" s="3" t="str">
        <x:f>IF(L185="","",IFERROR(VLOOKUP(L185,Configuracion!$D$4:$H$15,4,FALSE),0))</x:f>
      </x:c>
      <x:c r="Q185" s="10"/>
      <x:c r="R185" s="10"/>
      <x:c r="S185" s="4" t="str">
        <x:f t="shared" si="21"/>
      </x:c>
      <x:c r="T185" s="6"/>
      <x:c r="U185" s="6"/>
      <x:c r="V185" s="6"/>
      <x:c r="W185" s="6"/>
      <x:c r="X185" s="6"/>
      <x:c r="Y185" s="6"/>
      <x:c r="Z185" s="6"/>
      <x:c r="AA185" s="6"/>
      <x:c r="AB185" s="6"/>
      <x:c r="AC185" s="10"/>
      <x:c r="AD185" s="10"/>
      <x:c r="AE185" s="4" t="str">
        <x:f t="shared" si="22"/>
      </x:c>
      <x:c r="AF185" s="4" t="str">
        <x:f t="shared" si="23"/>
      </x:c>
      <x:c r="AG185" s="4" t="str">
        <x:f t="shared" si="24"/>
      </x:c>
      <x:c r="AH185" s="11">
        <x:f t="shared" si="25"/>
        <x:v>0</x:v>
      </x:c>
      <x:c r="AI185" s="4" t="str">
        <x:f t="shared" si="26"/>
      </x:c>
      <x:c r="AJ185" s="4">
        <x:f t="shared" si="27"/>
        <x:v>0</x:v>
      </x:c>
      <x:c r="AK185" s="4">
        <x:f t="shared" si="28"/>
        <x:v>0</x:v>
      </x:c>
      <x:c r="AL185" s="11">
        <x:f t="shared" si="29"/>
        <x:v>0</x:v>
      </x:c>
      <x:c r="AM185" s="6"/>
      <x:c r="AN185" s="6"/>
    </x:row>
    <x:row r="186">
      <x:c r="A186" s="3" t="str">
        <x:f t="shared" si="20"/>
      </x:c>
      <x:c r="B186" s="9"/>
      <x:c r="C186" s="36"/>
      <x:c r="D186" s="6"/>
      <x:c r="E186" s="3" t="str">
        <x:f>IF(D186="","",IFERROR(VLOOKUP(D186,'Base Sectores'!$A$5:$J$47,2,FALSE),""))</x:f>
      </x:c>
      <x:c r="F186" s="40" t="str">
        <x:f>IF(D186="","",IFERROR(VLOOKUP(D186,'Base Sectores'!$A$5:$J$47,3,FALSE),""))</x:f>
      </x:c>
      <x:c r="G186" s="3" t="str">
        <x:f>IF(D186="","",IFERROR(VLOOKUP(D186,'Base Sectores'!$A$5:$J$47,4,FALSE),""))</x:f>
      </x:c>
      <x:c r="H186" s="3" t="str">
        <x:f>IF(D186="","",IFERROR(VLOOKUP(D186,'Base Sectores'!$A$5:$J$47,5,FALSE),""))</x:f>
      </x:c>
      <x:c r="I186" s="3" t="str">
        <x:f>IF(D186="","",IFERROR(VLOOKUP(D186,'Base Sectores'!$A$5:$J$47,6,FALSE),""))</x:f>
      </x:c>
      <x:c r="J186" s="3" t="str">
        <x:f>IF(D186="","",IFERROR(VLOOKUP(D186,'Base Sectores'!$A$5:$J$47,7,FALSE),""))</x:f>
      </x:c>
      <x:c r="K186" s="3" t="str">
        <x:f>IF(D186="","",IFERROR(VLOOKUP(D186,'Base Sectores'!$A$5:$J$47,9,FALSE),""))</x:f>
      </x:c>
      <x:c r="L186" s="6"/>
      <x:c r="M186" s="3" t="str">
        <x:f>IF(L186="","",IFERROR(VLOOKUP(L186,Configuracion!$D$4:$H$15,2,FALSE),""))</x:f>
      </x:c>
      <x:c r="N186" s="3" t="str">
        <x:f>IF(L186="","",IFERROR(VLOOKUP(L186,Configuracion!$D$4:$H$15,3,FALSE),""))</x:f>
      </x:c>
      <x:c r="O186" s="6"/>
      <x:c r="P186" s="3" t="str">
        <x:f>IF(L186="","",IFERROR(VLOOKUP(L186,Configuracion!$D$4:$H$15,4,FALSE),0))</x:f>
      </x:c>
      <x:c r="Q186" s="10"/>
      <x:c r="R186" s="10"/>
      <x:c r="S186" s="4" t="str">
        <x:f t="shared" si="21"/>
      </x:c>
      <x:c r="T186" s="6"/>
      <x:c r="U186" s="6"/>
      <x:c r="V186" s="6"/>
      <x:c r="W186" s="6"/>
      <x:c r="X186" s="6"/>
      <x:c r="Y186" s="6"/>
      <x:c r="Z186" s="6"/>
      <x:c r="AA186" s="6"/>
      <x:c r="AB186" s="6"/>
      <x:c r="AC186" s="10"/>
      <x:c r="AD186" s="10"/>
      <x:c r="AE186" s="4" t="str">
        <x:f t="shared" si="22"/>
      </x:c>
      <x:c r="AF186" s="4" t="str">
        <x:f t="shared" si="23"/>
      </x:c>
      <x:c r="AG186" s="4" t="str">
        <x:f t="shared" si="24"/>
      </x:c>
      <x:c r="AH186" s="11">
        <x:f t="shared" si="25"/>
        <x:v>0</x:v>
      </x:c>
      <x:c r="AI186" s="4" t="str">
        <x:f t="shared" si="26"/>
      </x:c>
      <x:c r="AJ186" s="4">
        <x:f t="shared" si="27"/>
        <x:v>0</x:v>
      </x:c>
      <x:c r="AK186" s="4">
        <x:f t="shared" si="28"/>
        <x:v>0</x:v>
      </x:c>
      <x:c r="AL186" s="11">
        <x:f t="shared" si="29"/>
        <x:v>0</x:v>
      </x:c>
      <x:c r="AM186" s="6"/>
      <x:c r="AN186" s="6"/>
    </x:row>
    <x:row r="187">
      <x:c r="A187" s="3" t="str">
        <x:f t="shared" si="20"/>
      </x:c>
      <x:c r="B187" s="9"/>
      <x:c r="C187" s="36"/>
      <x:c r="D187" s="6"/>
      <x:c r="E187" s="3" t="str">
        <x:f>IF(D187="","",IFERROR(VLOOKUP(D187,'Base Sectores'!$A$5:$J$47,2,FALSE),""))</x:f>
      </x:c>
      <x:c r="F187" s="40" t="str">
        <x:f>IF(D187="","",IFERROR(VLOOKUP(D187,'Base Sectores'!$A$5:$J$47,3,FALSE),""))</x:f>
      </x:c>
      <x:c r="G187" s="3" t="str">
        <x:f>IF(D187="","",IFERROR(VLOOKUP(D187,'Base Sectores'!$A$5:$J$47,4,FALSE),""))</x:f>
      </x:c>
      <x:c r="H187" s="3" t="str">
        <x:f>IF(D187="","",IFERROR(VLOOKUP(D187,'Base Sectores'!$A$5:$J$47,5,FALSE),""))</x:f>
      </x:c>
      <x:c r="I187" s="3" t="str">
        <x:f>IF(D187="","",IFERROR(VLOOKUP(D187,'Base Sectores'!$A$5:$J$47,6,FALSE),""))</x:f>
      </x:c>
      <x:c r="J187" s="3" t="str">
        <x:f>IF(D187="","",IFERROR(VLOOKUP(D187,'Base Sectores'!$A$5:$J$47,7,FALSE),""))</x:f>
      </x:c>
      <x:c r="K187" s="3" t="str">
        <x:f>IF(D187="","",IFERROR(VLOOKUP(D187,'Base Sectores'!$A$5:$J$47,9,FALSE),""))</x:f>
      </x:c>
      <x:c r="L187" s="6"/>
      <x:c r="M187" s="3" t="str">
        <x:f>IF(L187="","",IFERROR(VLOOKUP(L187,Configuracion!$D$4:$H$15,2,FALSE),""))</x:f>
      </x:c>
      <x:c r="N187" s="3" t="str">
        <x:f>IF(L187="","",IFERROR(VLOOKUP(L187,Configuracion!$D$4:$H$15,3,FALSE),""))</x:f>
      </x:c>
      <x:c r="O187" s="6"/>
      <x:c r="P187" s="3" t="str">
        <x:f>IF(L187="","",IFERROR(VLOOKUP(L187,Configuracion!$D$4:$H$15,4,FALSE),0))</x:f>
      </x:c>
      <x:c r="Q187" s="10"/>
      <x:c r="R187" s="10"/>
      <x:c r="S187" s="4" t="str">
        <x:f t="shared" si="21"/>
      </x:c>
      <x:c r="T187" s="6"/>
      <x:c r="U187" s="6"/>
      <x:c r="V187" s="6"/>
      <x:c r="W187" s="6"/>
      <x:c r="X187" s="6"/>
      <x:c r="Y187" s="6"/>
      <x:c r="Z187" s="6"/>
      <x:c r="AA187" s="6"/>
      <x:c r="AB187" s="6"/>
      <x:c r="AC187" s="10"/>
      <x:c r="AD187" s="10"/>
      <x:c r="AE187" s="4" t="str">
        <x:f t="shared" si="22"/>
      </x:c>
      <x:c r="AF187" s="4" t="str">
        <x:f t="shared" si="23"/>
      </x:c>
      <x:c r="AG187" s="4" t="str">
        <x:f t="shared" si="24"/>
      </x:c>
      <x:c r="AH187" s="11">
        <x:f t="shared" si="25"/>
        <x:v>0</x:v>
      </x:c>
      <x:c r="AI187" s="4" t="str">
        <x:f t="shared" si="26"/>
      </x:c>
      <x:c r="AJ187" s="4">
        <x:f t="shared" si="27"/>
        <x:v>0</x:v>
      </x:c>
      <x:c r="AK187" s="4">
        <x:f t="shared" si="28"/>
        <x:v>0</x:v>
      </x:c>
      <x:c r="AL187" s="11">
        <x:f t="shared" si="29"/>
        <x:v>0</x:v>
      </x:c>
      <x:c r="AM187" s="6"/>
      <x:c r="AN187" s="6"/>
    </x:row>
    <x:row r="188">
      <x:c r="A188" s="3" t="str">
        <x:f t="shared" si="20"/>
      </x:c>
      <x:c r="B188" s="9"/>
      <x:c r="C188" s="36"/>
      <x:c r="D188" s="6"/>
      <x:c r="E188" s="3" t="str">
        <x:f>IF(D188="","",IFERROR(VLOOKUP(D188,'Base Sectores'!$A$5:$J$47,2,FALSE),""))</x:f>
      </x:c>
      <x:c r="F188" s="40" t="str">
        <x:f>IF(D188="","",IFERROR(VLOOKUP(D188,'Base Sectores'!$A$5:$J$47,3,FALSE),""))</x:f>
      </x:c>
      <x:c r="G188" s="3" t="str">
        <x:f>IF(D188="","",IFERROR(VLOOKUP(D188,'Base Sectores'!$A$5:$J$47,4,FALSE),""))</x:f>
      </x:c>
      <x:c r="H188" s="3" t="str">
        <x:f>IF(D188="","",IFERROR(VLOOKUP(D188,'Base Sectores'!$A$5:$J$47,5,FALSE),""))</x:f>
      </x:c>
      <x:c r="I188" s="3" t="str">
        <x:f>IF(D188="","",IFERROR(VLOOKUP(D188,'Base Sectores'!$A$5:$J$47,6,FALSE),""))</x:f>
      </x:c>
      <x:c r="J188" s="3" t="str">
        <x:f>IF(D188="","",IFERROR(VLOOKUP(D188,'Base Sectores'!$A$5:$J$47,7,FALSE),""))</x:f>
      </x:c>
      <x:c r="K188" s="3" t="str">
        <x:f>IF(D188="","",IFERROR(VLOOKUP(D188,'Base Sectores'!$A$5:$J$47,9,FALSE),""))</x:f>
      </x:c>
      <x:c r="L188" s="6"/>
      <x:c r="M188" s="3" t="str">
        <x:f>IF(L188="","",IFERROR(VLOOKUP(L188,Configuracion!$D$4:$H$15,2,FALSE),""))</x:f>
      </x:c>
      <x:c r="N188" s="3" t="str">
        <x:f>IF(L188="","",IFERROR(VLOOKUP(L188,Configuracion!$D$4:$H$15,3,FALSE),""))</x:f>
      </x:c>
      <x:c r="O188" s="6"/>
      <x:c r="P188" s="3" t="str">
        <x:f>IF(L188="","",IFERROR(VLOOKUP(L188,Configuracion!$D$4:$H$15,4,FALSE),0))</x:f>
      </x:c>
      <x:c r="Q188" s="10"/>
      <x:c r="R188" s="10"/>
      <x:c r="S188" s="4" t="str">
        <x:f t="shared" si="21"/>
      </x:c>
      <x:c r="T188" s="6"/>
      <x:c r="U188" s="6"/>
      <x:c r="V188" s="6"/>
      <x:c r="W188" s="6"/>
      <x:c r="X188" s="6"/>
      <x:c r="Y188" s="6"/>
      <x:c r="Z188" s="6"/>
      <x:c r="AA188" s="6"/>
      <x:c r="AB188" s="6"/>
      <x:c r="AC188" s="10"/>
      <x:c r="AD188" s="10"/>
      <x:c r="AE188" s="4" t="str">
        <x:f t="shared" si="22"/>
      </x:c>
      <x:c r="AF188" s="4" t="str">
        <x:f t="shared" si="23"/>
      </x:c>
      <x:c r="AG188" s="4" t="str">
        <x:f t="shared" si="24"/>
      </x:c>
      <x:c r="AH188" s="11">
        <x:f t="shared" si="25"/>
        <x:v>0</x:v>
      </x:c>
      <x:c r="AI188" s="4" t="str">
        <x:f t="shared" si="26"/>
      </x:c>
      <x:c r="AJ188" s="4">
        <x:f t="shared" si="27"/>
        <x:v>0</x:v>
      </x:c>
      <x:c r="AK188" s="4">
        <x:f t="shared" si="28"/>
        <x:v>0</x:v>
      </x:c>
      <x:c r="AL188" s="11">
        <x:f t="shared" si="29"/>
        <x:v>0</x:v>
      </x:c>
      <x:c r="AM188" s="6"/>
      <x:c r="AN188" s="6"/>
    </x:row>
    <x:row r="189">
      <x:c r="A189" s="3" t="str">
        <x:f t="shared" si="20"/>
      </x:c>
      <x:c r="B189" s="9"/>
      <x:c r="C189" s="36"/>
      <x:c r="D189" s="6"/>
      <x:c r="E189" s="3" t="str">
        <x:f>IF(D189="","",IFERROR(VLOOKUP(D189,'Base Sectores'!$A$5:$J$47,2,FALSE),""))</x:f>
      </x:c>
      <x:c r="F189" s="40" t="str">
        <x:f>IF(D189="","",IFERROR(VLOOKUP(D189,'Base Sectores'!$A$5:$J$47,3,FALSE),""))</x:f>
      </x:c>
      <x:c r="G189" s="3" t="str">
        <x:f>IF(D189="","",IFERROR(VLOOKUP(D189,'Base Sectores'!$A$5:$J$47,4,FALSE),""))</x:f>
      </x:c>
      <x:c r="H189" s="3" t="str">
        <x:f>IF(D189="","",IFERROR(VLOOKUP(D189,'Base Sectores'!$A$5:$J$47,5,FALSE),""))</x:f>
      </x:c>
      <x:c r="I189" s="3" t="str">
        <x:f>IF(D189="","",IFERROR(VLOOKUP(D189,'Base Sectores'!$A$5:$J$47,6,FALSE),""))</x:f>
      </x:c>
      <x:c r="J189" s="3" t="str">
        <x:f>IF(D189="","",IFERROR(VLOOKUP(D189,'Base Sectores'!$A$5:$J$47,7,FALSE),""))</x:f>
      </x:c>
      <x:c r="K189" s="3" t="str">
        <x:f>IF(D189="","",IFERROR(VLOOKUP(D189,'Base Sectores'!$A$5:$J$47,9,FALSE),""))</x:f>
      </x:c>
      <x:c r="L189" s="6"/>
      <x:c r="M189" s="3" t="str">
        <x:f>IF(L189="","",IFERROR(VLOOKUP(L189,Configuracion!$D$4:$H$15,2,FALSE),""))</x:f>
      </x:c>
      <x:c r="N189" s="3" t="str">
        <x:f>IF(L189="","",IFERROR(VLOOKUP(L189,Configuracion!$D$4:$H$15,3,FALSE),""))</x:f>
      </x:c>
      <x:c r="O189" s="6"/>
      <x:c r="P189" s="3" t="str">
        <x:f>IF(L189="","",IFERROR(VLOOKUP(L189,Configuracion!$D$4:$H$15,4,FALSE),0))</x:f>
      </x:c>
      <x:c r="Q189" s="10"/>
      <x:c r="R189" s="10"/>
      <x:c r="S189" s="4" t="str">
        <x:f t="shared" si="21"/>
      </x:c>
      <x:c r="T189" s="6"/>
      <x:c r="U189" s="6"/>
      <x:c r="V189" s="6"/>
      <x:c r="W189" s="6"/>
      <x:c r="X189" s="6"/>
      <x:c r="Y189" s="6"/>
      <x:c r="Z189" s="6"/>
      <x:c r="AA189" s="6"/>
      <x:c r="AB189" s="6"/>
      <x:c r="AC189" s="10"/>
      <x:c r="AD189" s="10"/>
      <x:c r="AE189" s="4" t="str">
        <x:f t="shared" si="22"/>
      </x:c>
      <x:c r="AF189" s="4" t="str">
        <x:f t="shared" si="23"/>
      </x:c>
      <x:c r="AG189" s="4" t="str">
        <x:f t="shared" si="24"/>
      </x:c>
      <x:c r="AH189" s="11">
        <x:f t="shared" si="25"/>
        <x:v>0</x:v>
      </x:c>
      <x:c r="AI189" s="4" t="str">
        <x:f t="shared" si="26"/>
      </x:c>
      <x:c r="AJ189" s="4">
        <x:f t="shared" si="27"/>
        <x:v>0</x:v>
      </x:c>
      <x:c r="AK189" s="4">
        <x:f t="shared" si="28"/>
        <x:v>0</x:v>
      </x:c>
      <x:c r="AL189" s="11">
        <x:f t="shared" si="29"/>
        <x:v>0</x:v>
      </x:c>
      <x:c r="AM189" s="6"/>
      <x:c r="AN189" s="6"/>
    </x:row>
    <x:row r="190">
      <x:c r="A190" s="3" t="str">
        <x:f t="shared" si="20"/>
      </x:c>
      <x:c r="B190" s="9"/>
      <x:c r="C190" s="36"/>
      <x:c r="D190" s="6"/>
      <x:c r="E190" s="3" t="str">
        <x:f>IF(D190="","",IFERROR(VLOOKUP(D190,'Base Sectores'!$A$5:$J$47,2,FALSE),""))</x:f>
      </x:c>
      <x:c r="F190" s="40" t="str">
        <x:f>IF(D190="","",IFERROR(VLOOKUP(D190,'Base Sectores'!$A$5:$J$47,3,FALSE),""))</x:f>
      </x:c>
      <x:c r="G190" s="3" t="str">
        <x:f>IF(D190="","",IFERROR(VLOOKUP(D190,'Base Sectores'!$A$5:$J$47,4,FALSE),""))</x:f>
      </x:c>
      <x:c r="H190" s="3" t="str">
        <x:f>IF(D190="","",IFERROR(VLOOKUP(D190,'Base Sectores'!$A$5:$J$47,5,FALSE),""))</x:f>
      </x:c>
      <x:c r="I190" s="3" t="str">
        <x:f>IF(D190="","",IFERROR(VLOOKUP(D190,'Base Sectores'!$A$5:$J$47,6,FALSE),""))</x:f>
      </x:c>
      <x:c r="J190" s="3" t="str">
        <x:f>IF(D190="","",IFERROR(VLOOKUP(D190,'Base Sectores'!$A$5:$J$47,7,FALSE),""))</x:f>
      </x:c>
      <x:c r="K190" s="3" t="str">
        <x:f>IF(D190="","",IFERROR(VLOOKUP(D190,'Base Sectores'!$A$5:$J$47,9,FALSE),""))</x:f>
      </x:c>
      <x:c r="L190" s="6"/>
      <x:c r="M190" s="3" t="str">
        <x:f>IF(L190="","",IFERROR(VLOOKUP(L190,Configuracion!$D$4:$H$15,2,FALSE),""))</x:f>
      </x:c>
      <x:c r="N190" s="3" t="str">
        <x:f>IF(L190="","",IFERROR(VLOOKUP(L190,Configuracion!$D$4:$H$15,3,FALSE),""))</x:f>
      </x:c>
      <x:c r="O190" s="6"/>
      <x:c r="P190" s="3" t="str">
        <x:f>IF(L190="","",IFERROR(VLOOKUP(L190,Configuracion!$D$4:$H$15,4,FALSE),0))</x:f>
      </x:c>
      <x:c r="Q190" s="10"/>
      <x:c r="R190" s="10"/>
      <x:c r="S190" s="4" t="str">
        <x:f t="shared" si="21"/>
      </x:c>
      <x:c r="T190" s="6"/>
      <x:c r="U190" s="6"/>
      <x:c r="V190" s="6"/>
      <x:c r="W190" s="6"/>
      <x:c r="X190" s="6"/>
      <x:c r="Y190" s="6"/>
      <x:c r="Z190" s="6"/>
      <x:c r="AA190" s="6"/>
      <x:c r="AB190" s="6"/>
      <x:c r="AC190" s="10"/>
      <x:c r="AD190" s="10"/>
      <x:c r="AE190" s="4" t="str">
        <x:f t="shared" si="22"/>
      </x:c>
      <x:c r="AF190" s="4" t="str">
        <x:f t="shared" si="23"/>
      </x:c>
      <x:c r="AG190" s="4" t="str">
        <x:f t="shared" si="24"/>
      </x:c>
      <x:c r="AH190" s="11">
        <x:f t="shared" si="25"/>
        <x:v>0</x:v>
      </x:c>
      <x:c r="AI190" s="4" t="str">
        <x:f t="shared" si="26"/>
      </x:c>
      <x:c r="AJ190" s="4">
        <x:f t="shared" si="27"/>
        <x:v>0</x:v>
      </x:c>
      <x:c r="AK190" s="4">
        <x:f t="shared" si="28"/>
        <x:v>0</x:v>
      </x:c>
      <x:c r="AL190" s="11">
        <x:f t="shared" si="29"/>
        <x:v>0</x:v>
      </x:c>
      <x:c r="AM190" s="6"/>
      <x:c r="AN190" s="6"/>
    </x:row>
    <x:row r="191">
      <x:c r="A191" s="3" t="str">
        <x:f t="shared" si="20"/>
      </x:c>
      <x:c r="B191" s="9"/>
      <x:c r="C191" s="36"/>
      <x:c r="D191" s="6"/>
      <x:c r="E191" s="3" t="str">
        <x:f>IF(D191="","",IFERROR(VLOOKUP(D191,'Base Sectores'!$A$5:$J$47,2,FALSE),""))</x:f>
      </x:c>
      <x:c r="F191" s="40" t="str">
        <x:f>IF(D191="","",IFERROR(VLOOKUP(D191,'Base Sectores'!$A$5:$J$47,3,FALSE),""))</x:f>
      </x:c>
      <x:c r="G191" s="3" t="str">
        <x:f>IF(D191="","",IFERROR(VLOOKUP(D191,'Base Sectores'!$A$5:$J$47,4,FALSE),""))</x:f>
      </x:c>
      <x:c r="H191" s="3" t="str">
        <x:f>IF(D191="","",IFERROR(VLOOKUP(D191,'Base Sectores'!$A$5:$J$47,5,FALSE),""))</x:f>
      </x:c>
      <x:c r="I191" s="3" t="str">
        <x:f>IF(D191="","",IFERROR(VLOOKUP(D191,'Base Sectores'!$A$5:$J$47,6,FALSE),""))</x:f>
      </x:c>
      <x:c r="J191" s="3" t="str">
        <x:f>IF(D191="","",IFERROR(VLOOKUP(D191,'Base Sectores'!$A$5:$J$47,7,FALSE),""))</x:f>
      </x:c>
      <x:c r="K191" s="3" t="str">
        <x:f>IF(D191="","",IFERROR(VLOOKUP(D191,'Base Sectores'!$A$5:$J$47,9,FALSE),""))</x:f>
      </x:c>
      <x:c r="L191" s="6"/>
      <x:c r="M191" s="3" t="str">
        <x:f>IF(L191="","",IFERROR(VLOOKUP(L191,Configuracion!$D$4:$H$15,2,FALSE),""))</x:f>
      </x:c>
      <x:c r="N191" s="3" t="str">
        <x:f>IF(L191="","",IFERROR(VLOOKUP(L191,Configuracion!$D$4:$H$15,3,FALSE),""))</x:f>
      </x:c>
      <x:c r="O191" s="6"/>
      <x:c r="P191" s="3" t="str">
        <x:f>IF(L191="","",IFERROR(VLOOKUP(L191,Configuracion!$D$4:$H$15,4,FALSE),0))</x:f>
      </x:c>
      <x:c r="Q191" s="10"/>
      <x:c r="R191" s="10"/>
      <x:c r="S191" s="4" t="str">
        <x:f t="shared" si="21"/>
      </x:c>
      <x:c r="T191" s="6"/>
      <x:c r="U191" s="6"/>
      <x:c r="V191" s="6"/>
      <x:c r="W191" s="6"/>
      <x:c r="X191" s="6"/>
      <x:c r="Y191" s="6"/>
      <x:c r="Z191" s="6"/>
      <x:c r="AA191" s="6"/>
      <x:c r="AB191" s="6"/>
      <x:c r="AC191" s="10"/>
      <x:c r="AD191" s="10"/>
      <x:c r="AE191" s="4" t="str">
        <x:f t="shared" si="22"/>
      </x:c>
      <x:c r="AF191" s="4" t="str">
        <x:f t="shared" si="23"/>
      </x:c>
      <x:c r="AG191" s="4" t="str">
        <x:f t="shared" si="24"/>
      </x:c>
      <x:c r="AH191" s="11">
        <x:f t="shared" si="25"/>
        <x:v>0</x:v>
      </x:c>
      <x:c r="AI191" s="4" t="str">
        <x:f t="shared" si="26"/>
      </x:c>
      <x:c r="AJ191" s="4">
        <x:f t="shared" si="27"/>
        <x:v>0</x:v>
      </x:c>
      <x:c r="AK191" s="4">
        <x:f t="shared" si="28"/>
        <x:v>0</x:v>
      </x:c>
      <x:c r="AL191" s="11">
        <x:f t="shared" si="29"/>
        <x:v>0</x:v>
      </x:c>
      <x:c r="AM191" s="6"/>
      <x:c r="AN191" s="6"/>
    </x:row>
    <x:row r="192">
      <x:c r="A192" s="3" t="str">
        <x:f t="shared" si="20"/>
      </x:c>
      <x:c r="B192" s="9"/>
      <x:c r="C192" s="36"/>
      <x:c r="D192" s="6"/>
      <x:c r="E192" s="3" t="str">
        <x:f>IF(D192="","",IFERROR(VLOOKUP(D192,'Base Sectores'!$A$5:$J$47,2,FALSE),""))</x:f>
      </x:c>
      <x:c r="F192" s="40" t="str">
        <x:f>IF(D192="","",IFERROR(VLOOKUP(D192,'Base Sectores'!$A$5:$J$47,3,FALSE),""))</x:f>
      </x:c>
      <x:c r="G192" s="3" t="str">
        <x:f>IF(D192="","",IFERROR(VLOOKUP(D192,'Base Sectores'!$A$5:$J$47,4,FALSE),""))</x:f>
      </x:c>
      <x:c r="H192" s="3" t="str">
        <x:f>IF(D192="","",IFERROR(VLOOKUP(D192,'Base Sectores'!$A$5:$J$47,5,FALSE),""))</x:f>
      </x:c>
      <x:c r="I192" s="3" t="str">
        <x:f>IF(D192="","",IFERROR(VLOOKUP(D192,'Base Sectores'!$A$5:$J$47,6,FALSE),""))</x:f>
      </x:c>
      <x:c r="J192" s="3" t="str">
        <x:f>IF(D192="","",IFERROR(VLOOKUP(D192,'Base Sectores'!$A$5:$J$47,7,FALSE),""))</x:f>
      </x:c>
      <x:c r="K192" s="3" t="str">
        <x:f>IF(D192="","",IFERROR(VLOOKUP(D192,'Base Sectores'!$A$5:$J$47,9,FALSE),""))</x:f>
      </x:c>
      <x:c r="L192" s="6"/>
      <x:c r="M192" s="3" t="str">
        <x:f>IF(L192="","",IFERROR(VLOOKUP(L192,Configuracion!$D$4:$H$15,2,FALSE),""))</x:f>
      </x:c>
      <x:c r="N192" s="3" t="str">
        <x:f>IF(L192="","",IFERROR(VLOOKUP(L192,Configuracion!$D$4:$H$15,3,FALSE),""))</x:f>
      </x:c>
      <x:c r="O192" s="6"/>
      <x:c r="P192" s="3" t="str">
        <x:f>IF(L192="","",IFERROR(VLOOKUP(L192,Configuracion!$D$4:$H$15,4,FALSE),0))</x:f>
      </x:c>
      <x:c r="Q192" s="10"/>
      <x:c r="R192" s="10"/>
      <x:c r="S192" s="4" t="str">
        <x:f t="shared" si="21"/>
      </x:c>
      <x:c r="T192" s="6"/>
      <x:c r="U192" s="6"/>
      <x:c r="V192" s="6"/>
      <x:c r="W192" s="6"/>
      <x:c r="X192" s="6"/>
      <x:c r="Y192" s="6"/>
      <x:c r="Z192" s="6"/>
      <x:c r="AA192" s="6"/>
      <x:c r="AB192" s="6"/>
      <x:c r="AC192" s="10"/>
      <x:c r="AD192" s="10"/>
      <x:c r="AE192" s="4" t="str">
        <x:f t="shared" si="22"/>
      </x:c>
      <x:c r="AF192" s="4" t="str">
        <x:f t="shared" si="23"/>
      </x:c>
      <x:c r="AG192" s="4" t="str">
        <x:f t="shared" si="24"/>
      </x:c>
      <x:c r="AH192" s="11">
        <x:f t="shared" si="25"/>
        <x:v>0</x:v>
      </x:c>
      <x:c r="AI192" s="4" t="str">
        <x:f t="shared" si="26"/>
      </x:c>
      <x:c r="AJ192" s="4">
        <x:f t="shared" si="27"/>
        <x:v>0</x:v>
      </x:c>
      <x:c r="AK192" s="4">
        <x:f t="shared" si="28"/>
        <x:v>0</x:v>
      </x:c>
      <x:c r="AL192" s="11">
        <x:f t="shared" si="29"/>
        <x:v>0</x:v>
      </x:c>
      <x:c r="AM192" s="6"/>
      <x:c r="AN192" s="6"/>
    </x:row>
    <x:row r="193">
      <x:c r="A193" s="3" t="str">
        <x:f t="shared" si="20"/>
      </x:c>
      <x:c r="B193" s="9"/>
      <x:c r="C193" s="36"/>
      <x:c r="D193" s="6"/>
      <x:c r="E193" s="3" t="str">
        <x:f>IF(D193="","",IFERROR(VLOOKUP(D193,'Base Sectores'!$A$5:$J$47,2,FALSE),""))</x:f>
      </x:c>
      <x:c r="F193" s="40" t="str">
        <x:f>IF(D193="","",IFERROR(VLOOKUP(D193,'Base Sectores'!$A$5:$J$47,3,FALSE),""))</x:f>
      </x:c>
      <x:c r="G193" s="3" t="str">
        <x:f>IF(D193="","",IFERROR(VLOOKUP(D193,'Base Sectores'!$A$5:$J$47,4,FALSE),""))</x:f>
      </x:c>
      <x:c r="H193" s="3" t="str">
        <x:f>IF(D193="","",IFERROR(VLOOKUP(D193,'Base Sectores'!$A$5:$J$47,5,FALSE),""))</x:f>
      </x:c>
      <x:c r="I193" s="3" t="str">
        <x:f>IF(D193="","",IFERROR(VLOOKUP(D193,'Base Sectores'!$A$5:$J$47,6,FALSE),""))</x:f>
      </x:c>
      <x:c r="J193" s="3" t="str">
        <x:f>IF(D193="","",IFERROR(VLOOKUP(D193,'Base Sectores'!$A$5:$J$47,7,FALSE),""))</x:f>
      </x:c>
      <x:c r="K193" s="3" t="str">
        <x:f>IF(D193="","",IFERROR(VLOOKUP(D193,'Base Sectores'!$A$5:$J$47,9,FALSE),""))</x:f>
      </x:c>
      <x:c r="L193" s="6"/>
      <x:c r="M193" s="3" t="str">
        <x:f>IF(L193="","",IFERROR(VLOOKUP(L193,Configuracion!$D$4:$H$15,2,FALSE),""))</x:f>
      </x:c>
      <x:c r="N193" s="3" t="str">
        <x:f>IF(L193="","",IFERROR(VLOOKUP(L193,Configuracion!$D$4:$H$15,3,FALSE),""))</x:f>
      </x:c>
      <x:c r="O193" s="6"/>
      <x:c r="P193" s="3" t="str">
        <x:f>IF(L193="","",IFERROR(VLOOKUP(L193,Configuracion!$D$4:$H$15,4,FALSE),0))</x:f>
      </x:c>
      <x:c r="Q193" s="10"/>
      <x:c r="R193" s="10"/>
      <x:c r="S193" s="4" t="str">
        <x:f t="shared" si="21"/>
      </x:c>
      <x:c r="T193" s="6"/>
      <x:c r="U193" s="6"/>
      <x:c r="V193" s="6"/>
      <x:c r="W193" s="6"/>
      <x:c r="X193" s="6"/>
      <x:c r="Y193" s="6"/>
      <x:c r="Z193" s="6"/>
      <x:c r="AA193" s="6"/>
      <x:c r="AB193" s="6"/>
      <x:c r="AC193" s="10"/>
      <x:c r="AD193" s="10"/>
      <x:c r="AE193" s="4" t="str">
        <x:f t="shared" si="22"/>
      </x:c>
      <x:c r="AF193" s="4" t="str">
        <x:f t="shared" si="23"/>
      </x:c>
      <x:c r="AG193" s="4" t="str">
        <x:f t="shared" si="24"/>
      </x:c>
      <x:c r="AH193" s="11">
        <x:f t="shared" si="25"/>
        <x:v>0</x:v>
      </x:c>
      <x:c r="AI193" s="4" t="str">
        <x:f t="shared" si="26"/>
      </x:c>
      <x:c r="AJ193" s="4">
        <x:f t="shared" si="27"/>
        <x:v>0</x:v>
      </x:c>
      <x:c r="AK193" s="4">
        <x:f t="shared" si="28"/>
        <x:v>0</x:v>
      </x:c>
      <x:c r="AL193" s="11">
        <x:f t="shared" si="29"/>
        <x:v>0</x:v>
      </x:c>
      <x:c r="AM193" s="6"/>
      <x:c r="AN193" s="6"/>
    </x:row>
    <x:row r="194">
      <x:c r="A194" s="3" t="str">
        <x:f t="shared" si="20"/>
      </x:c>
      <x:c r="B194" s="9"/>
      <x:c r="C194" s="36"/>
      <x:c r="D194" s="6"/>
      <x:c r="E194" s="3" t="str">
        <x:f>IF(D194="","",IFERROR(VLOOKUP(D194,'Base Sectores'!$A$5:$J$47,2,FALSE),""))</x:f>
      </x:c>
      <x:c r="F194" s="40" t="str">
        <x:f>IF(D194="","",IFERROR(VLOOKUP(D194,'Base Sectores'!$A$5:$J$47,3,FALSE),""))</x:f>
      </x:c>
      <x:c r="G194" s="3" t="str">
        <x:f>IF(D194="","",IFERROR(VLOOKUP(D194,'Base Sectores'!$A$5:$J$47,4,FALSE),""))</x:f>
      </x:c>
      <x:c r="H194" s="3" t="str">
        <x:f>IF(D194="","",IFERROR(VLOOKUP(D194,'Base Sectores'!$A$5:$J$47,5,FALSE),""))</x:f>
      </x:c>
      <x:c r="I194" s="3" t="str">
        <x:f>IF(D194="","",IFERROR(VLOOKUP(D194,'Base Sectores'!$A$5:$J$47,6,FALSE),""))</x:f>
      </x:c>
      <x:c r="J194" s="3" t="str">
        <x:f>IF(D194="","",IFERROR(VLOOKUP(D194,'Base Sectores'!$A$5:$J$47,7,FALSE),""))</x:f>
      </x:c>
      <x:c r="K194" s="3" t="str">
        <x:f>IF(D194="","",IFERROR(VLOOKUP(D194,'Base Sectores'!$A$5:$J$47,9,FALSE),""))</x:f>
      </x:c>
      <x:c r="L194" s="6"/>
      <x:c r="M194" s="3" t="str">
        <x:f>IF(L194="","",IFERROR(VLOOKUP(L194,Configuracion!$D$4:$H$15,2,FALSE),""))</x:f>
      </x:c>
      <x:c r="N194" s="3" t="str">
        <x:f>IF(L194="","",IFERROR(VLOOKUP(L194,Configuracion!$D$4:$H$15,3,FALSE),""))</x:f>
      </x:c>
      <x:c r="O194" s="6"/>
      <x:c r="P194" s="3" t="str">
        <x:f>IF(L194="","",IFERROR(VLOOKUP(L194,Configuracion!$D$4:$H$15,4,FALSE),0))</x:f>
      </x:c>
      <x:c r="Q194" s="10"/>
      <x:c r="R194" s="10"/>
      <x:c r="S194" s="4" t="str">
        <x:f t="shared" si="21"/>
      </x:c>
      <x:c r="T194" s="6"/>
      <x:c r="U194" s="6"/>
      <x:c r="V194" s="6"/>
      <x:c r="W194" s="6"/>
      <x:c r="X194" s="6"/>
      <x:c r="Y194" s="6"/>
      <x:c r="Z194" s="6"/>
      <x:c r="AA194" s="6"/>
      <x:c r="AB194" s="6"/>
      <x:c r="AC194" s="10"/>
      <x:c r="AD194" s="10"/>
      <x:c r="AE194" s="4" t="str">
        <x:f t="shared" si="22"/>
      </x:c>
      <x:c r="AF194" s="4" t="str">
        <x:f t="shared" si="23"/>
      </x:c>
      <x:c r="AG194" s="4" t="str">
        <x:f t="shared" si="24"/>
      </x:c>
      <x:c r="AH194" s="11">
        <x:f t="shared" si="25"/>
        <x:v>0</x:v>
      </x:c>
      <x:c r="AI194" s="4" t="str">
        <x:f t="shared" si="26"/>
      </x:c>
      <x:c r="AJ194" s="4">
        <x:f t="shared" si="27"/>
        <x:v>0</x:v>
      </x:c>
      <x:c r="AK194" s="4">
        <x:f t="shared" si="28"/>
        <x:v>0</x:v>
      </x:c>
      <x:c r="AL194" s="11">
        <x:f t="shared" si="29"/>
        <x:v>0</x:v>
      </x:c>
      <x:c r="AM194" s="6"/>
      <x:c r="AN194" s="6"/>
    </x:row>
    <x:row r="195">
      <x:c r="A195" s="3" t="str">
        <x:f t="shared" si="20"/>
      </x:c>
      <x:c r="B195" s="9"/>
      <x:c r="C195" s="36"/>
      <x:c r="D195" s="6"/>
      <x:c r="E195" s="3" t="str">
        <x:f>IF(D195="","",IFERROR(VLOOKUP(D195,'Base Sectores'!$A$5:$J$47,2,FALSE),""))</x:f>
      </x:c>
      <x:c r="F195" s="40" t="str">
        <x:f>IF(D195="","",IFERROR(VLOOKUP(D195,'Base Sectores'!$A$5:$J$47,3,FALSE),""))</x:f>
      </x:c>
      <x:c r="G195" s="3" t="str">
        <x:f>IF(D195="","",IFERROR(VLOOKUP(D195,'Base Sectores'!$A$5:$J$47,4,FALSE),""))</x:f>
      </x:c>
      <x:c r="H195" s="3" t="str">
        <x:f>IF(D195="","",IFERROR(VLOOKUP(D195,'Base Sectores'!$A$5:$J$47,5,FALSE),""))</x:f>
      </x:c>
      <x:c r="I195" s="3" t="str">
        <x:f>IF(D195="","",IFERROR(VLOOKUP(D195,'Base Sectores'!$A$5:$J$47,6,FALSE),""))</x:f>
      </x:c>
      <x:c r="J195" s="3" t="str">
        <x:f>IF(D195="","",IFERROR(VLOOKUP(D195,'Base Sectores'!$A$5:$J$47,7,FALSE),""))</x:f>
      </x:c>
      <x:c r="K195" s="3" t="str">
        <x:f>IF(D195="","",IFERROR(VLOOKUP(D195,'Base Sectores'!$A$5:$J$47,9,FALSE),""))</x:f>
      </x:c>
      <x:c r="L195" s="6"/>
      <x:c r="M195" s="3" t="str">
        <x:f>IF(L195="","",IFERROR(VLOOKUP(L195,Configuracion!$D$4:$H$15,2,FALSE),""))</x:f>
      </x:c>
      <x:c r="N195" s="3" t="str">
        <x:f>IF(L195="","",IFERROR(VLOOKUP(L195,Configuracion!$D$4:$H$15,3,FALSE),""))</x:f>
      </x:c>
      <x:c r="O195" s="6"/>
      <x:c r="P195" s="3" t="str">
        <x:f>IF(L195="","",IFERROR(VLOOKUP(L195,Configuracion!$D$4:$H$15,4,FALSE),0))</x:f>
      </x:c>
      <x:c r="Q195" s="10"/>
      <x:c r="R195" s="10"/>
      <x:c r="S195" s="4" t="str">
        <x:f t="shared" si="21"/>
      </x:c>
      <x:c r="T195" s="6"/>
      <x:c r="U195" s="6"/>
      <x:c r="V195" s="6"/>
      <x:c r="W195" s="6"/>
      <x:c r="X195" s="6"/>
      <x:c r="Y195" s="6"/>
      <x:c r="Z195" s="6"/>
      <x:c r="AA195" s="6"/>
      <x:c r="AB195" s="6"/>
      <x:c r="AC195" s="10"/>
      <x:c r="AD195" s="10"/>
      <x:c r="AE195" s="4" t="str">
        <x:f t="shared" si="22"/>
      </x:c>
      <x:c r="AF195" s="4" t="str">
        <x:f t="shared" si="23"/>
      </x:c>
      <x:c r="AG195" s="4" t="str">
        <x:f t="shared" si="24"/>
      </x:c>
      <x:c r="AH195" s="11">
        <x:f t="shared" si="25"/>
        <x:v>0</x:v>
      </x:c>
      <x:c r="AI195" s="4" t="str">
        <x:f t="shared" si="26"/>
      </x:c>
      <x:c r="AJ195" s="4">
        <x:f t="shared" si="27"/>
        <x:v>0</x:v>
      </x:c>
      <x:c r="AK195" s="4">
        <x:f t="shared" si="28"/>
        <x:v>0</x:v>
      </x:c>
      <x:c r="AL195" s="11">
        <x:f t="shared" si="29"/>
        <x:v>0</x:v>
      </x:c>
      <x:c r="AM195" s="6"/>
      <x:c r="AN195" s="6"/>
    </x:row>
    <x:row r="196">
      <x:c r="A196" s="3" t="str">
        <x:f t="shared" si="20"/>
      </x:c>
      <x:c r="B196" s="9"/>
      <x:c r="C196" s="36"/>
      <x:c r="D196" s="6"/>
      <x:c r="E196" s="3" t="str">
        <x:f>IF(D196="","",IFERROR(VLOOKUP(D196,'Base Sectores'!$A$5:$J$47,2,FALSE),""))</x:f>
      </x:c>
      <x:c r="F196" s="40" t="str">
        <x:f>IF(D196="","",IFERROR(VLOOKUP(D196,'Base Sectores'!$A$5:$J$47,3,FALSE),""))</x:f>
      </x:c>
      <x:c r="G196" s="3" t="str">
        <x:f>IF(D196="","",IFERROR(VLOOKUP(D196,'Base Sectores'!$A$5:$J$47,4,FALSE),""))</x:f>
      </x:c>
      <x:c r="H196" s="3" t="str">
        <x:f>IF(D196="","",IFERROR(VLOOKUP(D196,'Base Sectores'!$A$5:$J$47,5,FALSE),""))</x:f>
      </x:c>
      <x:c r="I196" s="3" t="str">
        <x:f>IF(D196="","",IFERROR(VLOOKUP(D196,'Base Sectores'!$A$5:$J$47,6,FALSE),""))</x:f>
      </x:c>
      <x:c r="J196" s="3" t="str">
        <x:f>IF(D196="","",IFERROR(VLOOKUP(D196,'Base Sectores'!$A$5:$J$47,7,FALSE),""))</x:f>
      </x:c>
      <x:c r="K196" s="3" t="str">
        <x:f>IF(D196="","",IFERROR(VLOOKUP(D196,'Base Sectores'!$A$5:$J$47,9,FALSE),""))</x:f>
      </x:c>
      <x:c r="L196" s="6"/>
      <x:c r="M196" s="3" t="str">
        <x:f>IF(L196="","",IFERROR(VLOOKUP(L196,Configuracion!$D$4:$H$15,2,FALSE),""))</x:f>
      </x:c>
      <x:c r="N196" s="3" t="str">
        <x:f>IF(L196="","",IFERROR(VLOOKUP(L196,Configuracion!$D$4:$H$15,3,FALSE),""))</x:f>
      </x:c>
      <x:c r="O196" s="6"/>
      <x:c r="P196" s="3" t="str">
        <x:f>IF(L196="","",IFERROR(VLOOKUP(L196,Configuracion!$D$4:$H$15,4,FALSE),0))</x:f>
      </x:c>
      <x:c r="Q196" s="10"/>
      <x:c r="R196" s="10"/>
      <x:c r="S196" s="4" t="str">
        <x:f t="shared" si="21"/>
      </x:c>
      <x:c r="T196" s="6"/>
      <x:c r="U196" s="6"/>
      <x:c r="V196" s="6"/>
      <x:c r="W196" s="6"/>
      <x:c r="X196" s="6"/>
      <x:c r="Y196" s="6"/>
      <x:c r="Z196" s="6"/>
      <x:c r="AA196" s="6"/>
      <x:c r="AB196" s="6"/>
      <x:c r="AC196" s="10"/>
      <x:c r="AD196" s="10"/>
      <x:c r="AE196" s="4" t="str">
        <x:f t="shared" si="22"/>
      </x:c>
      <x:c r="AF196" s="4" t="str">
        <x:f t="shared" si="23"/>
      </x:c>
      <x:c r="AG196" s="4" t="str">
        <x:f t="shared" si="24"/>
      </x:c>
      <x:c r="AH196" s="11">
        <x:f t="shared" si="25"/>
        <x:v>0</x:v>
      </x:c>
      <x:c r="AI196" s="4" t="str">
        <x:f t="shared" si="26"/>
      </x:c>
      <x:c r="AJ196" s="4">
        <x:f t="shared" si="27"/>
        <x:v>0</x:v>
      </x:c>
      <x:c r="AK196" s="4">
        <x:f t="shared" si="28"/>
        <x:v>0</x:v>
      </x:c>
      <x:c r="AL196" s="11">
        <x:f t="shared" si="29"/>
        <x:v>0</x:v>
      </x:c>
      <x:c r="AM196" s="6"/>
      <x:c r="AN196" s="6"/>
    </x:row>
    <x:row r="197">
      <x:c r="A197" s="3" t="str">
        <x:f t="shared" ref="A197:A260" si="30">IF(OR(B197="",C197=""),"",TEXT(B197,"yyyymmdd")&amp;"-"&amp;TEXT(C197,"00"))</x:f>
      </x:c>
      <x:c r="B197" s="9"/>
      <x:c r="C197" s="36"/>
      <x:c r="D197" s="6"/>
      <x:c r="E197" s="3" t="str">
        <x:f>IF(D197="","",IFERROR(VLOOKUP(D197,'Base Sectores'!$A$5:$J$47,2,FALSE),""))</x:f>
      </x:c>
      <x:c r="F197" s="40" t="str">
        <x:f>IF(D197="","",IFERROR(VLOOKUP(D197,'Base Sectores'!$A$5:$J$47,3,FALSE),""))</x:f>
      </x:c>
      <x:c r="G197" s="3" t="str">
        <x:f>IF(D197="","",IFERROR(VLOOKUP(D197,'Base Sectores'!$A$5:$J$47,4,FALSE),""))</x:f>
      </x:c>
      <x:c r="H197" s="3" t="str">
        <x:f>IF(D197="","",IFERROR(VLOOKUP(D197,'Base Sectores'!$A$5:$J$47,5,FALSE),""))</x:f>
      </x:c>
      <x:c r="I197" s="3" t="str">
        <x:f>IF(D197="","",IFERROR(VLOOKUP(D197,'Base Sectores'!$A$5:$J$47,6,FALSE),""))</x:f>
      </x:c>
      <x:c r="J197" s="3" t="str">
        <x:f>IF(D197="","",IFERROR(VLOOKUP(D197,'Base Sectores'!$A$5:$J$47,7,FALSE),""))</x:f>
      </x:c>
      <x:c r="K197" s="3" t="str">
        <x:f>IF(D197="","",IFERROR(VLOOKUP(D197,'Base Sectores'!$A$5:$J$47,9,FALSE),""))</x:f>
      </x:c>
      <x:c r="L197" s="6"/>
      <x:c r="M197" s="3" t="str">
        <x:f>IF(L197="","",IFERROR(VLOOKUP(L197,Configuracion!$D$4:$H$15,2,FALSE),""))</x:f>
      </x:c>
      <x:c r="N197" s="3" t="str">
        <x:f>IF(L197="","",IFERROR(VLOOKUP(L197,Configuracion!$D$4:$H$15,3,FALSE),""))</x:f>
      </x:c>
      <x:c r="O197" s="6"/>
      <x:c r="P197" s="3" t="str">
        <x:f>IF(L197="","",IFERROR(VLOOKUP(L197,Configuracion!$D$4:$H$15,4,FALSE),0))</x:f>
      </x:c>
      <x:c r="Q197" s="10"/>
      <x:c r="R197" s="10"/>
      <x:c r="S197" s="4" t="str">
        <x:f t="shared" ref="S197:S260" si="31">IF(OR(Q197="",R197=""),"",MOD(R197-Q197,1)*24)</x:f>
      </x:c>
      <x:c r="T197" s="6"/>
      <x:c r="U197" s="6"/>
      <x:c r="V197" s="6"/>
      <x:c r="W197" s="6"/>
      <x:c r="X197" s="6"/>
      <x:c r="Y197" s="6"/>
      <x:c r="Z197" s="6"/>
      <x:c r="AA197" s="6"/>
      <x:c r="AB197" s="6"/>
      <x:c r="AC197" s="10"/>
      <x:c r="AD197" s="10"/>
      <x:c r="AE197" s="4" t="str">
        <x:f t="shared" ref="AE197:AE260" si="32">IF(OR(AC197="",AD197=""),"",MOD(AD197-AC197,1)*24)</x:f>
      </x:c>
      <x:c r="AF197" s="4" t="str">
        <x:f t="shared" ref="AF197:AF260" si="33">IF(OR(S197="",U197=""),"",S197*U197)</x:f>
      </x:c>
      <x:c r="AG197" s="4" t="str">
        <x:f t="shared" ref="AG197:AG260" si="34">IF(OR(AE197="",U197=""),"",AE197*U197)</x:f>
      </x:c>
      <x:c r="AH197" s="11" t="n">
        <x:f t="shared" ref="AH197:AH260" si="35">IFERROR(AB197/O197,0)</x:f>
        <x:v>0</x:v>
      </x:c>
      <x:c r="AI197" s="4" t="str">
        <x:f t="shared" ref="AI197:AI260" si="36">IF(OR(S197="",AE197=""),"",AE197-S197)</x:f>
      </x:c>
      <x:c r="AJ197" s="4" t="n">
        <x:f t="shared" ref="AJ197:AJ260" si="37">IFERROR(O197/S197,0)</x:f>
        <x:v>0</x:v>
      </x:c>
      <x:c r="AK197" s="4" t="n">
        <x:f t="shared" ref="AK197:AK260" si="38">IFERROR(AB197/AE197,0)</x:f>
        <x:v>0</x:v>
      </x:c>
      <x:c r="AL197" s="11" t="n">
        <x:f t="shared" ref="AL197:AL260" si="39">IFERROR(AK197/AJ197,0)</x:f>
        <x:v>0</x:v>
      </x:c>
      <x:c r="AM197" s="6"/>
      <x:c r="AN197" s="6"/>
    </x:row>
    <x:row r="198">
      <x:c r="A198" s="3" t="str">
        <x:f t="shared" si="30"/>
      </x:c>
      <x:c r="B198" s="9"/>
      <x:c r="C198" s="36"/>
      <x:c r="D198" s="6"/>
      <x:c r="E198" s="3" t="str">
        <x:f>IF(D198="","",IFERROR(VLOOKUP(D198,'Base Sectores'!$A$5:$J$47,2,FALSE),""))</x:f>
      </x:c>
      <x:c r="F198" s="40" t="str">
        <x:f>IF(D198="","",IFERROR(VLOOKUP(D198,'Base Sectores'!$A$5:$J$47,3,FALSE),""))</x:f>
      </x:c>
      <x:c r="G198" s="3" t="str">
        <x:f>IF(D198="","",IFERROR(VLOOKUP(D198,'Base Sectores'!$A$5:$J$47,4,FALSE),""))</x:f>
      </x:c>
      <x:c r="H198" s="3" t="str">
        <x:f>IF(D198="","",IFERROR(VLOOKUP(D198,'Base Sectores'!$A$5:$J$47,5,FALSE),""))</x:f>
      </x:c>
      <x:c r="I198" s="3" t="str">
        <x:f>IF(D198="","",IFERROR(VLOOKUP(D198,'Base Sectores'!$A$5:$J$47,6,FALSE),""))</x:f>
      </x:c>
      <x:c r="J198" s="3" t="str">
        <x:f>IF(D198="","",IFERROR(VLOOKUP(D198,'Base Sectores'!$A$5:$J$47,7,FALSE),""))</x:f>
      </x:c>
      <x:c r="K198" s="3" t="str">
        <x:f>IF(D198="","",IFERROR(VLOOKUP(D198,'Base Sectores'!$A$5:$J$47,9,FALSE),""))</x:f>
      </x:c>
      <x:c r="L198" s="6"/>
      <x:c r="M198" s="3" t="str">
        <x:f>IF(L198="","",IFERROR(VLOOKUP(L198,Configuracion!$D$4:$H$15,2,FALSE),""))</x:f>
      </x:c>
      <x:c r="N198" s="3" t="str">
        <x:f>IF(L198="","",IFERROR(VLOOKUP(L198,Configuracion!$D$4:$H$15,3,FALSE),""))</x:f>
      </x:c>
      <x:c r="O198" s="6"/>
      <x:c r="P198" s="3" t="str">
        <x:f>IF(L198="","",IFERROR(VLOOKUP(L198,Configuracion!$D$4:$H$15,4,FALSE),0))</x:f>
      </x:c>
      <x:c r="Q198" s="10"/>
      <x:c r="R198" s="10"/>
      <x:c r="S198" s="4" t="str">
        <x:f t="shared" si="31"/>
      </x:c>
      <x:c r="T198" s="6"/>
      <x:c r="U198" s="6"/>
      <x:c r="V198" s="6"/>
      <x:c r="W198" s="6"/>
      <x:c r="X198" s="6"/>
      <x:c r="Y198" s="6"/>
      <x:c r="Z198" s="6"/>
      <x:c r="AA198" s="6"/>
      <x:c r="AB198" s="6"/>
      <x:c r="AC198" s="10"/>
      <x:c r="AD198" s="10"/>
      <x:c r="AE198" s="4" t="str">
        <x:f t="shared" si="32"/>
      </x:c>
      <x:c r="AF198" s="4" t="str">
        <x:f t="shared" si="33"/>
      </x:c>
      <x:c r="AG198" s="4" t="str">
        <x:f t="shared" si="34"/>
      </x:c>
      <x:c r="AH198" s="11">
        <x:f t="shared" si="35"/>
        <x:v>0</x:v>
      </x:c>
      <x:c r="AI198" s="4" t="str">
        <x:f t="shared" si="36"/>
      </x:c>
      <x:c r="AJ198" s="4">
        <x:f t="shared" si="37"/>
        <x:v>0</x:v>
      </x:c>
      <x:c r="AK198" s="4">
        <x:f t="shared" si="38"/>
        <x:v>0</x:v>
      </x:c>
      <x:c r="AL198" s="11">
        <x:f t="shared" si="39"/>
        <x:v>0</x:v>
      </x:c>
      <x:c r="AM198" s="6"/>
      <x:c r="AN198" s="6"/>
    </x:row>
    <x:row r="199">
      <x:c r="A199" s="3" t="str">
        <x:f t="shared" si="30"/>
      </x:c>
      <x:c r="B199" s="9"/>
      <x:c r="C199" s="36"/>
      <x:c r="D199" s="6"/>
      <x:c r="E199" s="3" t="str">
        <x:f>IF(D199="","",IFERROR(VLOOKUP(D199,'Base Sectores'!$A$5:$J$47,2,FALSE),""))</x:f>
      </x:c>
      <x:c r="F199" s="40" t="str">
        <x:f>IF(D199="","",IFERROR(VLOOKUP(D199,'Base Sectores'!$A$5:$J$47,3,FALSE),""))</x:f>
      </x:c>
      <x:c r="G199" s="3" t="str">
        <x:f>IF(D199="","",IFERROR(VLOOKUP(D199,'Base Sectores'!$A$5:$J$47,4,FALSE),""))</x:f>
      </x:c>
      <x:c r="H199" s="3" t="str">
        <x:f>IF(D199="","",IFERROR(VLOOKUP(D199,'Base Sectores'!$A$5:$J$47,5,FALSE),""))</x:f>
      </x:c>
      <x:c r="I199" s="3" t="str">
        <x:f>IF(D199="","",IFERROR(VLOOKUP(D199,'Base Sectores'!$A$5:$J$47,6,FALSE),""))</x:f>
      </x:c>
      <x:c r="J199" s="3" t="str">
        <x:f>IF(D199="","",IFERROR(VLOOKUP(D199,'Base Sectores'!$A$5:$J$47,7,FALSE),""))</x:f>
      </x:c>
      <x:c r="K199" s="3" t="str">
        <x:f>IF(D199="","",IFERROR(VLOOKUP(D199,'Base Sectores'!$A$5:$J$47,9,FALSE),""))</x:f>
      </x:c>
      <x:c r="L199" s="6"/>
      <x:c r="M199" s="3" t="str">
        <x:f>IF(L199="","",IFERROR(VLOOKUP(L199,Configuracion!$D$4:$H$15,2,FALSE),""))</x:f>
      </x:c>
      <x:c r="N199" s="3" t="str">
        <x:f>IF(L199="","",IFERROR(VLOOKUP(L199,Configuracion!$D$4:$H$15,3,FALSE),""))</x:f>
      </x:c>
      <x:c r="O199" s="6"/>
      <x:c r="P199" s="3" t="str">
        <x:f>IF(L199="","",IFERROR(VLOOKUP(L199,Configuracion!$D$4:$H$15,4,FALSE),0))</x:f>
      </x:c>
      <x:c r="Q199" s="10"/>
      <x:c r="R199" s="10"/>
      <x:c r="S199" s="4" t="str">
        <x:f t="shared" si="31"/>
      </x:c>
      <x:c r="T199" s="6"/>
      <x:c r="U199" s="6"/>
      <x:c r="V199" s="6"/>
      <x:c r="W199" s="6"/>
      <x:c r="X199" s="6"/>
      <x:c r="Y199" s="6"/>
      <x:c r="Z199" s="6"/>
      <x:c r="AA199" s="6"/>
      <x:c r="AB199" s="6"/>
      <x:c r="AC199" s="10"/>
      <x:c r="AD199" s="10"/>
      <x:c r="AE199" s="4" t="str">
        <x:f t="shared" si="32"/>
      </x:c>
      <x:c r="AF199" s="4" t="str">
        <x:f t="shared" si="33"/>
      </x:c>
      <x:c r="AG199" s="4" t="str">
        <x:f t="shared" si="34"/>
      </x:c>
      <x:c r="AH199" s="11">
        <x:f t="shared" si="35"/>
        <x:v>0</x:v>
      </x:c>
      <x:c r="AI199" s="4" t="str">
        <x:f t="shared" si="36"/>
      </x:c>
      <x:c r="AJ199" s="4">
        <x:f t="shared" si="37"/>
        <x:v>0</x:v>
      </x:c>
      <x:c r="AK199" s="4">
        <x:f t="shared" si="38"/>
        <x:v>0</x:v>
      </x:c>
      <x:c r="AL199" s="11">
        <x:f t="shared" si="39"/>
        <x:v>0</x:v>
      </x:c>
      <x:c r="AM199" s="6"/>
      <x:c r="AN199" s="6"/>
    </x:row>
    <x:row r="200">
      <x:c r="A200" s="3" t="str">
        <x:f t="shared" si="30"/>
      </x:c>
      <x:c r="B200" s="9"/>
      <x:c r="C200" s="36"/>
      <x:c r="D200" s="6"/>
      <x:c r="E200" s="3" t="str">
        <x:f>IF(D200="","",IFERROR(VLOOKUP(D200,'Base Sectores'!$A$5:$J$47,2,FALSE),""))</x:f>
      </x:c>
      <x:c r="F200" s="40" t="str">
        <x:f>IF(D200="","",IFERROR(VLOOKUP(D200,'Base Sectores'!$A$5:$J$47,3,FALSE),""))</x:f>
      </x:c>
      <x:c r="G200" s="3" t="str">
        <x:f>IF(D200="","",IFERROR(VLOOKUP(D200,'Base Sectores'!$A$5:$J$47,4,FALSE),""))</x:f>
      </x:c>
      <x:c r="H200" s="3" t="str">
        <x:f>IF(D200="","",IFERROR(VLOOKUP(D200,'Base Sectores'!$A$5:$J$47,5,FALSE),""))</x:f>
      </x:c>
      <x:c r="I200" s="3" t="str">
        <x:f>IF(D200="","",IFERROR(VLOOKUP(D200,'Base Sectores'!$A$5:$J$47,6,FALSE),""))</x:f>
      </x:c>
      <x:c r="J200" s="3" t="str">
        <x:f>IF(D200="","",IFERROR(VLOOKUP(D200,'Base Sectores'!$A$5:$J$47,7,FALSE),""))</x:f>
      </x:c>
      <x:c r="K200" s="3" t="str">
        <x:f>IF(D200="","",IFERROR(VLOOKUP(D200,'Base Sectores'!$A$5:$J$47,9,FALSE),""))</x:f>
      </x:c>
      <x:c r="L200" s="6"/>
      <x:c r="M200" s="3" t="str">
        <x:f>IF(L200="","",IFERROR(VLOOKUP(L200,Configuracion!$D$4:$H$15,2,FALSE),""))</x:f>
      </x:c>
      <x:c r="N200" s="3" t="str">
        <x:f>IF(L200="","",IFERROR(VLOOKUP(L200,Configuracion!$D$4:$H$15,3,FALSE),""))</x:f>
      </x:c>
      <x:c r="O200" s="6"/>
      <x:c r="P200" s="3" t="str">
        <x:f>IF(L200="","",IFERROR(VLOOKUP(L200,Configuracion!$D$4:$H$15,4,FALSE),0))</x:f>
      </x:c>
      <x:c r="Q200" s="10"/>
      <x:c r="R200" s="10"/>
      <x:c r="S200" s="4" t="str">
        <x:f t="shared" si="31"/>
      </x:c>
      <x:c r="T200" s="6"/>
      <x:c r="U200" s="6"/>
      <x:c r="V200" s="6"/>
      <x:c r="W200" s="6"/>
      <x:c r="X200" s="6"/>
      <x:c r="Y200" s="6"/>
      <x:c r="Z200" s="6"/>
      <x:c r="AA200" s="6"/>
      <x:c r="AB200" s="6"/>
      <x:c r="AC200" s="10"/>
      <x:c r="AD200" s="10"/>
      <x:c r="AE200" s="4" t="str">
        <x:f t="shared" si="32"/>
      </x:c>
      <x:c r="AF200" s="4" t="str">
        <x:f t="shared" si="33"/>
      </x:c>
      <x:c r="AG200" s="4" t="str">
        <x:f t="shared" si="34"/>
      </x:c>
      <x:c r="AH200" s="11">
        <x:f t="shared" si="35"/>
        <x:v>0</x:v>
      </x:c>
      <x:c r="AI200" s="4" t="str">
        <x:f t="shared" si="36"/>
      </x:c>
      <x:c r="AJ200" s="4">
        <x:f t="shared" si="37"/>
        <x:v>0</x:v>
      </x:c>
      <x:c r="AK200" s="4">
        <x:f t="shared" si="38"/>
        <x:v>0</x:v>
      </x:c>
      <x:c r="AL200" s="11">
        <x:f t="shared" si="39"/>
        <x:v>0</x:v>
      </x:c>
      <x:c r="AM200" s="6"/>
      <x:c r="AN200" s="6"/>
    </x:row>
    <x:row r="201">
      <x:c r="A201" s="3" t="str">
        <x:f t="shared" si="30"/>
      </x:c>
      <x:c r="B201" s="9"/>
      <x:c r="C201" s="36"/>
      <x:c r="D201" s="6"/>
      <x:c r="E201" s="3" t="str">
        <x:f>IF(D201="","",IFERROR(VLOOKUP(D201,'Base Sectores'!$A$5:$J$47,2,FALSE),""))</x:f>
      </x:c>
      <x:c r="F201" s="40" t="str">
        <x:f>IF(D201="","",IFERROR(VLOOKUP(D201,'Base Sectores'!$A$5:$J$47,3,FALSE),""))</x:f>
      </x:c>
      <x:c r="G201" s="3" t="str">
        <x:f>IF(D201="","",IFERROR(VLOOKUP(D201,'Base Sectores'!$A$5:$J$47,4,FALSE),""))</x:f>
      </x:c>
      <x:c r="H201" s="3" t="str">
        <x:f>IF(D201="","",IFERROR(VLOOKUP(D201,'Base Sectores'!$A$5:$J$47,5,FALSE),""))</x:f>
      </x:c>
      <x:c r="I201" s="3" t="str">
        <x:f>IF(D201="","",IFERROR(VLOOKUP(D201,'Base Sectores'!$A$5:$J$47,6,FALSE),""))</x:f>
      </x:c>
      <x:c r="J201" s="3" t="str">
        <x:f>IF(D201="","",IFERROR(VLOOKUP(D201,'Base Sectores'!$A$5:$J$47,7,FALSE),""))</x:f>
      </x:c>
      <x:c r="K201" s="3" t="str">
        <x:f>IF(D201="","",IFERROR(VLOOKUP(D201,'Base Sectores'!$A$5:$J$47,9,FALSE),""))</x:f>
      </x:c>
      <x:c r="L201" s="6"/>
      <x:c r="M201" s="3" t="str">
        <x:f>IF(L201="","",IFERROR(VLOOKUP(L201,Configuracion!$D$4:$H$15,2,FALSE),""))</x:f>
      </x:c>
      <x:c r="N201" s="3" t="str">
        <x:f>IF(L201="","",IFERROR(VLOOKUP(L201,Configuracion!$D$4:$H$15,3,FALSE),""))</x:f>
      </x:c>
      <x:c r="O201" s="6"/>
      <x:c r="P201" s="3" t="str">
        <x:f>IF(L201="","",IFERROR(VLOOKUP(L201,Configuracion!$D$4:$H$15,4,FALSE),0))</x:f>
      </x:c>
      <x:c r="Q201" s="10"/>
      <x:c r="R201" s="10"/>
      <x:c r="S201" s="4" t="str">
        <x:f t="shared" si="31"/>
      </x:c>
      <x:c r="T201" s="6"/>
      <x:c r="U201" s="6"/>
      <x:c r="V201" s="6"/>
      <x:c r="W201" s="6"/>
      <x:c r="X201" s="6"/>
      <x:c r="Y201" s="6"/>
      <x:c r="Z201" s="6"/>
      <x:c r="AA201" s="6"/>
      <x:c r="AB201" s="6"/>
      <x:c r="AC201" s="10"/>
      <x:c r="AD201" s="10"/>
      <x:c r="AE201" s="4" t="str">
        <x:f t="shared" si="32"/>
      </x:c>
      <x:c r="AF201" s="4" t="str">
        <x:f t="shared" si="33"/>
      </x:c>
      <x:c r="AG201" s="4" t="str">
        <x:f t="shared" si="34"/>
      </x:c>
      <x:c r="AH201" s="11">
        <x:f t="shared" si="35"/>
        <x:v>0</x:v>
      </x:c>
      <x:c r="AI201" s="4" t="str">
        <x:f t="shared" si="36"/>
      </x:c>
      <x:c r="AJ201" s="4">
        <x:f t="shared" si="37"/>
        <x:v>0</x:v>
      </x:c>
      <x:c r="AK201" s="4">
        <x:f t="shared" si="38"/>
        <x:v>0</x:v>
      </x:c>
      <x:c r="AL201" s="11">
        <x:f t="shared" si="39"/>
        <x:v>0</x:v>
      </x:c>
      <x:c r="AM201" s="6"/>
      <x:c r="AN201" s="6"/>
    </x:row>
    <x:row r="202">
      <x:c r="A202" s="3" t="str">
        <x:f t="shared" si="30"/>
      </x:c>
      <x:c r="B202" s="9"/>
      <x:c r="C202" s="36"/>
      <x:c r="D202" s="6"/>
      <x:c r="E202" s="3" t="str">
        <x:f>IF(D202="","",IFERROR(VLOOKUP(D202,'Base Sectores'!$A$5:$J$47,2,FALSE),""))</x:f>
      </x:c>
      <x:c r="F202" s="40" t="str">
        <x:f>IF(D202="","",IFERROR(VLOOKUP(D202,'Base Sectores'!$A$5:$J$47,3,FALSE),""))</x:f>
      </x:c>
      <x:c r="G202" s="3" t="str">
        <x:f>IF(D202="","",IFERROR(VLOOKUP(D202,'Base Sectores'!$A$5:$J$47,4,FALSE),""))</x:f>
      </x:c>
      <x:c r="H202" s="3" t="str">
        <x:f>IF(D202="","",IFERROR(VLOOKUP(D202,'Base Sectores'!$A$5:$J$47,5,FALSE),""))</x:f>
      </x:c>
      <x:c r="I202" s="3" t="str">
        <x:f>IF(D202="","",IFERROR(VLOOKUP(D202,'Base Sectores'!$A$5:$J$47,6,FALSE),""))</x:f>
      </x:c>
      <x:c r="J202" s="3" t="str">
        <x:f>IF(D202="","",IFERROR(VLOOKUP(D202,'Base Sectores'!$A$5:$J$47,7,FALSE),""))</x:f>
      </x:c>
      <x:c r="K202" s="3" t="str">
        <x:f>IF(D202="","",IFERROR(VLOOKUP(D202,'Base Sectores'!$A$5:$J$47,9,FALSE),""))</x:f>
      </x:c>
      <x:c r="L202" s="6"/>
      <x:c r="M202" s="3" t="str">
        <x:f>IF(L202="","",IFERROR(VLOOKUP(L202,Configuracion!$D$4:$H$15,2,FALSE),""))</x:f>
      </x:c>
      <x:c r="N202" s="3" t="str">
        <x:f>IF(L202="","",IFERROR(VLOOKUP(L202,Configuracion!$D$4:$H$15,3,FALSE),""))</x:f>
      </x:c>
      <x:c r="O202" s="6"/>
      <x:c r="P202" s="3" t="str">
        <x:f>IF(L202="","",IFERROR(VLOOKUP(L202,Configuracion!$D$4:$H$15,4,FALSE),0))</x:f>
      </x:c>
      <x:c r="Q202" s="10"/>
      <x:c r="R202" s="10"/>
      <x:c r="S202" s="4" t="str">
        <x:f t="shared" si="31"/>
      </x:c>
      <x:c r="T202" s="6"/>
      <x:c r="U202" s="6"/>
      <x:c r="V202" s="6"/>
      <x:c r="W202" s="6"/>
      <x:c r="X202" s="6"/>
      <x:c r="Y202" s="6"/>
      <x:c r="Z202" s="6"/>
      <x:c r="AA202" s="6"/>
      <x:c r="AB202" s="6"/>
      <x:c r="AC202" s="10"/>
      <x:c r="AD202" s="10"/>
      <x:c r="AE202" s="4" t="str">
        <x:f t="shared" si="32"/>
      </x:c>
      <x:c r="AF202" s="4" t="str">
        <x:f t="shared" si="33"/>
      </x:c>
      <x:c r="AG202" s="4" t="str">
        <x:f t="shared" si="34"/>
      </x:c>
      <x:c r="AH202" s="11">
        <x:f t="shared" si="35"/>
        <x:v>0</x:v>
      </x:c>
      <x:c r="AI202" s="4" t="str">
        <x:f t="shared" si="36"/>
      </x:c>
      <x:c r="AJ202" s="4">
        <x:f t="shared" si="37"/>
        <x:v>0</x:v>
      </x:c>
      <x:c r="AK202" s="4">
        <x:f t="shared" si="38"/>
        <x:v>0</x:v>
      </x:c>
      <x:c r="AL202" s="11">
        <x:f t="shared" si="39"/>
        <x:v>0</x:v>
      </x:c>
      <x:c r="AM202" s="6"/>
      <x:c r="AN202" s="6"/>
    </x:row>
    <x:row r="203">
      <x:c r="A203" s="3" t="str">
        <x:f t="shared" si="30"/>
      </x:c>
      <x:c r="B203" s="9"/>
      <x:c r="C203" s="36"/>
      <x:c r="D203" s="6"/>
      <x:c r="E203" s="3" t="str">
        <x:f>IF(D203="","",IFERROR(VLOOKUP(D203,'Base Sectores'!$A$5:$J$47,2,FALSE),""))</x:f>
      </x:c>
      <x:c r="F203" s="40" t="str">
        <x:f>IF(D203="","",IFERROR(VLOOKUP(D203,'Base Sectores'!$A$5:$J$47,3,FALSE),""))</x:f>
      </x:c>
      <x:c r="G203" s="3" t="str">
        <x:f>IF(D203="","",IFERROR(VLOOKUP(D203,'Base Sectores'!$A$5:$J$47,4,FALSE),""))</x:f>
      </x:c>
      <x:c r="H203" s="3" t="str">
        <x:f>IF(D203="","",IFERROR(VLOOKUP(D203,'Base Sectores'!$A$5:$J$47,5,FALSE),""))</x:f>
      </x:c>
      <x:c r="I203" s="3" t="str">
        <x:f>IF(D203="","",IFERROR(VLOOKUP(D203,'Base Sectores'!$A$5:$J$47,6,FALSE),""))</x:f>
      </x:c>
      <x:c r="J203" s="3" t="str">
        <x:f>IF(D203="","",IFERROR(VLOOKUP(D203,'Base Sectores'!$A$5:$J$47,7,FALSE),""))</x:f>
      </x:c>
      <x:c r="K203" s="3" t="str">
        <x:f>IF(D203="","",IFERROR(VLOOKUP(D203,'Base Sectores'!$A$5:$J$47,9,FALSE),""))</x:f>
      </x:c>
      <x:c r="L203" s="6"/>
      <x:c r="M203" s="3" t="str">
        <x:f>IF(L203="","",IFERROR(VLOOKUP(L203,Configuracion!$D$4:$H$15,2,FALSE),""))</x:f>
      </x:c>
      <x:c r="N203" s="3" t="str">
        <x:f>IF(L203="","",IFERROR(VLOOKUP(L203,Configuracion!$D$4:$H$15,3,FALSE),""))</x:f>
      </x:c>
      <x:c r="O203" s="6"/>
      <x:c r="P203" s="3" t="str">
        <x:f>IF(L203="","",IFERROR(VLOOKUP(L203,Configuracion!$D$4:$H$15,4,FALSE),0))</x:f>
      </x:c>
      <x:c r="Q203" s="10"/>
      <x:c r="R203" s="10"/>
      <x:c r="S203" s="4" t="str">
        <x:f t="shared" si="31"/>
      </x:c>
      <x:c r="T203" s="6"/>
      <x:c r="U203" s="6"/>
      <x:c r="V203" s="6"/>
      <x:c r="W203" s="6"/>
      <x:c r="X203" s="6"/>
      <x:c r="Y203" s="6"/>
      <x:c r="Z203" s="6"/>
      <x:c r="AA203" s="6"/>
      <x:c r="AB203" s="6"/>
      <x:c r="AC203" s="10"/>
      <x:c r="AD203" s="10"/>
      <x:c r="AE203" s="4" t="str">
        <x:f t="shared" si="32"/>
      </x:c>
      <x:c r="AF203" s="4" t="str">
        <x:f t="shared" si="33"/>
      </x:c>
      <x:c r="AG203" s="4" t="str">
        <x:f t="shared" si="34"/>
      </x:c>
      <x:c r="AH203" s="11">
        <x:f t="shared" si="35"/>
        <x:v>0</x:v>
      </x:c>
      <x:c r="AI203" s="4" t="str">
        <x:f t="shared" si="36"/>
      </x:c>
      <x:c r="AJ203" s="4">
        <x:f t="shared" si="37"/>
        <x:v>0</x:v>
      </x:c>
      <x:c r="AK203" s="4">
        <x:f t="shared" si="38"/>
        <x:v>0</x:v>
      </x:c>
      <x:c r="AL203" s="11">
        <x:f t="shared" si="39"/>
        <x:v>0</x:v>
      </x:c>
      <x:c r="AM203" s="6"/>
      <x:c r="AN203" s="6"/>
    </x:row>
    <x:row r="204">
      <x:c r="A204" s="3" t="str">
        <x:f t="shared" si="30"/>
      </x:c>
      <x:c r="B204" s="9"/>
      <x:c r="C204" s="36"/>
      <x:c r="D204" s="6"/>
      <x:c r="E204" s="3" t="str">
        <x:f>IF(D204="","",IFERROR(VLOOKUP(D204,'Base Sectores'!$A$5:$J$47,2,FALSE),""))</x:f>
      </x:c>
      <x:c r="F204" s="40" t="str">
        <x:f>IF(D204="","",IFERROR(VLOOKUP(D204,'Base Sectores'!$A$5:$J$47,3,FALSE),""))</x:f>
      </x:c>
      <x:c r="G204" s="3" t="str">
        <x:f>IF(D204="","",IFERROR(VLOOKUP(D204,'Base Sectores'!$A$5:$J$47,4,FALSE),""))</x:f>
      </x:c>
      <x:c r="H204" s="3" t="str">
        <x:f>IF(D204="","",IFERROR(VLOOKUP(D204,'Base Sectores'!$A$5:$J$47,5,FALSE),""))</x:f>
      </x:c>
      <x:c r="I204" s="3" t="str">
        <x:f>IF(D204="","",IFERROR(VLOOKUP(D204,'Base Sectores'!$A$5:$J$47,6,FALSE),""))</x:f>
      </x:c>
      <x:c r="J204" s="3" t="str">
        <x:f>IF(D204="","",IFERROR(VLOOKUP(D204,'Base Sectores'!$A$5:$J$47,7,FALSE),""))</x:f>
      </x:c>
      <x:c r="K204" s="3" t="str">
        <x:f>IF(D204="","",IFERROR(VLOOKUP(D204,'Base Sectores'!$A$5:$J$47,9,FALSE),""))</x:f>
      </x:c>
      <x:c r="L204" s="6"/>
      <x:c r="M204" s="3" t="str">
        <x:f>IF(L204="","",IFERROR(VLOOKUP(L204,Configuracion!$D$4:$H$15,2,FALSE),""))</x:f>
      </x:c>
      <x:c r="N204" s="3" t="str">
        <x:f>IF(L204="","",IFERROR(VLOOKUP(L204,Configuracion!$D$4:$H$15,3,FALSE),""))</x:f>
      </x:c>
      <x:c r="O204" s="6"/>
      <x:c r="P204" s="3" t="str">
        <x:f>IF(L204="","",IFERROR(VLOOKUP(L204,Configuracion!$D$4:$H$15,4,FALSE),0))</x:f>
      </x:c>
      <x:c r="Q204" s="10"/>
      <x:c r="R204" s="10"/>
      <x:c r="S204" s="4" t="str">
        <x:f t="shared" si="31"/>
      </x:c>
      <x:c r="T204" s="6"/>
      <x:c r="U204" s="6"/>
      <x:c r="V204" s="6"/>
      <x:c r="W204" s="6"/>
      <x:c r="X204" s="6"/>
      <x:c r="Y204" s="6"/>
      <x:c r="Z204" s="6"/>
      <x:c r="AA204" s="6"/>
      <x:c r="AB204" s="6"/>
      <x:c r="AC204" s="10"/>
      <x:c r="AD204" s="10"/>
      <x:c r="AE204" s="4" t="str">
        <x:f t="shared" si="32"/>
      </x:c>
      <x:c r="AF204" s="4" t="str">
        <x:f t="shared" si="33"/>
      </x:c>
      <x:c r="AG204" s="4" t="str">
        <x:f t="shared" si="34"/>
      </x:c>
      <x:c r="AH204" s="11">
        <x:f t="shared" si="35"/>
        <x:v>0</x:v>
      </x:c>
      <x:c r="AI204" s="4" t="str">
        <x:f t="shared" si="36"/>
      </x:c>
      <x:c r="AJ204" s="4">
        <x:f t="shared" si="37"/>
        <x:v>0</x:v>
      </x:c>
      <x:c r="AK204" s="4">
        <x:f t="shared" si="38"/>
        <x:v>0</x:v>
      </x:c>
      <x:c r="AL204" s="11">
        <x:f t="shared" si="39"/>
        <x:v>0</x:v>
      </x:c>
      <x:c r="AM204" s="6"/>
      <x:c r="AN204" s="6"/>
    </x:row>
    <x:row r="205">
      <x:c r="A205" s="3" t="str">
        <x:f t="shared" si="30"/>
      </x:c>
      <x:c r="B205" s="9"/>
      <x:c r="C205" s="36"/>
      <x:c r="D205" s="6"/>
      <x:c r="E205" s="3" t="str">
        <x:f>IF(D205="","",IFERROR(VLOOKUP(D205,'Base Sectores'!$A$5:$J$47,2,FALSE),""))</x:f>
      </x:c>
      <x:c r="F205" s="40" t="str">
        <x:f>IF(D205="","",IFERROR(VLOOKUP(D205,'Base Sectores'!$A$5:$J$47,3,FALSE),""))</x:f>
      </x:c>
      <x:c r="G205" s="3" t="str">
        <x:f>IF(D205="","",IFERROR(VLOOKUP(D205,'Base Sectores'!$A$5:$J$47,4,FALSE),""))</x:f>
      </x:c>
      <x:c r="H205" s="3" t="str">
        <x:f>IF(D205="","",IFERROR(VLOOKUP(D205,'Base Sectores'!$A$5:$J$47,5,FALSE),""))</x:f>
      </x:c>
      <x:c r="I205" s="3" t="str">
        <x:f>IF(D205="","",IFERROR(VLOOKUP(D205,'Base Sectores'!$A$5:$J$47,6,FALSE),""))</x:f>
      </x:c>
      <x:c r="J205" s="3" t="str">
        <x:f>IF(D205="","",IFERROR(VLOOKUP(D205,'Base Sectores'!$A$5:$J$47,7,FALSE),""))</x:f>
      </x:c>
      <x:c r="K205" s="3" t="str">
        <x:f>IF(D205="","",IFERROR(VLOOKUP(D205,'Base Sectores'!$A$5:$J$47,9,FALSE),""))</x:f>
      </x:c>
      <x:c r="L205" s="6"/>
      <x:c r="M205" s="3" t="str">
        <x:f>IF(L205="","",IFERROR(VLOOKUP(L205,Configuracion!$D$4:$H$15,2,FALSE),""))</x:f>
      </x:c>
      <x:c r="N205" s="3" t="str">
        <x:f>IF(L205="","",IFERROR(VLOOKUP(L205,Configuracion!$D$4:$H$15,3,FALSE),""))</x:f>
      </x:c>
      <x:c r="O205" s="6"/>
      <x:c r="P205" s="3" t="str">
        <x:f>IF(L205="","",IFERROR(VLOOKUP(L205,Configuracion!$D$4:$H$15,4,FALSE),0))</x:f>
      </x:c>
      <x:c r="Q205" s="10"/>
      <x:c r="R205" s="10"/>
      <x:c r="S205" s="4" t="str">
        <x:f t="shared" si="31"/>
      </x:c>
      <x:c r="T205" s="6"/>
      <x:c r="U205" s="6"/>
      <x:c r="V205" s="6"/>
      <x:c r="W205" s="6"/>
      <x:c r="X205" s="6"/>
      <x:c r="Y205" s="6"/>
      <x:c r="Z205" s="6"/>
      <x:c r="AA205" s="6"/>
      <x:c r="AB205" s="6"/>
      <x:c r="AC205" s="10"/>
      <x:c r="AD205" s="10"/>
      <x:c r="AE205" s="4" t="str">
        <x:f t="shared" si="32"/>
      </x:c>
      <x:c r="AF205" s="4" t="str">
        <x:f t="shared" si="33"/>
      </x:c>
      <x:c r="AG205" s="4" t="str">
        <x:f t="shared" si="34"/>
      </x:c>
      <x:c r="AH205" s="11">
        <x:f t="shared" si="35"/>
        <x:v>0</x:v>
      </x:c>
      <x:c r="AI205" s="4" t="str">
        <x:f t="shared" si="36"/>
      </x:c>
      <x:c r="AJ205" s="4">
        <x:f t="shared" si="37"/>
        <x:v>0</x:v>
      </x:c>
      <x:c r="AK205" s="4">
        <x:f t="shared" si="38"/>
        <x:v>0</x:v>
      </x:c>
      <x:c r="AL205" s="11">
        <x:f t="shared" si="39"/>
        <x:v>0</x:v>
      </x:c>
      <x:c r="AM205" s="6"/>
      <x:c r="AN205" s="6"/>
    </x:row>
    <x:row r="206">
      <x:c r="A206" s="3" t="str">
        <x:f t="shared" si="30"/>
      </x:c>
      <x:c r="B206" s="9"/>
      <x:c r="C206" s="36"/>
      <x:c r="D206" s="6"/>
      <x:c r="E206" s="3" t="str">
        <x:f>IF(D206="","",IFERROR(VLOOKUP(D206,'Base Sectores'!$A$5:$J$47,2,FALSE),""))</x:f>
      </x:c>
      <x:c r="F206" s="40" t="str">
        <x:f>IF(D206="","",IFERROR(VLOOKUP(D206,'Base Sectores'!$A$5:$J$47,3,FALSE),""))</x:f>
      </x:c>
      <x:c r="G206" s="3" t="str">
        <x:f>IF(D206="","",IFERROR(VLOOKUP(D206,'Base Sectores'!$A$5:$J$47,4,FALSE),""))</x:f>
      </x:c>
      <x:c r="H206" s="3" t="str">
        <x:f>IF(D206="","",IFERROR(VLOOKUP(D206,'Base Sectores'!$A$5:$J$47,5,FALSE),""))</x:f>
      </x:c>
      <x:c r="I206" s="3" t="str">
        <x:f>IF(D206="","",IFERROR(VLOOKUP(D206,'Base Sectores'!$A$5:$J$47,6,FALSE),""))</x:f>
      </x:c>
      <x:c r="J206" s="3" t="str">
        <x:f>IF(D206="","",IFERROR(VLOOKUP(D206,'Base Sectores'!$A$5:$J$47,7,FALSE),""))</x:f>
      </x:c>
      <x:c r="K206" s="3" t="str">
        <x:f>IF(D206="","",IFERROR(VLOOKUP(D206,'Base Sectores'!$A$5:$J$47,9,FALSE),""))</x:f>
      </x:c>
      <x:c r="L206" s="6"/>
      <x:c r="M206" s="3" t="str">
        <x:f>IF(L206="","",IFERROR(VLOOKUP(L206,Configuracion!$D$4:$H$15,2,FALSE),""))</x:f>
      </x:c>
      <x:c r="N206" s="3" t="str">
        <x:f>IF(L206="","",IFERROR(VLOOKUP(L206,Configuracion!$D$4:$H$15,3,FALSE),""))</x:f>
      </x:c>
      <x:c r="O206" s="6"/>
      <x:c r="P206" s="3" t="str">
        <x:f>IF(L206="","",IFERROR(VLOOKUP(L206,Configuracion!$D$4:$H$15,4,FALSE),0))</x:f>
      </x:c>
      <x:c r="Q206" s="10"/>
      <x:c r="R206" s="10"/>
      <x:c r="S206" s="4" t="str">
        <x:f t="shared" si="31"/>
      </x:c>
      <x:c r="T206" s="6"/>
      <x:c r="U206" s="6"/>
      <x:c r="V206" s="6"/>
      <x:c r="W206" s="6"/>
      <x:c r="X206" s="6"/>
      <x:c r="Y206" s="6"/>
      <x:c r="Z206" s="6"/>
      <x:c r="AA206" s="6"/>
      <x:c r="AB206" s="6"/>
      <x:c r="AC206" s="10"/>
      <x:c r="AD206" s="10"/>
      <x:c r="AE206" s="4" t="str">
        <x:f t="shared" si="32"/>
      </x:c>
      <x:c r="AF206" s="4" t="str">
        <x:f t="shared" si="33"/>
      </x:c>
      <x:c r="AG206" s="4" t="str">
        <x:f t="shared" si="34"/>
      </x:c>
      <x:c r="AH206" s="11">
        <x:f t="shared" si="35"/>
        <x:v>0</x:v>
      </x:c>
      <x:c r="AI206" s="4" t="str">
        <x:f t="shared" si="36"/>
      </x:c>
      <x:c r="AJ206" s="4">
        <x:f t="shared" si="37"/>
        <x:v>0</x:v>
      </x:c>
      <x:c r="AK206" s="4">
        <x:f t="shared" si="38"/>
        <x:v>0</x:v>
      </x:c>
      <x:c r="AL206" s="11">
        <x:f t="shared" si="39"/>
        <x:v>0</x:v>
      </x:c>
      <x:c r="AM206" s="6"/>
      <x:c r="AN206" s="6"/>
    </x:row>
    <x:row r="207">
      <x:c r="A207" s="3" t="str">
        <x:f t="shared" si="30"/>
      </x:c>
      <x:c r="B207" s="9"/>
      <x:c r="C207" s="36"/>
      <x:c r="D207" s="6"/>
      <x:c r="E207" s="3" t="str">
        <x:f>IF(D207="","",IFERROR(VLOOKUP(D207,'Base Sectores'!$A$5:$J$47,2,FALSE),""))</x:f>
      </x:c>
      <x:c r="F207" s="40" t="str">
        <x:f>IF(D207="","",IFERROR(VLOOKUP(D207,'Base Sectores'!$A$5:$J$47,3,FALSE),""))</x:f>
      </x:c>
      <x:c r="G207" s="3" t="str">
        <x:f>IF(D207="","",IFERROR(VLOOKUP(D207,'Base Sectores'!$A$5:$J$47,4,FALSE),""))</x:f>
      </x:c>
      <x:c r="H207" s="3" t="str">
        <x:f>IF(D207="","",IFERROR(VLOOKUP(D207,'Base Sectores'!$A$5:$J$47,5,FALSE),""))</x:f>
      </x:c>
      <x:c r="I207" s="3" t="str">
        <x:f>IF(D207="","",IFERROR(VLOOKUP(D207,'Base Sectores'!$A$5:$J$47,6,FALSE),""))</x:f>
      </x:c>
      <x:c r="J207" s="3" t="str">
        <x:f>IF(D207="","",IFERROR(VLOOKUP(D207,'Base Sectores'!$A$5:$J$47,7,FALSE),""))</x:f>
      </x:c>
      <x:c r="K207" s="3" t="str">
        <x:f>IF(D207="","",IFERROR(VLOOKUP(D207,'Base Sectores'!$A$5:$J$47,9,FALSE),""))</x:f>
      </x:c>
      <x:c r="L207" s="6"/>
      <x:c r="M207" s="3" t="str">
        <x:f>IF(L207="","",IFERROR(VLOOKUP(L207,Configuracion!$D$4:$H$15,2,FALSE),""))</x:f>
      </x:c>
      <x:c r="N207" s="3" t="str">
        <x:f>IF(L207="","",IFERROR(VLOOKUP(L207,Configuracion!$D$4:$H$15,3,FALSE),""))</x:f>
      </x:c>
      <x:c r="O207" s="6"/>
      <x:c r="P207" s="3" t="str">
        <x:f>IF(L207="","",IFERROR(VLOOKUP(L207,Configuracion!$D$4:$H$15,4,FALSE),0))</x:f>
      </x:c>
      <x:c r="Q207" s="10"/>
      <x:c r="R207" s="10"/>
      <x:c r="S207" s="4" t="str">
        <x:f t="shared" si="31"/>
      </x:c>
      <x:c r="T207" s="6"/>
      <x:c r="U207" s="6"/>
      <x:c r="V207" s="6"/>
      <x:c r="W207" s="6"/>
      <x:c r="X207" s="6"/>
      <x:c r="Y207" s="6"/>
      <x:c r="Z207" s="6"/>
      <x:c r="AA207" s="6"/>
      <x:c r="AB207" s="6"/>
      <x:c r="AC207" s="10"/>
      <x:c r="AD207" s="10"/>
      <x:c r="AE207" s="4" t="str">
        <x:f t="shared" si="32"/>
      </x:c>
      <x:c r="AF207" s="4" t="str">
        <x:f t="shared" si="33"/>
      </x:c>
      <x:c r="AG207" s="4" t="str">
        <x:f t="shared" si="34"/>
      </x:c>
      <x:c r="AH207" s="11">
        <x:f t="shared" si="35"/>
        <x:v>0</x:v>
      </x:c>
      <x:c r="AI207" s="4" t="str">
        <x:f t="shared" si="36"/>
      </x:c>
      <x:c r="AJ207" s="4">
        <x:f t="shared" si="37"/>
        <x:v>0</x:v>
      </x:c>
      <x:c r="AK207" s="4">
        <x:f t="shared" si="38"/>
        <x:v>0</x:v>
      </x:c>
      <x:c r="AL207" s="11">
        <x:f t="shared" si="39"/>
        <x:v>0</x:v>
      </x:c>
      <x:c r="AM207" s="6"/>
      <x:c r="AN207" s="6"/>
    </x:row>
    <x:row r="208">
      <x:c r="A208" s="3" t="str">
        <x:f t="shared" si="30"/>
      </x:c>
      <x:c r="B208" s="9"/>
      <x:c r="C208" s="36"/>
      <x:c r="D208" s="6"/>
      <x:c r="E208" s="3" t="str">
        <x:f>IF(D208="","",IFERROR(VLOOKUP(D208,'Base Sectores'!$A$5:$J$47,2,FALSE),""))</x:f>
      </x:c>
      <x:c r="F208" s="40" t="str">
        <x:f>IF(D208="","",IFERROR(VLOOKUP(D208,'Base Sectores'!$A$5:$J$47,3,FALSE),""))</x:f>
      </x:c>
      <x:c r="G208" s="3" t="str">
        <x:f>IF(D208="","",IFERROR(VLOOKUP(D208,'Base Sectores'!$A$5:$J$47,4,FALSE),""))</x:f>
      </x:c>
      <x:c r="H208" s="3" t="str">
        <x:f>IF(D208="","",IFERROR(VLOOKUP(D208,'Base Sectores'!$A$5:$J$47,5,FALSE),""))</x:f>
      </x:c>
      <x:c r="I208" s="3" t="str">
        <x:f>IF(D208="","",IFERROR(VLOOKUP(D208,'Base Sectores'!$A$5:$J$47,6,FALSE),""))</x:f>
      </x:c>
      <x:c r="J208" s="3" t="str">
        <x:f>IF(D208="","",IFERROR(VLOOKUP(D208,'Base Sectores'!$A$5:$J$47,7,FALSE),""))</x:f>
      </x:c>
      <x:c r="K208" s="3" t="str">
        <x:f>IF(D208="","",IFERROR(VLOOKUP(D208,'Base Sectores'!$A$5:$J$47,9,FALSE),""))</x:f>
      </x:c>
      <x:c r="L208" s="6"/>
      <x:c r="M208" s="3" t="str">
        <x:f>IF(L208="","",IFERROR(VLOOKUP(L208,Configuracion!$D$4:$H$15,2,FALSE),""))</x:f>
      </x:c>
      <x:c r="N208" s="3" t="str">
        <x:f>IF(L208="","",IFERROR(VLOOKUP(L208,Configuracion!$D$4:$H$15,3,FALSE),""))</x:f>
      </x:c>
      <x:c r="O208" s="6"/>
      <x:c r="P208" s="3" t="str">
        <x:f>IF(L208="","",IFERROR(VLOOKUP(L208,Configuracion!$D$4:$H$15,4,FALSE),0))</x:f>
      </x:c>
      <x:c r="Q208" s="10"/>
      <x:c r="R208" s="10"/>
      <x:c r="S208" s="4" t="str">
        <x:f t="shared" si="31"/>
      </x:c>
      <x:c r="T208" s="6"/>
      <x:c r="U208" s="6"/>
      <x:c r="V208" s="6"/>
      <x:c r="W208" s="6"/>
      <x:c r="X208" s="6"/>
      <x:c r="Y208" s="6"/>
      <x:c r="Z208" s="6"/>
      <x:c r="AA208" s="6"/>
      <x:c r="AB208" s="6"/>
      <x:c r="AC208" s="10"/>
      <x:c r="AD208" s="10"/>
      <x:c r="AE208" s="4" t="str">
        <x:f t="shared" si="32"/>
      </x:c>
      <x:c r="AF208" s="4" t="str">
        <x:f t="shared" si="33"/>
      </x:c>
      <x:c r="AG208" s="4" t="str">
        <x:f t="shared" si="34"/>
      </x:c>
      <x:c r="AH208" s="11">
        <x:f t="shared" si="35"/>
        <x:v>0</x:v>
      </x:c>
      <x:c r="AI208" s="4" t="str">
        <x:f t="shared" si="36"/>
      </x:c>
      <x:c r="AJ208" s="4">
        <x:f t="shared" si="37"/>
        <x:v>0</x:v>
      </x:c>
      <x:c r="AK208" s="4">
        <x:f t="shared" si="38"/>
        <x:v>0</x:v>
      </x:c>
      <x:c r="AL208" s="11">
        <x:f t="shared" si="39"/>
        <x:v>0</x:v>
      </x:c>
      <x:c r="AM208" s="6"/>
      <x:c r="AN208" s="6"/>
    </x:row>
    <x:row r="209">
      <x:c r="A209" s="3" t="str">
        <x:f t="shared" si="30"/>
      </x:c>
      <x:c r="B209" s="9"/>
      <x:c r="C209" s="36"/>
      <x:c r="D209" s="6"/>
      <x:c r="E209" s="3" t="str">
        <x:f>IF(D209="","",IFERROR(VLOOKUP(D209,'Base Sectores'!$A$5:$J$47,2,FALSE),""))</x:f>
      </x:c>
      <x:c r="F209" s="40" t="str">
        <x:f>IF(D209="","",IFERROR(VLOOKUP(D209,'Base Sectores'!$A$5:$J$47,3,FALSE),""))</x:f>
      </x:c>
      <x:c r="G209" s="3" t="str">
        <x:f>IF(D209="","",IFERROR(VLOOKUP(D209,'Base Sectores'!$A$5:$J$47,4,FALSE),""))</x:f>
      </x:c>
      <x:c r="H209" s="3" t="str">
        <x:f>IF(D209="","",IFERROR(VLOOKUP(D209,'Base Sectores'!$A$5:$J$47,5,FALSE),""))</x:f>
      </x:c>
      <x:c r="I209" s="3" t="str">
        <x:f>IF(D209="","",IFERROR(VLOOKUP(D209,'Base Sectores'!$A$5:$J$47,6,FALSE),""))</x:f>
      </x:c>
      <x:c r="J209" s="3" t="str">
        <x:f>IF(D209="","",IFERROR(VLOOKUP(D209,'Base Sectores'!$A$5:$J$47,7,FALSE),""))</x:f>
      </x:c>
      <x:c r="K209" s="3" t="str">
        <x:f>IF(D209="","",IFERROR(VLOOKUP(D209,'Base Sectores'!$A$5:$J$47,9,FALSE),""))</x:f>
      </x:c>
      <x:c r="L209" s="6"/>
      <x:c r="M209" s="3" t="str">
        <x:f>IF(L209="","",IFERROR(VLOOKUP(L209,Configuracion!$D$4:$H$15,2,FALSE),""))</x:f>
      </x:c>
      <x:c r="N209" s="3" t="str">
        <x:f>IF(L209="","",IFERROR(VLOOKUP(L209,Configuracion!$D$4:$H$15,3,FALSE),""))</x:f>
      </x:c>
      <x:c r="O209" s="6"/>
      <x:c r="P209" s="3" t="str">
        <x:f>IF(L209="","",IFERROR(VLOOKUP(L209,Configuracion!$D$4:$H$15,4,FALSE),0))</x:f>
      </x:c>
      <x:c r="Q209" s="10"/>
      <x:c r="R209" s="10"/>
      <x:c r="S209" s="4" t="str">
        <x:f t="shared" si="31"/>
      </x:c>
      <x:c r="T209" s="6"/>
      <x:c r="U209" s="6"/>
      <x:c r="V209" s="6"/>
      <x:c r="W209" s="6"/>
      <x:c r="X209" s="6"/>
      <x:c r="Y209" s="6"/>
      <x:c r="Z209" s="6"/>
      <x:c r="AA209" s="6"/>
      <x:c r="AB209" s="6"/>
      <x:c r="AC209" s="10"/>
      <x:c r="AD209" s="10"/>
      <x:c r="AE209" s="4" t="str">
        <x:f t="shared" si="32"/>
      </x:c>
      <x:c r="AF209" s="4" t="str">
        <x:f t="shared" si="33"/>
      </x:c>
      <x:c r="AG209" s="4" t="str">
        <x:f t="shared" si="34"/>
      </x:c>
      <x:c r="AH209" s="11">
        <x:f t="shared" si="35"/>
        <x:v>0</x:v>
      </x:c>
      <x:c r="AI209" s="4" t="str">
        <x:f t="shared" si="36"/>
      </x:c>
      <x:c r="AJ209" s="4">
        <x:f t="shared" si="37"/>
        <x:v>0</x:v>
      </x:c>
      <x:c r="AK209" s="4">
        <x:f t="shared" si="38"/>
        <x:v>0</x:v>
      </x:c>
      <x:c r="AL209" s="11">
        <x:f t="shared" si="39"/>
        <x:v>0</x:v>
      </x:c>
      <x:c r="AM209" s="6"/>
      <x:c r="AN209" s="6"/>
    </x:row>
    <x:row r="210">
      <x:c r="A210" s="3" t="str">
        <x:f t="shared" si="30"/>
      </x:c>
      <x:c r="B210" s="9"/>
      <x:c r="C210" s="36"/>
      <x:c r="D210" s="6"/>
      <x:c r="E210" s="3" t="str">
        <x:f>IF(D210="","",IFERROR(VLOOKUP(D210,'Base Sectores'!$A$5:$J$47,2,FALSE),""))</x:f>
      </x:c>
      <x:c r="F210" s="40" t="str">
        <x:f>IF(D210="","",IFERROR(VLOOKUP(D210,'Base Sectores'!$A$5:$J$47,3,FALSE),""))</x:f>
      </x:c>
      <x:c r="G210" s="3" t="str">
        <x:f>IF(D210="","",IFERROR(VLOOKUP(D210,'Base Sectores'!$A$5:$J$47,4,FALSE),""))</x:f>
      </x:c>
      <x:c r="H210" s="3" t="str">
        <x:f>IF(D210="","",IFERROR(VLOOKUP(D210,'Base Sectores'!$A$5:$J$47,5,FALSE),""))</x:f>
      </x:c>
      <x:c r="I210" s="3" t="str">
        <x:f>IF(D210="","",IFERROR(VLOOKUP(D210,'Base Sectores'!$A$5:$J$47,6,FALSE),""))</x:f>
      </x:c>
      <x:c r="J210" s="3" t="str">
        <x:f>IF(D210="","",IFERROR(VLOOKUP(D210,'Base Sectores'!$A$5:$J$47,7,FALSE),""))</x:f>
      </x:c>
      <x:c r="K210" s="3" t="str">
        <x:f>IF(D210="","",IFERROR(VLOOKUP(D210,'Base Sectores'!$A$5:$J$47,9,FALSE),""))</x:f>
      </x:c>
      <x:c r="L210" s="6"/>
      <x:c r="M210" s="3" t="str">
        <x:f>IF(L210="","",IFERROR(VLOOKUP(L210,Configuracion!$D$4:$H$15,2,FALSE),""))</x:f>
      </x:c>
      <x:c r="N210" s="3" t="str">
        <x:f>IF(L210="","",IFERROR(VLOOKUP(L210,Configuracion!$D$4:$H$15,3,FALSE),""))</x:f>
      </x:c>
      <x:c r="O210" s="6"/>
      <x:c r="P210" s="3" t="str">
        <x:f>IF(L210="","",IFERROR(VLOOKUP(L210,Configuracion!$D$4:$H$15,4,FALSE),0))</x:f>
      </x:c>
      <x:c r="Q210" s="10"/>
      <x:c r="R210" s="10"/>
      <x:c r="S210" s="4" t="str">
        <x:f t="shared" si="31"/>
      </x:c>
      <x:c r="T210" s="6"/>
      <x:c r="U210" s="6"/>
      <x:c r="V210" s="6"/>
      <x:c r="W210" s="6"/>
      <x:c r="X210" s="6"/>
      <x:c r="Y210" s="6"/>
      <x:c r="Z210" s="6"/>
      <x:c r="AA210" s="6"/>
      <x:c r="AB210" s="6"/>
      <x:c r="AC210" s="10"/>
      <x:c r="AD210" s="10"/>
      <x:c r="AE210" s="4" t="str">
        <x:f t="shared" si="32"/>
      </x:c>
      <x:c r="AF210" s="4" t="str">
        <x:f t="shared" si="33"/>
      </x:c>
      <x:c r="AG210" s="4" t="str">
        <x:f t="shared" si="34"/>
      </x:c>
      <x:c r="AH210" s="11">
        <x:f t="shared" si="35"/>
        <x:v>0</x:v>
      </x:c>
      <x:c r="AI210" s="4" t="str">
        <x:f t="shared" si="36"/>
      </x:c>
      <x:c r="AJ210" s="4">
        <x:f t="shared" si="37"/>
        <x:v>0</x:v>
      </x:c>
      <x:c r="AK210" s="4">
        <x:f t="shared" si="38"/>
        <x:v>0</x:v>
      </x:c>
      <x:c r="AL210" s="11">
        <x:f t="shared" si="39"/>
        <x:v>0</x:v>
      </x:c>
      <x:c r="AM210" s="6"/>
      <x:c r="AN210" s="6"/>
    </x:row>
    <x:row r="211">
      <x:c r="A211" s="3" t="str">
        <x:f t="shared" si="30"/>
      </x:c>
      <x:c r="B211" s="9"/>
      <x:c r="C211" s="36"/>
      <x:c r="D211" s="6"/>
      <x:c r="E211" s="3" t="str">
        <x:f>IF(D211="","",IFERROR(VLOOKUP(D211,'Base Sectores'!$A$5:$J$47,2,FALSE),""))</x:f>
      </x:c>
      <x:c r="F211" s="40" t="str">
        <x:f>IF(D211="","",IFERROR(VLOOKUP(D211,'Base Sectores'!$A$5:$J$47,3,FALSE),""))</x:f>
      </x:c>
      <x:c r="G211" s="3" t="str">
        <x:f>IF(D211="","",IFERROR(VLOOKUP(D211,'Base Sectores'!$A$5:$J$47,4,FALSE),""))</x:f>
      </x:c>
      <x:c r="H211" s="3" t="str">
        <x:f>IF(D211="","",IFERROR(VLOOKUP(D211,'Base Sectores'!$A$5:$J$47,5,FALSE),""))</x:f>
      </x:c>
      <x:c r="I211" s="3" t="str">
        <x:f>IF(D211="","",IFERROR(VLOOKUP(D211,'Base Sectores'!$A$5:$J$47,6,FALSE),""))</x:f>
      </x:c>
      <x:c r="J211" s="3" t="str">
        <x:f>IF(D211="","",IFERROR(VLOOKUP(D211,'Base Sectores'!$A$5:$J$47,7,FALSE),""))</x:f>
      </x:c>
      <x:c r="K211" s="3" t="str">
        <x:f>IF(D211="","",IFERROR(VLOOKUP(D211,'Base Sectores'!$A$5:$J$47,9,FALSE),""))</x:f>
      </x:c>
      <x:c r="L211" s="6"/>
      <x:c r="M211" s="3" t="str">
        <x:f>IF(L211="","",IFERROR(VLOOKUP(L211,Configuracion!$D$4:$H$15,2,FALSE),""))</x:f>
      </x:c>
      <x:c r="N211" s="3" t="str">
        <x:f>IF(L211="","",IFERROR(VLOOKUP(L211,Configuracion!$D$4:$H$15,3,FALSE),""))</x:f>
      </x:c>
      <x:c r="O211" s="6"/>
      <x:c r="P211" s="3" t="str">
        <x:f>IF(L211="","",IFERROR(VLOOKUP(L211,Configuracion!$D$4:$H$15,4,FALSE),0))</x:f>
      </x:c>
      <x:c r="Q211" s="10"/>
      <x:c r="R211" s="10"/>
      <x:c r="S211" s="4" t="str">
        <x:f t="shared" si="31"/>
      </x:c>
      <x:c r="T211" s="6"/>
      <x:c r="U211" s="6"/>
      <x:c r="V211" s="6"/>
      <x:c r="W211" s="6"/>
      <x:c r="X211" s="6"/>
      <x:c r="Y211" s="6"/>
      <x:c r="Z211" s="6"/>
      <x:c r="AA211" s="6"/>
      <x:c r="AB211" s="6"/>
      <x:c r="AC211" s="10"/>
      <x:c r="AD211" s="10"/>
      <x:c r="AE211" s="4" t="str">
        <x:f t="shared" si="32"/>
      </x:c>
      <x:c r="AF211" s="4" t="str">
        <x:f t="shared" si="33"/>
      </x:c>
      <x:c r="AG211" s="4" t="str">
        <x:f t="shared" si="34"/>
      </x:c>
      <x:c r="AH211" s="11">
        <x:f t="shared" si="35"/>
        <x:v>0</x:v>
      </x:c>
      <x:c r="AI211" s="4" t="str">
        <x:f t="shared" si="36"/>
      </x:c>
      <x:c r="AJ211" s="4">
        <x:f t="shared" si="37"/>
        <x:v>0</x:v>
      </x:c>
      <x:c r="AK211" s="4">
        <x:f t="shared" si="38"/>
        <x:v>0</x:v>
      </x:c>
      <x:c r="AL211" s="11">
        <x:f t="shared" si="39"/>
        <x:v>0</x:v>
      </x:c>
      <x:c r="AM211" s="6"/>
      <x:c r="AN211" s="6"/>
    </x:row>
    <x:row r="212">
      <x:c r="A212" s="3" t="str">
        <x:f t="shared" si="30"/>
      </x:c>
      <x:c r="B212" s="9"/>
      <x:c r="C212" s="36"/>
      <x:c r="D212" s="6"/>
      <x:c r="E212" s="3" t="str">
        <x:f>IF(D212="","",IFERROR(VLOOKUP(D212,'Base Sectores'!$A$5:$J$47,2,FALSE),""))</x:f>
      </x:c>
      <x:c r="F212" s="40" t="str">
        <x:f>IF(D212="","",IFERROR(VLOOKUP(D212,'Base Sectores'!$A$5:$J$47,3,FALSE),""))</x:f>
      </x:c>
      <x:c r="G212" s="3" t="str">
        <x:f>IF(D212="","",IFERROR(VLOOKUP(D212,'Base Sectores'!$A$5:$J$47,4,FALSE),""))</x:f>
      </x:c>
      <x:c r="H212" s="3" t="str">
        <x:f>IF(D212="","",IFERROR(VLOOKUP(D212,'Base Sectores'!$A$5:$J$47,5,FALSE),""))</x:f>
      </x:c>
      <x:c r="I212" s="3" t="str">
        <x:f>IF(D212="","",IFERROR(VLOOKUP(D212,'Base Sectores'!$A$5:$J$47,6,FALSE),""))</x:f>
      </x:c>
      <x:c r="J212" s="3" t="str">
        <x:f>IF(D212="","",IFERROR(VLOOKUP(D212,'Base Sectores'!$A$5:$J$47,7,FALSE),""))</x:f>
      </x:c>
      <x:c r="K212" s="3" t="str">
        <x:f>IF(D212="","",IFERROR(VLOOKUP(D212,'Base Sectores'!$A$5:$J$47,9,FALSE),""))</x:f>
      </x:c>
      <x:c r="L212" s="6"/>
      <x:c r="M212" s="3" t="str">
        <x:f>IF(L212="","",IFERROR(VLOOKUP(L212,Configuracion!$D$4:$H$15,2,FALSE),""))</x:f>
      </x:c>
      <x:c r="N212" s="3" t="str">
        <x:f>IF(L212="","",IFERROR(VLOOKUP(L212,Configuracion!$D$4:$H$15,3,FALSE),""))</x:f>
      </x:c>
      <x:c r="O212" s="6"/>
      <x:c r="P212" s="3" t="str">
        <x:f>IF(L212="","",IFERROR(VLOOKUP(L212,Configuracion!$D$4:$H$15,4,FALSE),0))</x:f>
      </x:c>
      <x:c r="Q212" s="10"/>
      <x:c r="R212" s="10"/>
      <x:c r="S212" s="4" t="str">
        <x:f t="shared" si="31"/>
      </x:c>
      <x:c r="T212" s="6"/>
      <x:c r="U212" s="6"/>
      <x:c r="V212" s="6"/>
      <x:c r="W212" s="6"/>
      <x:c r="X212" s="6"/>
      <x:c r="Y212" s="6"/>
      <x:c r="Z212" s="6"/>
      <x:c r="AA212" s="6"/>
      <x:c r="AB212" s="6"/>
      <x:c r="AC212" s="10"/>
      <x:c r="AD212" s="10"/>
      <x:c r="AE212" s="4" t="str">
        <x:f t="shared" si="32"/>
      </x:c>
      <x:c r="AF212" s="4" t="str">
        <x:f t="shared" si="33"/>
      </x:c>
      <x:c r="AG212" s="4" t="str">
        <x:f t="shared" si="34"/>
      </x:c>
      <x:c r="AH212" s="11">
        <x:f t="shared" si="35"/>
        <x:v>0</x:v>
      </x:c>
      <x:c r="AI212" s="4" t="str">
        <x:f t="shared" si="36"/>
      </x:c>
      <x:c r="AJ212" s="4">
        <x:f t="shared" si="37"/>
        <x:v>0</x:v>
      </x:c>
      <x:c r="AK212" s="4">
        <x:f t="shared" si="38"/>
        <x:v>0</x:v>
      </x:c>
      <x:c r="AL212" s="11">
        <x:f t="shared" si="39"/>
        <x:v>0</x:v>
      </x:c>
      <x:c r="AM212" s="6"/>
      <x:c r="AN212" s="6"/>
    </x:row>
    <x:row r="213">
      <x:c r="A213" s="3" t="str">
        <x:f t="shared" si="30"/>
      </x:c>
      <x:c r="B213" s="9"/>
      <x:c r="C213" s="36"/>
      <x:c r="D213" s="6"/>
      <x:c r="E213" s="3" t="str">
        <x:f>IF(D213="","",IFERROR(VLOOKUP(D213,'Base Sectores'!$A$5:$J$47,2,FALSE),""))</x:f>
      </x:c>
      <x:c r="F213" s="40" t="str">
        <x:f>IF(D213="","",IFERROR(VLOOKUP(D213,'Base Sectores'!$A$5:$J$47,3,FALSE),""))</x:f>
      </x:c>
      <x:c r="G213" s="3" t="str">
        <x:f>IF(D213="","",IFERROR(VLOOKUP(D213,'Base Sectores'!$A$5:$J$47,4,FALSE),""))</x:f>
      </x:c>
      <x:c r="H213" s="3" t="str">
        <x:f>IF(D213="","",IFERROR(VLOOKUP(D213,'Base Sectores'!$A$5:$J$47,5,FALSE),""))</x:f>
      </x:c>
      <x:c r="I213" s="3" t="str">
        <x:f>IF(D213="","",IFERROR(VLOOKUP(D213,'Base Sectores'!$A$5:$J$47,6,FALSE),""))</x:f>
      </x:c>
      <x:c r="J213" s="3" t="str">
        <x:f>IF(D213="","",IFERROR(VLOOKUP(D213,'Base Sectores'!$A$5:$J$47,7,FALSE),""))</x:f>
      </x:c>
      <x:c r="K213" s="3" t="str">
        <x:f>IF(D213="","",IFERROR(VLOOKUP(D213,'Base Sectores'!$A$5:$J$47,9,FALSE),""))</x:f>
      </x:c>
      <x:c r="L213" s="6"/>
      <x:c r="M213" s="3" t="str">
        <x:f>IF(L213="","",IFERROR(VLOOKUP(L213,Configuracion!$D$4:$H$15,2,FALSE),""))</x:f>
      </x:c>
      <x:c r="N213" s="3" t="str">
        <x:f>IF(L213="","",IFERROR(VLOOKUP(L213,Configuracion!$D$4:$H$15,3,FALSE),""))</x:f>
      </x:c>
      <x:c r="O213" s="6"/>
      <x:c r="P213" s="3" t="str">
        <x:f>IF(L213="","",IFERROR(VLOOKUP(L213,Configuracion!$D$4:$H$15,4,FALSE),0))</x:f>
      </x:c>
      <x:c r="Q213" s="10"/>
      <x:c r="R213" s="10"/>
      <x:c r="S213" s="4" t="str">
        <x:f t="shared" si="31"/>
      </x:c>
      <x:c r="T213" s="6"/>
      <x:c r="U213" s="6"/>
      <x:c r="V213" s="6"/>
      <x:c r="W213" s="6"/>
      <x:c r="X213" s="6"/>
      <x:c r="Y213" s="6"/>
      <x:c r="Z213" s="6"/>
      <x:c r="AA213" s="6"/>
      <x:c r="AB213" s="6"/>
      <x:c r="AC213" s="10"/>
      <x:c r="AD213" s="10"/>
      <x:c r="AE213" s="4" t="str">
        <x:f t="shared" si="32"/>
      </x:c>
      <x:c r="AF213" s="4" t="str">
        <x:f t="shared" si="33"/>
      </x:c>
      <x:c r="AG213" s="4" t="str">
        <x:f t="shared" si="34"/>
      </x:c>
      <x:c r="AH213" s="11">
        <x:f t="shared" si="35"/>
        <x:v>0</x:v>
      </x:c>
      <x:c r="AI213" s="4" t="str">
        <x:f t="shared" si="36"/>
      </x:c>
      <x:c r="AJ213" s="4">
        <x:f t="shared" si="37"/>
        <x:v>0</x:v>
      </x:c>
      <x:c r="AK213" s="4">
        <x:f t="shared" si="38"/>
        <x:v>0</x:v>
      </x:c>
      <x:c r="AL213" s="11">
        <x:f t="shared" si="39"/>
        <x:v>0</x:v>
      </x:c>
      <x:c r="AM213" s="6"/>
      <x:c r="AN213" s="6"/>
    </x:row>
    <x:row r="214">
      <x:c r="A214" s="3" t="str">
        <x:f t="shared" si="30"/>
      </x:c>
      <x:c r="B214" s="9"/>
      <x:c r="C214" s="36"/>
      <x:c r="D214" s="6"/>
      <x:c r="E214" s="3" t="str">
        <x:f>IF(D214="","",IFERROR(VLOOKUP(D214,'Base Sectores'!$A$5:$J$47,2,FALSE),""))</x:f>
      </x:c>
      <x:c r="F214" s="40" t="str">
        <x:f>IF(D214="","",IFERROR(VLOOKUP(D214,'Base Sectores'!$A$5:$J$47,3,FALSE),""))</x:f>
      </x:c>
      <x:c r="G214" s="3" t="str">
        <x:f>IF(D214="","",IFERROR(VLOOKUP(D214,'Base Sectores'!$A$5:$J$47,4,FALSE),""))</x:f>
      </x:c>
      <x:c r="H214" s="3" t="str">
        <x:f>IF(D214="","",IFERROR(VLOOKUP(D214,'Base Sectores'!$A$5:$J$47,5,FALSE),""))</x:f>
      </x:c>
      <x:c r="I214" s="3" t="str">
        <x:f>IF(D214="","",IFERROR(VLOOKUP(D214,'Base Sectores'!$A$5:$J$47,6,FALSE),""))</x:f>
      </x:c>
      <x:c r="J214" s="3" t="str">
        <x:f>IF(D214="","",IFERROR(VLOOKUP(D214,'Base Sectores'!$A$5:$J$47,7,FALSE),""))</x:f>
      </x:c>
      <x:c r="K214" s="3" t="str">
        <x:f>IF(D214="","",IFERROR(VLOOKUP(D214,'Base Sectores'!$A$5:$J$47,9,FALSE),""))</x:f>
      </x:c>
      <x:c r="L214" s="6"/>
      <x:c r="M214" s="3" t="str">
        <x:f>IF(L214="","",IFERROR(VLOOKUP(L214,Configuracion!$D$4:$H$15,2,FALSE),""))</x:f>
      </x:c>
      <x:c r="N214" s="3" t="str">
        <x:f>IF(L214="","",IFERROR(VLOOKUP(L214,Configuracion!$D$4:$H$15,3,FALSE),""))</x:f>
      </x:c>
      <x:c r="O214" s="6"/>
      <x:c r="P214" s="3" t="str">
        <x:f>IF(L214="","",IFERROR(VLOOKUP(L214,Configuracion!$D$4:$H$15,4,FALSE),0))</x:f>
      </x:c>
      <x:c r="Q214" s="10"/>
      <x:c r="R214" s="10"/>
      <x:c r="S214" s="4" t="str">
        <x:f t="shared" si="31"/>
      </x:c>
      <x:c r="T214" s="6"/>
      <x:c r="U214" s="6"/>
      <x:c r="V214" s="6"/>
      <x:c r="W214" s="6"/>
      <x:c r="X214" s="6"/>
      <x:c r="Y214" s="6"/>
      <x:c r="Z214" s="6"/>
      <x:c r="AA214" s="6"/>
      <x:c r="AB214" s="6"/>
      <x:c r="AC214" s="10"/>
      <x:c r="AD214" s="10"/>
      <x:c r="AE214" s="4" t="str">
        <x:f t="shared" si="32"/>
      </x:c>
      <x:c r="AF214" s="4" t="str">
        <x:f t="shared" si="33"/>
      </x:c>
      <x:c r="AG214" s="4" t="str">
        <x:f t="shared" si="34"/>
      </x:c>
      <x:c r="AH214" s="11">
        <x:f t="shared" si="35"/>
        <x:v>0</x:v>
      </x:c>
      <x:c r="AI214" s="4" t="str">
        <x:f t="shared" si="36"/>
      </x:c>
      <x:c r="AJ214" s="4">
        <x:f t="shared" si="37"/>
        <x:v>0</x:v>
      </x:c>
      <x:c r="AK214" s="4">
        <x:f t="shared" si="38"/>
        <x:v>0</x:v>
      </x:c>
      <x:c r="AL214" s="11">
        <x:f t="shared" si="39"/>
        <x:v>0</x:v>
      </x:c>
      <x:c r="AM214" s="6"/>
      <x:c r="AN214" s="6"/>
    </x:row>
    <x:row r="215">
      <x:c r="A215" s="3" t="str">
        <x:f t="shared" si="30"/>
      </x:c>
      <x:c r="B215" s="9"/>
      <x:c r="C215" s="36"/>
      <x:c r="D215" s="6"/>
      <x:c r="E215" s="3" t="str">
        <x:f>IF(D215="","",IFERROR(VLOOKUP(D215,'Base Sectores'!$A$5:$J$47,2,FALSE),""))</x:f>
      </x:c>
      <x:c r="F215" s="40" t="str">
        <x:f>IF(D215="","",IFERROR(VLOOKUP(D215,'Base Sectores'!$A$5:$J$47,3,FALSE),""))</x:f>
      </x:c>
      <x:c r="G215" s="3" t="str">
        <x:f>IF(D215="","",IFERROR(VLOOKUP(D215,'Base Sectores'!$A$5:$J$47,4,FALSE),""))</x:f>
      </x:c>
      <x:c r="H215" s="3" t="str">
        <x:f>IF(D215="","",IFERROR(VLOOKUP(D215,'Base Sectores'!$A$5:$J$47,5,FALSE),""))</x:f>
      </x:c>
      <x:c r="I215" s="3" t="str">
        <x:f>IF(D215="","",IFERROR(VLOOKUP(D215,'Base Sectores'!$A$5:$J$47,6,FALSE),""))</x:f>
      </x:c>
      <x:c r="J215" s="3" t="str">
        <x:f>IF(D215="","",IFERROR(VLOOKUP(D215,'Base Sectores'!$A$5:$J$47,7,FALSE),""))</x:f>
      </x:c>
      <x:c r="K215" s="3" t="str">
        <x:f>IF(D215="","",IFERROR(VLOOKUP(D215,'Base Sectores'!$A$5:$J$47,9,FALSE),""))</x:f>
      </x:c>
      <x:c r="L215" s="6"/>
      <x:c r="M215" s="3" t="str">
        <x:f>IF(L215="","",IFERROR(VLOOKUP(L215,Configuracion!$D$4:$H$15,2,FALSE),""))</x:f>
      </x:c>
      <x:c r="N215" s="3" t="str">
        <x:f>IF(L215="","",IFERROR(VLOOKUP(L215,Configuracion!$D$4:$H$15,3,FALSE),""))</x:f>
      </x:c>
      <x:c r="O215" s="6"/>
      <x:c r="P215" s="3" t="str">
        <x:f>IF(L215="","",IFERROR(VLOOKUP(L215,Configuracion!$D$4:$H$15,4,FALSE),0))</x:f>
      </x:c>
      <x:c r="Q215" s="10"/>
      <x:c r="R215" s="10"/>
      <x:c r="S215" s="4" t="str">
        <x:f t="shared" si="31"/>
      </x:c>
      <x:c r="T215" s="6"/>
      <x:c r="U215" s="6"/>
      <x:c r="V215" s="6"/>
      <x:c r="W215" s="6"/>
      <x:c r="X215" s="6"/>
      <x:c r="Y215" s="6"/>
      <x:c r="Z215" s="6"/>
      <x:c r="AA215" s="6"/>
      <x:c r="AB215" s="6"/>
      <x:c r="AC215" s="10"/>
      <x:c r="AD215" s="10"/>
      <x:c r="AE215" s="4" t="str">
        <x:f t="shared" si="32"/>
      </x:c>
      <x:c r="AF215" s="4" t="str">
        <x:f t="shared" si="33"/>
      </x:c>
      <x:c r="AG215" s="4" t="str">
        <x:f t="shared" si="34"/>
      </x:c>
      <x:c r="AH215" s="11">
        <x:f t="shared" si="35"/>
        <x:v>0</x:v>
      </x:c>
      <x:c r="AI215" s="4" t="str">
        <x:f t="shared" si="36"/>
      </x:c>
      <x:c r="AJ215" s="4">
        <x:f t="shared" si="37"/>
        <x:v>0</x:v>
      </x:c>
      <x:c r="AK215" s="4">
        <x:f t="shared" si="38"/>
        <x:v>0</x:v>
      </x:c>
      <x:c r="AL215" s="11">
        <x:f t="shared" si="39"/>
        <x:v>0</x:v>
      </x:c>
      <x:c r="AM215" s="6"/>
      <x:c r="AN215" s="6"/>
    </x:row>
    <x:row r="216">
      <x:c r="A216" s="3" t="str">
        <x:f t="shared" si="30"/>
      </x:c>
      <x:c r="B216" s="9"/>
      <x:c r="C216" s="36"/>
      <x:c r="D216" s="6"/>
      <x:c r="E216" s="3" t="str">
        <x:f>IF(D216="","",IFERROR(VLOOKUP(D216,'Base Sectores'!$A$5:$J$47,2,FALSE),""))</x:f>
      </x:c>
      <x:c r="F216" s="40" t="str">
        <x:f>IF(D216="","",IFERROR(VLOOKUP(D216,'Base Sectores'!$A$5:$J$47,3,FALSE),""))</x:f>
      </x:c>
      <x:c r="G216" s="3" t="str">
        <x:f>IF(D216="","",IFERROR(VLOOKUP(D216,'Base Sectores'!$A$5:$J$47,4,FALSE),""))</x:f>
      </x:c>
      <x:c r="H216" s="3" t="str">
        <x:f>IF(D216="","",IFERROR(VLOOKUP(D216,'Base Sectores'!$A$5:$J$47,5,FALSE),""))</x:f>
      </x:c>
      <x:c r="I216" s="3" t="str">
        <x:f>IF(D216="","",IFERROR(VLOOKUP(D216,'Base Sectores'!$A$5:$J$47,6,FALSE),""))</x:f>
      </x:c>
      <x:c r="J216" s="3" t="str">
        <x:f>IF(D216="","",IFERROR(VLOOKUP(D216,'Base Sectores'!$A$5:$J$47,7,FALSE),""))</x:f>
      </x:c>
      <x:c r="K216" s="3" t="str">
        <x:f>IF(D216="","",IFERROR(VLOOKUP(D216,'Base Sectores'!$A$5:$J$47,9,FALSE),""))</x:f>
      </x:c>
      <x:c r="L216" s="6"/>
      <x:c r="M216" s="3" t="str">
        <x:f>IF(L216="","",IFERROR(VLOOKUP(L216,Configuracion!$D$4:$H$15,2,FALSE),""))</x:f>
      </x:c>
      <x:c r="N216" s="3" t="str">
        <x:f>IF(L216="","",IFERROR(VLOOKUP(L216,Configuracion!$D$4:$H$15,3,FALSE),""))</x:f>
      </x:c>
      <x:c r="O216" s="6"/>
      <x:c r="P216" s="3" t="str">
        <x:f>IF(L216="","",IFERROR(VLOOKUP(L216,Configuracion!$D$4:$H$15,4,FALSE),0))</x:f>
      </x:c>
      <x:c r="Q216" s="10"/>
      <x:c r="R216" s="10"/>
      <x:c r="S216" s="4" t="str">
        <x:f t="shared" si="31"/>
      </x:c>
      <x:c r="T216" s="6"/>
      <x:c r="U216" s="6"/>
      <x:c r="V216" s="6"/>
      <x:c r="W216" s="6"/>
      <x:c r="X216" s="6"/>
      <x:c r="Y216" s="6"/>
      <x:c r="Z216" s="6"/>
      <x:c r="AA216" s="6"/>
      <x:c r="AB216" s="6"/>
      <x:c r="AC216" s="10"/>
      <x:c r="AD216" s="10"/>
      <x:c r="AE216" s="4" t="str">
        <x:f t="shared" si="32"/>
      </x:c>
      <x:c r="AF216" s="4" t="str">
        <x:f t="shared" si="33"/>
      </x:c>
      <x:c r="AG216" s="4" t="str">
        <x:f t="shared" si="34"/>
      </x:c>
      <x:c r="AH216" s="11">
        <x:f t="shared" si="35"/>
        <x:v>0</x:v>
      </x:c>
      <x:c r="AI216" s="4" t="str">
        <x:f t="shared" si="36"/>
      </x:c>
      <x:c r="AJ216" s="4">
        <x:f t="shared" si="37"/>
        <x:v>0</x:v>
      </x:c>
      <x:c r="AK216" s="4">
        <x:f t="shared" si="38"/>
        <x:v>0</x:v>
      </x:c>
      <x:c r="AL216" s="11">
        <x:f t="shared" si="39"/>
        <x:v>0</x:v>
      </x:c>
      <x:c r="AM216" s="6"/>
      <x:c r="AN216" s="6"/>
    </x:row>
    <x:row r="217">
      <x:c r="A217" s="3" t="str">
        <x:f t="shared" si="30"/>
      </x:c>
      <x:c r="B217" s="9"/>
      <x:c r="C217" s="36"/>
      <x:c r="D217" s="6"/>
      <x:c r="E217" s="3" t="str">
        <x:f>IF(D217="","",IFERROR(VLOOKUP(D217,'Base Sectores'!$A$5:$J$47,2,FALSE),""))</x:f>
      </x:c>
      <x:c r="F217" s="40" t="str">
        <x:f>IF(D217="","",IFERROR(VLOOKUP(D217,'Base Sectores'!$A$5:$J$47,3,FALSE),""))</x:f>
      </x:c>
      <x:c r="G217" s="3" t="str">
        <x:f>IF(D217="","",IFERROR(VLOOKUP(D217,'Base Sectores'!$A$5:$J$47,4,FALSE),""))</x:f>
      </x:c>
      <x:c r="H217" s="3" t="str">
        <x:f>IF(D217="","",IFERROR(VLOOKUP(D217,'Base Sectores'!$A$5:$J$47,5,FALSE),""))</x:f>
      </x:c>
      <x:c r="I217" s="3" t="str">
        <x:f>IF(D217="","",IFERROR(VLOOKUP(D217,'Base Sectores'!$A$5:$J$47,6,FALSE),""))</x:f>
      </x:c>
      <x:c r="J217" s="3" t="str">
        <x:f>IF(D217="","",IFERROR(VLOOKUP(D217,'Base Sectores'!$A$5:$J$47,7,FALSE),""))</x:f>
      </x:c>
      <x:c r="K217" s="3" t="str">
        <x:f>IF(D217="","",IFERROR(VLOOKUP(D217,'Base Sectores'!$A$5:$J$47,9,FALSE),""))</x:f>
      </x:c>
      <x:c r="L217" s="6"/>
      <x:c r="M217" s="3" t="str">
        <x:f>IF(L217="","",IFERROR(VLOOKUP(L217,Configuracion!$D$4:$H$15,2,FALSE),""))</x:f>
      </x:c>
      <x:c r="N217" s="3" t="str">
        <x:f>IF(L217="","",IFERROR(VLOOKUP(L217,Configuracion!$D$4:$H$15,3,FALSE),""))</x:f>
      </x:c>
      <x:c r="O217" s="6"/>
      <x:c r="P217" s="3" t="str">
        <x:f>IF(L217="","",IFERROR(VLOOKUP(L217,Configuracion!$D$4:$H$15,4,FALSE),0))</x:f>
      </x:c>
      <x:c r="Q217" s="10"/>
      <x:c r="R217" s="10"/>
      <x:c r="S217" s="4" t="str">
        <x:f t="shared" si="31"/>
      </x:c>
      <x:c r="T217" s="6"/>
      <x:c r="U217" s="6"/>
      <x:c r="V217" s="6"/>
      <x:c r="W217" s="6"/>
      <x:c r="X217" s="6"/>
      <x:c r="Y217" s="6"/>
      <x:c r="Z217" s="6"/>
      <x:c r="AA217" s="6"/>
      <x:c r="AB217" s="6"/>
      <x:c r="AC217" s="10"/>
      <x:c r="AD217" s="10"/>
      <x:c r="AE217" s="4" t="str">
        <x:f t="shared" si="32"/>
      </x:c>
      <x:c r="AF217" s="4" t="str">
        <x:f t="shared" si="33"/>
      </x:c>
      <x:c r="AG217" s="4" t="str">
        <x:f t="shared" si="34"/>
      </x:c>
      <x:c r="AH217" s="11">
        <x:f t="shared" si="35"/>
        <x:v>0</x:v>
      </x:c>
      <x:c r="AI217" s="4" t="str">
        <x:f t="shared" si="36"/>
      </x:c>
      <x:c r="AJ217" s="4">
        <x:f t="shared" si="37"/>
        <x:v>0</x:v>
      </x:c>
      <x:c r="AK217" s="4">
        <x:f t="shared" si="38"/>
        <x:v>0</x:v>
      </x:c>
      <x:c r="AL217" s="11">
        <x:f t="shared" si="39"/>
        <x:v>0</x:v>
      </x:c>
      <x:c r="AM217" s="6"/>
      <x:c r="AN217" s="6"/>
    </x:row>
    <x:row r="218">
      <x:c r="A218" s="3" t="str">
        <x:f t="shared" si="30"/>
      </x:c>
      <x:c r="B218" s="9"/>
      <x:c r="C218" s="36"/>
      <x:c r="D218" s="6"/>
      <x:c r="E218" s="3" t="str">
        <x:f>IF(D218="","",IFERROR(VLOOKUP(D218,'Base Sectores'!$A$5:$J$47,2,FALSE),""))</x:f>
      </x:c>
      <x:c r="F218" s="40" t="str">
        <x:f>IF(D218="","",IFERROR(VLOOKUP(D218,'Base Sectores'!$A$5:$J$47,3,FALSE),""))</x:f>
      </x:c>
      <x:c r="G218" s="3" t="str">
        <x:f>IF(D218="","",IFERROR(VLOOKUP(D218,'Base Sectores'!$A$5:$J$47,4,FALSE),""))</x:f>
      </x:c>
      <x:c r="H218" s="3" t="str">
        <x:f>IF(D218="","",IFERROR(VLOOKUP(D218,'Base Sectores'!$A$5:$J$47,5,FALSE),""))</x:f>
      </x:c>
      <x:c r="I218" s="3" t="str">
        <x:f>IF(D218="","",IFERROR(VLOOKUP(D218,'Base Sectores'!$A$5:$J$47,6,FALSE),""))</x:f>
      </x:c>
      <x:c r="J218" s="3" t="str">
        <x:f>IF(D218="","",IFERROR(VLOOKUP(D218,'Base Sectores'!$A$5:$J$47,7,FALSE),""))</x:f>
      </x:c>
      <x:c r="K218" s="3" t="str">
        <x:f>IF(D218="","",IFERROR(VLOOKUP(D218,'Base Sectores'!$A$5:$J$47,9,FALSE),""))</x:f>
      </x:c>
      <x:c r="L218" s="6"/>
      <x:c r="M218" s="3" t="str">
        <x:f>IF(L218="","",IFERROR(VLOOKUP(L218,Configuracion!$D$4:$H$15,2,FALSE),""))</x:f>
      </x:c>
      <x:c r="N218" s="3" t="str">
        <x:f>IF(L218="","",IFERROR(VLOOKUP(L218,Configuracion!$D$4:$H$15,3,FALSE),""))</x:f>
      </x:c>
      <x:c r="O218" s="6"/>
      <x:c r="P218" s="3" t="str">
        <x:f>IF(L218="","",IFERROR(VLOOKUP(L218,Configuracion!$D$4:$H$15,4,FALSE),0))</x:f>
      </x:c>
      <x:c r="Q218" s="10"/>
      <x:c r="R218" s="10"/>
      <x:c r="S218" s="4" t="str">
        <x:f t="shared" si="31"/>
      </x:c>
      <x:c r="T218" s="6"/>
      <x:c r="U218" s="6"/>
      <x:c r="V218" s="6"/>
      <x:c r="W218" s="6"/>
      <x:c r="X218" s="6"/>
      <x:c r="Y218" s="6"/>
      <x:c r="Z218" s="6"/>
      <x:c r="AA218" s="6"/>
      <x:c r="AB218" s="6"/>
      <x:c r="AC218" s="10"/>
      <x:c r="AD218" s="10"/>
      <x:c r="AE218" s="4" t="str">
        <x:f t="shared" si="32"/>
      </x:c>
      <x:c r="AF218" s="4" t="str">
        <x:f t="shared" si="33"/>
      </x:c>
      <x:c r="AG218" s="4" t="str">
        <x:f t="shared" si="34"/>
      </x:c>
      <x:c r="AH218" s="11">
        <x:f t="shared" si="35"/>
        <x:v>0</x:v>
      </x:c>
      <x:c r="AI218" s="4" t="str">
        <x:f t="shared" si="36"/>
      </x:c>
      <x:c r="AJ218" s="4">
        <x:f t="shared" si="37"/>
        <x:v>0</x:v>
      </x:c>
      <x:c r="AK218" s="4">
        <x:f t="shared" si="38"/>
        <x:v>0</x:v>
      </x:c>
      <x:c r="AL218" s="11">
        <x:f t="shared" si="39"/>
        <x:v>0</x:v>
      </x:c>
      <x:c r="AM218" s="6"/>
      <x:c r="AN218" s="6"/>
    </x:row>
    <x:row r="219">
      <x:c r="A219" s="3" t="str">
        <x:f t="shared" si="30"/>
      </x:c>
      <x:c r="B219" s="9"/>
      <x:c r="C219" s="36"/>
      <x:c r="D219" s="6"/>
      <x:c r="E219" s="3" t="str">
        <x:f>IF(D219="","",IFERROR(VLOOKUP(D219,'Base Sectores'!$A$5:$J$47,2,FALSE),""))</x:f>
      </x:c>
      <x:c r="F219" s="40" t="str">
        <x:f>IF(D219="","",IFERROR(VLOOKUP(D219,'Base Sectores'!$A$5:$J$47,3,FALSE),""))</x:f>
      </x:c>
      <x:c r="G219" s="3" t="str">
        <x:f>IF(D219="","",IFERROR(VLOOKUP(D219,'Base Sectores'!$A$5:$J$47,4,FALSE),""))</x:f>
      </x:c>
      <x:c r="H219" s="3" t="str">
        <x:f>IF(D219="","",IFERROR(VLOOKUP(D219,'Base Sectores'!$A$5:$J$47,5,FALSE),""))</x:f>
      </x:c>
      <x:c r="I219" s="3" t="str">
        <x:f>IF(D219="","",IFERROR(VLOOKUP(D219,'Base Sectores'!$A$5:$J$47,6,FALSE),""))</x:f>
      </x:c>
      <x:c r="J219" s="3" t="str">
        <x:f>IF(D219="","",IFERROR(VLOOKUP(D219,'Base Sectores'!$A$5:$J$47,7,FALSE),""))</x:f>
      </x:c>
      <x:c r="K219" s="3" t="str">
        <x:f>IF(D219="","",IFERROR(VLOOKUP(D219,'Base Sectores'!$A$5:$J$47,9,FALSE),""))</x:f>
      </x:c>
      <x:c r="L219" s="6"/>
      <x:c r="M219" s="3" t="str">
        <x:f>IF(L219="","",IFERROR(VLOOKUP(L219,Configuracion!$D$4:$H$15,2,FALSE),""))</x:f>
      </x:c>
      <x:c r="N219" s="3" t="str">
        <x:f>IF(L219="","",IFERROR(VLOOKUP(L219,Configuracion!$D$4:$H$15,3,FALSE),""))</x:f>
      </x:c>
      <x:c r="O219" s="6"/>
      <x:c r="P219" s="3" t="str">
        <x:f>IF(L219="","",IFERROR(VLOOKUP(L219,Configuracion!$D$4:$H$15,4,FALSE),0))</x:f>
      </x:c>
      <x:c r="Q219" s="10"/>
      <x:c r="R219" s="10"/>
      <x:c r="S219" s="4" t="str">
        <x:f t="shared" si="31"/>
      </x:c>
      <x:c r="T219" s="6"/>
      <x:c r="U219" s="6"/>
      <x:c r="V219" s="6"/>
      <x:c r="W219" s="6"/>
      <x:c r="X219" s="6"/>
      <x:c r="Y219" s="6"/>
      <x:c r="Z219" s="6"/>
      <x:c r="AA219" s="6"/>
      <x:c r="AB219" s="6"/>
      <x:c r="AC219" s="10"/>
      <x:c r="AD219" s="10"/>
      <x:c r="AE219" s="4" t="str">
        <x:f t="shared" si="32"/>
      </x:c>
      <x:c r="AF219" s="4" t="str">
        <x:f t="shared" si="33"/>
      </x:c>
      <x:c r="AG219" s="4" t="str">
        <x:f t="shared" si="34"/>
      </x:c>
      <x:c r="AH219" s="11">
        <x:f t="shared" si="35"/>
        <x:v>0</x:v>
      </x:c>
      <x:c r="AI219" s="4" t="str">
        <x:f t="shared" si="36"/>
      </x:c>
      <x:c r="AJ219" s="4">
        <x:f t="shared" si="37"/>
        <x:v>0</x:v>
      </x:c>
      <x:c r="AK219" s="4">
        <x:f t="shared" si="38"/>
        <x:v>0</x:v>
      </x:c>
      <x:c r="AL219" s="11">
        <x:f t="shared" si="39"/>
        <x:v>0</x:v>
      </x:c>
      <x:c r="AM219" s="6"/>
      <x:c r="AN219" s="6"/>
    </x:row>
    <x:row r="220">
      <x:c r="A220" s="3" t="str">
        <x:f t="shared" si="30"/>
      </x:c>
      <x:c r="B220" s="9"/>
      <x:c r="C220" s="36"/>
      <x:c r="D220" s="6"/>
      <x:c r="E220" s="3" t="str">
        <x:f>IF(D220="","",IFERROR(VLOOKUP(D220,'Base Sectores'!$A$5:$J$47,2,FALSE),""))</x:f>
      </x:c>
      <x:c r="F220" s="40" t="str">
        <x:f>IF(D220="","",IFERROR(VLOOKUP(D220,'Base Sectores'!$A$5:$J$47,3,FALSE),""))</x:f>
      </x:c>
      <x:c r="G220" s="3" t="str">
        <x:f>IF(D220="","",IFERROR(VLOOKUP(D220,'Base Sectores'!$A$5:$J$47,4,FALSE),""))</x:f>
      </x:c>
      <x:c r="H220" s="3" t="str">
        <x:f>IF(D220="","",IFERROR(VLOOKUP(D220,'Base Sectores'!$A$5:$J$47,5,FALSE),""))</x:f>
      </x:c>
      <x:c r="I220" s="3" t="str">
        <x:f>IF(D220="","",IFERROR(VLOOKUP(D220,'Base Sectores'!$A$5:$J$47,6,FALSE),""))</x:f>
      </x:c>
      <x:c r="J220" s="3" t="str">
        <x:f>IF(D220="","",IFERROR(VLOOKUP(D220,'Base Sectores'!$A$5:$J$47,7,FALSE),""))</x:f>
      </x:c>
      <x:c r="K220" s="3" t="str">
        <x:f>IF(D220="","",IFERROR(VLOOKUP(D220,'Base Sectores'!$A$5:$J$47,9,FALSE),""))</x:f>
      </x:c>
      <x:c r="L220" s="6"/>
      <x:c r="M220" s="3" t="str">
        <x:f>IF(L220="","",IFERROR(VLOOKUP(L220,Configuracion!$D$4:$H$15,2,FALSE),""))</x:f>
      </x:c>
      <x:c r="N220" s="3" t="str">
        <x:f>IF(L220="","",IFERROR(VLOOKUP(L220,Configuracion!$D$4:$H$15,3,FALSE),""))</x:f>
      </x:c>
      <x:c r="O220" s="6"/>
      <x:c r="P220" s="3" t="str">
        <x:f>IF(L220="","",IFERROR(VLOOKUP(L220,Configuracion!$D$4:$H$15,4,FALSE),0))</x:f>
      </x:c>
      <x:c r="Q220" s="10"/>
      <x:c r="R220" s="10"/>
      <x:c r="S220" s="4" t="str">
        <x:f t="shared" si="31"/>
      </x:c>
      <x:c r="T220" s="6"/>
      <x:c r="U220" s="6"/>
      <x:c r="V220" s="6"/>
      <x:c r="W220" s="6"/>
      <x:c r="X220" s="6"/>
      <x:c r="Y220" s="6"/>
      <x:c r="Z220" s="6"/>
      <x:c r="AA220" s="6"/>
      <x:c r="AB220" s="6"/>
      <x:c r="AC220" s="10"/>
      <x:c r="AD220" s="10"/>
      <x:c r="AE220" s="4" t="str">
        <x:f t="shared" si="32"/>
      </x:c>
      <x:c r="AF220" s="4" t="str">
        <x:f t="shared" si="33"/>
      </x:c>
      <x:c r="AG220" s="4" t="str">
        <x:f t="shared" si="34"/>
      </x:c>
      <x:c r="AH220" s="11">
        <x:f t="shared" si="35"/>
        <x:v>0</x:v>
      </x:c>
      <x:c r="AI220" s="4" t="str">
        <x:f t="shared" si="36"/>
      </x:c>
      <x:c r="AJ220" s="4">
        <x:f t="shared" si="37"/>
        <x:v>0</x:v>
      </x:c>
      <x:c r="AK220" s="4">
        <x:f t="shared" si="38"/>
        <x:v>0</x:v>
      </x:c>
      <x:c r="AL220" s="11">
        <x:f t="shared" si="39"/>
        <x:v>0</x:v>
      </x:c>
      <x:c r="AM220" s="6"/>
      <x:c r="AN220" s="6"/>
    </x:row>
    <x:row r="221">
      <x:c r="A221" s="3" t="str">
        <x:f t="shared" si="30"/>
      </x:c>
      <x:c r="B221" s="9"/>
      <x:c r="C221" s="36"/>
      <x:c r="D221" s="6"/>
      <x:c r="E221" s="3" t="str">
        <x:f>IF(D221="","",IFERROR(VLOOKUP(D221,'Base Sectores'!$A$5:$J$47,2,FALSE),""))</x:f>
      </x:c>
      <x:c r="F221" s="40" t="str">
        <x:f>IF(D221="","",IFERROR(VLOOKUP(D221,'Base Sectores'!$A$5:$J$47,3,FALSE),""))</x:f>
      </x:c>
      <x:c r="G221" s="3" t="str">
        <x:f>IF(D221="","",IFERROR(VLOOKUP(D221,'Base Sectores'!$A$5:$J$47,4,FALSE),""))</x:f>
      </x:c>
      <x:c r="H221" s="3" t="str">
        <x:f>IF(D221="","",IFERROR(VLOOKUP(D221,'Base Sectores'!$A$5:$J$47,5,FALSE),""))</x:f>
      </x:c>
      <x:c r="I221" s="3" t="str">
        <x:f>IF(D221="","",IFERROR(VLOOKUP(D221,'Base Sectores'!$A$5:$J$47,6,FALSE),""))</x:f>
      </x:c>
      <x:c r="J221" s="3" t="str">
        <x:f>IF(D221="","",IFERROR(VLOOKUP(D221,'Base Sectores'!$A$5:$J$47,7,FALSE),""))</x:f>
      </x:c>
      <x:c r="K221" s="3" t="str">
        <x:f>IF(D221="","",IFERROR(VLOOKUP(D221,'Base Sectores'!$A$5:$J$47,9,FALSE),""))</x:f>
      </x:c>
      <x:c r="L221" s="6"/>
      <x:c r="M221" s="3" t="str">
        <x:f>IF(L221="","",IFERROR(VLOOKUP(L221,Configuracion!$D$4:$H$15,2,FALSE),""))</x:f>
      </x:c>
      <x:c r="N221" s="3" t="str">
        <x:f>IF(L221="","",IFERROR(VLOOKUP(L221,Configuracion!$D$4:$H$15,3,FALSE),""))</x:f>
      </x:c>
      <x:c r="O221" s="6"/>
      <x:c r="P221" s="3" t="str">
        <x:f>IF(L221="","",IFERROR(VLOOKUP(L221,Configuracion!$D$4:$H$15,4,FALSE),0))</x:f>
      </x:c>
      <x:c r="Q221" s="10"/>
      <x:c r="R221" s="10"/>
      <x:c r="S221" s="4" t="str">
        <x:f t="shared" si="31"/>
      </x:c>
      <x:c r="T221" s="6"/>
      <x:c r="U221" s="6"/>
      <x:c r="V221" s="6"/>
      <x:c r="W221" s="6"/>
      <x:c r="X221" s="6"/>
      <x:c r="Y221" s="6"/>
      <x:c r="Z221" s="6"/>
      <x:c r="AA221" s="6"/>
      <x:c r="AB221" s="6"/>
      <x:c r="AC221" s="10"/>
      <x:c r="AD221" s="10"/>
      <x:c r="AE221" s="4" t="str">
        <x:f t="shared" si="32"/>
      </x:c>
      <x:c r="AF221" s="4" t="str">
        <x:f t="shared" si="33"/>
      </x:c>
      <x:c r="AG221" s="4" t="str">
        <x:f t="shared" si="34"/>
      </x:c>
      <x:c r="AH221" s="11">
        <x:f t="shared" si="35"/>
        <x:v>0</x:v>
      </x:c>
      <x:c r="AI221" s="4" t="str">
        <x:f t="shared" si="36"/>
      </x:c>
      <x:c r="AJ221" s="4">
        <x:f t="shared" si="37"/>
        <x:v>0</x:v>
      </x:c>
      <x:c r="AK221" s="4">
        <x:f t="shared" si="38"/>
        <x:v>0</x:v>
      </x:c>
      <x:c r="AL221" s="11">
        <x:f t="shared" si="39"/>
        <x:v>0</x:v>
      </x:c>
      <x:c r="AM221" s="6"/>
      <x:c r="AN221" s="6"/>
    </x:row>
    <x:row r="222">
      <x:c r="A222" s="3" t="str">
        <x:f t="shared" si="30"/>
      </x:c>
      <x:c r="B222" s="9"/>
      <x:c r="C222" s="36"/>
      <x:c r="D222" s="6"/>
      <x:c r="E222" s="3" t="str">
        <x:f>IF(D222="","",IFERROR(VLOOKUP(D222,'Base Sectores'!$A$5:$J$47,2,FALSE),""))</x:f>
      </x:c>
      <x:c r="F222" s="40" t="str">
        <x:f>IF(D222="","",IFERROR(VLOOKUP(D222,'Base Sectores'!$A$5:$J$47,3,FALSE),""))</x:f>
      </x:c>
      <x:c r="G222" s="3" t="str">
        <x:f>IF(D222="","",IFERROR(VLOOKUP(D222,'Base Sectores'!$A$5:$J$47,4,FALSE),""))</x:f>
      </x:c>
      <x:c r="H222" s="3" t="str">
        <x:f>IF(D222="","",IFERROR(VLOOKUP(D222,'Base Sectores'!$A$5:$J$47,5,FALSE),""))</x:f>
      </x:c>
      <x:c r="I222" s="3" t="str">
        <x:f>IF(D222="","",IFERROR(VLOOKUP(D222,'Base Sectores'!$A$5:$J$47,6,FALSE),""))</x:f>
      </x:c>
      <x:c r="J222" s="3" t="str">
        <x:f>IF(D222="","",IFERROR(VLOOKUP(D222,'Base Sectores'!$A$5:$J$47,7,FALSE),""))</x:f>
      </x:c>
      <x:c r="K222" s="3" t="str">
        <x:f>IF(D222="","",IFERROR(VLOOKUP(D222,'Base Sectores'!$A$5:$J$47,9,FALSE),""))</x:f>
      </x:c>
      <x:c r="L222" s="6"/>
      <x:c r="M222" s="3" t="str">
        <x:f>IF(L222="","",IFERROR(VLOOKUP(L222,Configuracion!$D$4:$H$15,2,FALSE),""))</x:f>
      </x:c>
      <x:c r="N222" s="3" t="str">
        <x:f>IF(L222="","",IFERROR(VLOOKUP(L222,Configuracion!$D$4:$H$15,3,FALSE),""))</x:f>
      </x:c>
      <x:c r="O222" s="6"/>
      <x:c r="P222" s="3" t="str">
        <x:f>IF(L222="","",IFERROR(VLOOKUP(L222,Configuracion!$D$4:$H$15,4,FALSE),0))</x:f>
      </x:c>
      <x:c r="Q222" s="10"/>
      <x:c r="R222" s="10"/>
      <x:c r="S222" s="4" t="str">
        <x:f t="shared" si="31"/>
      </x:c>
      <x:c r="T222" s="6"/>
      <x:c r="U222" s="6"/>
      <x:c r="V222" s="6"/>
      <x:c r="W222" s="6"/>
      <x:c r="X222" s="6"/>
      <x:c r="Y222" s="6"/>
      <x:c r="Z222" s="6"/>
      <x:c r="AA222" s="6"/>
      <x:c r="AB222" s="6"/>
      <x:c r="AC222" s="10"/>
      <x:c r="AD222" s="10"/>
      <x:c r="AE222" s="4" t="str">
        <x:f t="shared" si="32"/>
      </x:c>
      <x:c r="AF222" s="4" t="str">
        <x:f t="shared" si="33"/>
      </x:c>
      <x:c r="AG222" s="4" t="str">
        <x:f t="shared" si="34"/>
      </x:c>
      <x:c r="AH222" s="11">
        <x:f t="shared" si="35"/>
        <x:v>0</x:v>
      </x:c>
      <x:c r="AI222" s="4" t="str">
        <x:f t="shared" si="36"/>
      </x:c>
      <x:c r="AJ222" s="4">
        <x:f t="shared" si="37"/>
        <x:v>0</x:v>
      </x:c>
      <x:c r="AK222" s="4">
        <x:f t="shared" si="38"/>
        <x:v>0</x:v>
      </x:c>
      <x:c r="AL222" s="11">
        <x:f t="shared" si="39"/>
        <x:v>0</x:v>
      </x:c>
      <x:c r="AM222" s="6"/>
      <x:c r="AN222" s="6"/>
    </x:row>
    <x:row r="223">
      <x:c r="A223" s="3" t="str">
        <x:f t="shared" si="30"/>
      </x:c>
      <x:c r="B223" s="9"/>
      <x:c r="C223" s="36"/>
      <x:c r="D223" s="6"/>
      <x:c r="E223" s="3" t="str">
        <x:f>IF(D223="","",IFERROR(VLOOKUP(D223,'Base Sectores'!$A$5:$J$47,2,FALSE),""))</x:f>
      </x:c>
      <x:c r="F223" s="40" t="str">
        <x:f>IF(D223="","",IFERROR(VLOOKUP(D223,'Base Sectores'!$A$5:$J$47,3,FALSE),""))</x:f>
      </x:c>
      <x:c r="G223" s="3" t="str">
        <x:f>IF(D223="","",IFERROR(VLOOKUP(D223,'Base Sectores'!$A$5:$J$47,4,FALSE),""))</x:f>
      </x:c>
      <x:c r="H223" s="3" t="str">
        <x:f>IF(D223="","",IFERROR(VLOOKUP(D223,'Base Sectores'!$A$5:$J$47,5,FALSE),""))</x:f>
      </x:c>
      <x:c r="I223" s="3" t="str">
        <x:f>IF(D223="","",IFERROR(VLOOKUP(D223,'Base Sectores'!$A$5:$J$47,6,FALSE),""))</x:f>
      </x:c>
      <x:c r="J223" s="3" t="str">
        <x:f>IF(D223="","",IFERROR(VLOOKUP(D223,'Base Sectores'!$A$5:$J$47,7,FALSE),""))</x:f>
      </x:c>
      <x:c r="K223" s="3" t="str">
        <x:f>IF(D223="","",IFERROR(VLOOKUP(D223,'Base Sectores'!$A$5:$J$47,9,FALSE),""))</x:f>
      </x:c>
      <x:c r="L223" s="6"/>
      <x:c r="M223" s="3" t="str">
        <x:f>IF(L223="","",IFERROR(VLOOKUP(L223,Configuracion!$D$4:$H$15,2,FALSE),""))</x:f>
      </x:c>
      <x:c r="N223" s="3" t="str">
        <x:f>IF(L223="","",IFERROR(VLOOKUP(L223,Configuracion!$D$4:$H$15,3,FALSE),""))</x:f>
      </x:c>
      <x:c r="O223" s="6"/>
      <x:c r="P223" s="3" t="str">
        <x:f>IF(L223="","",IFERROR(VLOOKUP(L223,Configuracion!$D$4:$H$15,4,FALSE),0))</x:f>
      </x:c>
      <x:c r="Q223" s="10"/>
      <x:c r="R223" s="10"/>
      <x:c r="S223" s="4" t="str">
        <x:f t="shared" si="31"/>
      </x:c>
      <x:c r="T223" s="6"/>
      <x:c r="U223" s="6"/>
      <x:c r="V223" s="6"/>
      <x:c r="W223" s="6"/>
      <x:c r="X223" s="6"/>
      <x:c r="Y223" s="6"/>
      <x:c r="Z223" s="6"/>
      <x:c r="AA223" s="6"/>
      <x:c r="AB223" s="6"/>
      <x:c r="AC223" s="10"/>
      <x:c r="AD223" s="10"/>
      <x:c r="AE223" s="4" t="str">
        <x:f t="shared" si="32"/>
      </x:c>
      <x:c r="AF223" s="4" t="str">
        <x:f t="shared" si="33"/>
      </x:c>
      <x:c r="AG223" s="4" t="str">
        <x:f t="shared" si="34"/>
      </x:c>
      <x:c r="AH223" s="11">
        <x:f t="shared" si="35"/>
        <x:v>0</x:v>
      </x:c>
      <x:c r="AI223" s="4" t="str">
        <x:f t="shared" si="36"/>
      </x:c>
      <x:c r="AJ223" s="4">
        <x:f t="shared" si="37"/>
        <x:v>0</x:v>
      </x:c>
      <x:c r="AK223" s="4">
        <x:f t="shared" si="38"/>
        <x:v>0</x:v>
      </x:c>
      <x:c r="AL223" s="11">
        <x:f t="shared" si="39"/>
        <x:v>0</x:v>
      </x:c>
      <x:c r="AM223" s="6"/>
      <x:c r="AN223" s="6"/>
    </x:row>
    <x:row r="224">
      <x:c r="A224" s="3" t="str">
        <x:f t="shared" si="30"/>
      </x:c>
      <x:c r="B224" s="9"/>
      <x:c r="C224" s="36"/>
      <x:c r="D224" s="6"/>
      <x:c r="E224" s="3" t="str">
        <x:f>IF(D224="","",IFERROR(VLOOKUP(D224,'Base Sectores'!$A$5:$J$47,2,FALSE),""))</x:f>
      </x:c>
      <x:c r="F224" s="40" t="str">
        <x:f>IF(D224="","",IFERROR(VLOOKUP(D224,'Base Sectores'!$A$5:$J$47,3,FALSE),""))</x:f>
      </x:c>
      <x:c r="G224" s="3" t="str">
        <x:f>IF(D224="","",IFERROR(VLOOKUP(D224,'Base Sectores'!$A$5:$J$47,4,FALSE),""))</x:f>
      </x:c>
      <x:c r="H224" s="3" t="str">
        <x:f>IF(D224="","",IFERROR(VLOOKUP(D224,'Base Sectores'!$A$5:$J$47,5,FALSE),""))</x:f>
      </x:c>
      <x:c r="I224" s="3" t="str">
        <x:f>IF(D224="","",IFERROR(VLOOKUP(D224,'Base Sectores'!$A$5:$J$47,6,FALSE),""))</x:f>
      </x:c>
      <x:c r="J224" s="3" t="str">
        <x:f>IF(D224="","",IFERROR(VLOOKUP(D224,'Base Sectores'!$A$5:$J$47,7,FALSE),""))</x:f>
      </x:c>
      <x:c r="K224" s="3" t="str">
        <x:f>IF(D224="","",IFERROR(VLOOKUP(D224,'Base Sectores'!$A$5:$J$47,9,FALSE),""))</x:f>
      </x:c>
      <x:c r="L224" s="6"/>
      <x:c r="M224" s="3" t="str">
        <x:f>IF(L224="","",IFERROR(VLOOKUP(L224,Configuracion!$D$4:$H$15,2,FALSE),""))</x:f>
      </x:c>
      <x:c r="N224" s="3" t="str">
        <x:f>IF(L224="","",IFERROR(VLOOKUP(L224,Configuracion!$D$4:$H$15,3,FALSE),""))</x:f>
      </x:c>
      <x:c r="O224" s="6"/>
      <x:c r="P224" s="3" t="str">
        <x:f>IF(L224="","",IFERROR(VLOOKUP(L224,Configuracion!$D$4:$H$15,4,FALSE),0))</x:f>
      </x:c>
      <x:c r="Q224" s="10"/>
      <x:c r="R224" s="10"/>
      <x:c r="S224" s="4" t="str">
        <x:f t="shared" si="31"/>
      </x:c>
      <x:c r="T224" s="6"/>
      <x:c r="U224" s="6"/>
      <x:c r="V224" s="6"/>
      <x:c r="W224" s="6"/>
      <x:c r="X224" s="6"/>
      <x:c r="Y224" s="6"/>
      <x:c r="Z224" s="6"/>
      <x:c r="AA224" s="6"/>
      <x:c r="AB224" s="6"/>
      <x:c r="AC224" s="10"/>
      <x:c r="AD224" s="10"/>
      <x:c r="AE224" s="4" t="str">
        <x:f t="shared" si="32"/>
      </x:c>
      <x:c r="AF224" s="4" t="str">
        <x:f t="shared" si="33"/>
      </x:c>
      <x:c r="AG224" s="4" t="str">
        <x:f t="shared" si="34"/>
      </x:c>
      <x:c r="AH224" s="11">
        <x:f t="shared" si="35"/>
        <x:v>0</x:v>
      </x:c>
      <x:c r="AI224" s="4" t="str">
        <x:f t="shared" si="36"/>
      </x:c>
      <x:c r="AJ224" s="4">
        <x:f t="shared" si="37"/>
        <x:v>0</x:v>
      </x:c>
      <x:c r="AK224" s="4">
        <x:f t="shared" si="38"/>
        <x:v>0</x:v>
      </x:c>
      <x:c r="AL224" s="11">
        <x:f t="shared" si="39"/>
        <x:v>0</x:v>
      </x:c>
      <x:c r="AM224" s="6"/>
      <x:c r="AN224" s="6"/>
    </x:row>
    <x:row r="225">
      <x:c r="A225" s="3" t="str">
        <x:f t="shared" si="30"/>
      </x:c>
      <x:c r="B225" s="9"/>
      <x:c r="C225" s="36"/>
      <x:c r="D225" s="6"/>
      <x:c r="E225" s="3" t="str">
        <x:f>IF(D225="","",IFERROR(VLOOKUP(D225,'Base Sectores'!$A$5:$J$47,2,FALSE),""))</x:f>
      </x:c>
      <x:c r="F225" s="40" t="str">
        <x:f>IF(D225="","",IFERROR(VLOOKUP(D225,'Base Sectores'!$A$5:$J$47,3,FALSE),""))</x:f>
      </x:c>
      <x:c r="G225" s="3" t="str">
        <x:f>IF(D225="","",IFERROR(VLOOKUP(D225,'Base Sectores'!$A$5:$J$47,4,FALSE),""))</x:f>
      </x:c>
      <x:c r="H225" s="3" t="str">
        <x:f>IF(D225="","",IFERROR(VLOOKUP(D225,'Base Sectores'!$A$5:$J$47,5,FALSE),""))</x:f>
      </x:c>
      <x:c r="I225" s="3" t="str">
        <x:f>IF(D225="","",IFERROR(VLOOKUP(D225,'Base Sectores'!$A$5:$J$47,6,FALSE),""))</x:f>
      </x:c>
      <x:c r="J225" s="3" t="str">
        <x:f>IF(D225="","",IFERROR(VLOOKUP(D225,'Base Sectores'!$A$5:$J$47,7,FALSE),""))</x:f>
      </x:c>
      <x:c r="K225" s="3" t="str">
        <x:f>IF(D225="","",IFERROR(VLOOKUP(D225,'Base Sectores'!$A$5:$J$47,9,FALSE),""))</x:f>
      </x:c>
      <x:c r="L225" s="6"/>
      <x:c r="M225" s="3" t="str">
        <x:f>IF(L225="","",IFERROR(VLOOKUP(L225,Configuracion!$D$4:$H$15,2,FALSE),""))</x:f>
      </x:c>
      <x:c r="N225" s="3" t="str">
        <x:f>IF(L225="","",IFERROR(VLOOKUP(L225,Configuracion!$D$4:$H$15,3,FALSE),""))</x:f>
      </x:c>
      <x:c r="O225" s="6"/>
      <x:c r="P225" s="3" t="str">
        <x:f>IF(L225="","",IFERROR(VLOOKUP(L225,Configuracion!$D$4:$H$15,4,FALSE),0))</x:f>
      </x:c>
      <x:c r="Q225" s="10"/>
      <x:c r="R225" s="10"/>
      <x:c r="S225" s="4" t="str">
        <x:f t="shared" si="31"/>
      </x:c>
      <x:c r="T225" s="6"/>
      <x:c r="U225" s="6"/>
      <x:c r="V225" s="6"/>
      <x:c r="W225" s="6"/>
      <x:c r="X225" s="6"/>
      <x:c r="Y225" s="6"/>
      <x:c r="Z225" s="6"/>
      <x:c r="AA225" s="6"/>
      <x:c r="AB225" s="6"/>
      <x:c r="AC225" s="10"/>
      <x:c r="AD225" s="10"/>
      <x:c r="AE225" s="4" t="str">
        <x:f t="shared" si="32"/>
      </x:c>
      <x:c r="AF225" s="4" t="str">
        <x:f t="shared" si="33"/>
      </x:c>
      <x:c r="AG225" s="4" t="str">
        <x:f t="shared" si="34"/>
      </x:c>
      <x:c r="AH225" s="11">
        <x:f t="shared" si="35"/>
        <x:v>0</x:v>
      </x:c>
      <x:c r="AI225" s="4" t="str">
        <x:f t="shared" si="36"/>
      </x:c>
      <x:c r="AJ225" s="4">
        <x:f t="shared" si="37"/>
        <x:v>0</x:v>
      </x:c>
      <x:c r="AK225" s="4">
        <x:f t="shared" si="38"/>
        <x:v>0</x:v>
      </x:c>
      <x:c r="AL225" s="11">
        <x:f t="shared" si="39"/>
        <x:v>0</x:v>
      </x:c>
      <x:c r="AM225" s="6"/>
      <x:c r="AN225" s="6"/>
    </x:row>
    <x:row r="226">
      <x:c r="A226" s="3" t="str">
        <x:f t="shared" si="30"/>
      </x:c>
      <x:c r="B226" s="9"/>
      <x:c r="C226" s="36"/>
      <x:c r="D226" s="6"/>
      <x:c r="E226" s="3" t="str">
        <x:f>IF(D226="","",IFERROR(VLOOKUP(D226,'Base Sectores'!$A$5:$J$47,2,FALSE),""))</x:f>
      </x:c>
      <x:c r="F226" s="40" t="str">
        <x:f>IF(D226="","",IFERROR(VLOOKUP(D226,'Base Sectores'!$A$5:$J$47,3,FALSE),""))</x:f>
      </x:c>
      <x:c r="G226" s="3" t="str">
        <x:f>IF(D226="","",IFERROR(VLOOKUP(D226,'Base Sectores'!$A$5:$J$47,4,FALSE),""))</x:f>
      </x:c>
      <x:c r="H226" s="3" t="str">
        <x:f>IF(D226="","",IFERROR(VLOOKUP(D226,'Base Sectores'!$A$5:$J$47,5,FALSE),""))</x:f>
      </x:c>
      <x:c r="I226" s="3" t="str">
        <x:f>IF(D226="","",IFERROR(VLOOKUP(D226,'Base Sectores'!$A$5:$J$47,6,FALSE),""))</x:f>
      </x:c>
      <x:c r="J226" s="3" t="str">
        <x:f>IF(D226="","",IFERROR(VLOOKUP(D226,'Base Sectores'!$A$5:$J$47,7,FALSE),""))</x:f>
      </x:c>
      <x:c r="K226" s="3" t="str">
        <x:f>IF(D226="","",IFERROR(VLOOKUP(D226,'Base Sectores'!$A$5:$J$47,9,FALSE),""))</x:f>
      </x:c>
      <x:c r="L226" s="6"/>
      <x:c r="M226" s="3" t="str">
        <x:f>IF(L226="","",IFERROR(VLOOKUP(L226,Configuracion!$D$4:$H$15,2,FALSE),""))</x:f>
      </x:c>
      <x:c r="N226" s="3" t="str">
        <x:f>IF(L226="","",IFERROR(VLOOKUP(L226,Configuracion!$D$4:$H$15,3,FALSE),""))</x:f>
      </x:c>
      <x:c r="O226" s="6"/>
      <x:c r="P226" s="3" t="str">
        <x:f>IF(L226="","",IFERROR(VLOOKUP(L226,Configuracion!$D$4:$H$15,4,FALSE),0))</x:f>
      </x:c>
      <x:c r="Q226" s="10"/>
      <x:c r="R226" s="10"/>
      <x:c r="S226" s="4" t="str">
        <x:f t="shared" si="31"/>
      </x:c>
      <x:c r="T226" s="6"/>
      <x:c r="U226" s="6"/>
      <x:c r="V226" s="6"/>
      <x:c r="W226" s="6"/>
      <x:c r="X226" s="6"/>
      <x:c r="Y226" s="6"/>
      <x:c r="Z226" s="6"/>
      <x:c r="AA226" s="6"/>
      <x:c r="AB226" s="6"/>
      <x:c r="AC226" s="10"/>
      <x:c r="AD226" s="10"/>
      <x:c r="AE226" s="4" t="str">
        <x:f t="shared" si="32"/>
      </x:c>
      <x:c r="AF226" s="4" t="str">
        <x:f t="shared" si="33"/>
      </x:c>
      <x:c r="AG226" s="4" t="str">
        <x:f t="shared" si="34"/>
      </x:c>
      <x:c r="AH226" s="11">
        <x:f t="shared" si="35"/>
        <x:v>0</x:v>
      </x:c>
      <x:c r="AI226" s="4" t="str">
        <x:f t="shared" si="36"/>
      </x:c>
      <x:c r="AJ226" s="4">
        <x:f t="shared" si="37"/>
        <x:v>0</x:v>
      </x:c>
      <x:c r="AK226" s="4">
        <x:f t="shared" si="38"/>
        <x:v>0</x:v>
      </x:c>
      <x:c r="AL226" s="11">
        <x:f t="shared" si="39"/>
        <x:v>0</x:v>
      </x:c>
      <x:c r="AM226" s="6"/>
      <x:c r="AN226" s="6"/>
    </x:row>
    <x:row r="227">
      <x:c r="A227" s="3" t="str">
        <x:f t="shared" si="30"/>
      </x:c>
      <x:c r="B227" s="9"/>
      <x:c r="C227" s="36"/>
      <x:c r="D227" s="6"/>
      <x:c r="E227" s="3" t="str">
        <x:f>IF(D227="","",IFERROR(VLOOKUP(D227,'Base Sectores'!$A$5:$J$47,2,FALSE),""))</x:f>
      </x:c>
      <x:c r="F227" s="40" t="str">
        <x:f>IF(D227="","",IFERROR(VLOOKUP(D227,'Base Sectores'!$A$5:$J$47,3,FALSE),""))</x:f>
      </x:c>
      <x:c r="G227" s="3" t="str">
        <x:f>IF(D227="","",IFERROR(VLOOKUP(D227,'Base Sectores'!$A$5:$J$47,4,FALSE),""))</x:f>
      </x:c>
      <x:c r="H227" s="3" t="str">
        <x:f>IF(D227="","",IFERROR(VLOOKUP(D227,'Base Sectores'!$A$5:$J$47,5,FALSE),""))</x:f>
      </x:c>
      <x:c r="I227" s="3" t="str">
        <x:f>IF(D227="","",IFERROR(VLOOKUP(D227,'Base Sectores'!$A$5:$J$47,6,FALSE),""))</x:f>
      </x:c>
      <x:c r="J227" s="3" t="str">
        <x:f>IF(D227="","",IFERROR(VLOOKUP(D227,'Base Sectores'!$A$5:$J$47,7,FALSE),""))</x:f>
      </x:c>
      <x:c r="K227" s="3" t="str">
        <x:f>IF(D227="","",IFERROR(VLOOKUP(D227,'Base Sectores'!$A$5:$J$47,9,FALSE),""))</x:f>
      </x:c>
      <x:c r="L227" s="6"/>
      <x:c r="M227" s="3" t="str">
        <x:f>IF(L227="","",IFERROR(VLOOKUP(L227,Configuracion!$D$4:$H$15,2,FALSE),""))</x:f>
      </x:c>
      <x:c r="N227" s="3" t="str">
        <x:f>IF(L227="","",IFERROR(VLOOKUP(L227,Configuracion!$D$4:$H$15,3,FALSE),""))</x:f>
      </x:c>
      <x:c r="O227" s="6"/>
      <x:c r="P227" s="3" t="str">
        <x:f>IF(L227="","",IFERROR(VLOOKUP(L227,Configuracion!$D$4:$H$15,4,FALSE),0))</x:f>
      </x:c>
      <x:c r="Q227" s="10"/>
      <x:c r="R227" s="10"/>
      <x:c r="S227" s="4" t="str">
        <x:f t="shared" si="31"/>
      </x:c>
      <x:c r="T227" s="6"/>
      <x:c r="U227" s="6"/>
      <x:c r="V227" s="6"/>
      <x:c r="W227" s="6"/>
      <x:c r="X227" s="6"/>
      <x:c r="Y227" s="6"/>
      <x:c r="Z227" s="6"/>
      <x:c r="AA227" s="6"/>
      <x:c r="AB227" s="6"/>
      <x:c r="AC227" s="10"/>
      <x:c r="AD227" s="10"/>
      <x:c r="AE227" s="4" t="str">
        <x:f t="shared" si="32"/>
      </x:c>
      <x:c r="AF227" s="4" t="str">
        <x:f t="shared" si="33"/>
      </x:c>
      <x:c r="AG227" s="4" t="str">
        <x:f t="shared" si="34"/>
      </x:c>
      <x:c r="AH227" s="11">
        <x:f t="shared" si="35"/>
        <x:v>0</x:v>
      </x:c>
      <x:c r="AI227" s="4" t="str">
        <x:f t="shared" si="36"/>
      </x:c>
      <x:c r="AJ227" s="4">
        <x:f t="shared" si="37"/>
        <x:v>0</x:v>
      </x:c>
      <x:c r="AK227" s="4">
        <x:f t="shared" si="38"/>
        <x:v>0</x:v>
      </x:c>
      <x:c r="AL227" s="11">
        <x:f t="shared" si="39"/>
        <x:v>0</x:v>
      </x:c>
      <x:c r="AM227" s="6"/>
      <x:c r="AN227" s="6"/>
    </x:row>
    <x:row r="228">
      <x:c r="A228" s="3" t="str">
        <x:f t="shared" si="30"/>
      </x:c>
      <x:c r="B228" s="9"/>
      <x:c r="C228" s="36"/>
      <x:c r="D228" s="6"/>
      <x:c r="E228" s="3" t="str">
        <x:f>IF(D228="","",IFERROR(VLOOKUP(D228,'Base Sectores'!$A$5:$J$47,2,FALSE),""))</x:f>
      </x:c>
      <x:c r="F228" s="40" t="str">
        <x:f>IF(D228="","",IFERROR(VLOOKUP(D228,'Base Sectores'!$A$5:$J$47,3,FALSE),""))</x:f>
      </x:c>
      <x:c r="G228" s="3" t="str">
        <x:f>IF(D228="","",IFERROR(VLOOKUP(D228,'Base Sectores'!$A$5:$J$47,4,FALSE),""))</x:f>
      </x:c>
      <x:c r="H228" s="3" t="str">
        <x:f>IF(D228="","",IFERROR(VLOOKUP(D228,'Base Sectores'!$A$5:$J$47,5,FALSE),""))</x:f>
      </x:c>
      <x:c r="I228" s="3" t="str">
        <x:f>IF(D228="","",IFERROR(VLOOKUP(D228,'Base Sectores'!$A$5:$J$47,6,FALSE),""))</x:f>
      </x:c>
      <x:c r="J228" s="3" t="str">
        <x:f>IF(D228="","",IFERROR(VLOOKUP(D228,'Base Sectores'!$A$5:$J$47,7,FALSE),""))</x:f>
      </x:c>
      <x:c r="K228" s="3" t="str">
        <x:f>IF(D228="","",IFERROR(VLOOKUP(D228,'Base Sectores'!$A$5:$J$47,9,FALSE),""))</x:f>
      </x:c>
      <x:c r="L228" s="6"/>
      <x:c r="M228" s="3" t="str">
        <x:f>IF(L228="","",IFERROR(VLOOKUP(L228,Configuracion!$D$4:$H$15,2,FALSE),""))</x:f>
      </x:c>
      <x:c r="N228" s="3" t="str">
        <x:f>IF(L228="","",IFERROR(VLOOKUP(L228,Configuracion!$D$4:$H$15,3,FALSE),""))</x:f>
      </x:c>
      <x:c r="O228" s="6"/>
      <x:c r="P228" s="3" t="str">
        <x:f>IF(L228="","",IFERROR(VLOOKUP(L228,Configuracion!$D$4:$H$15,4,FALSE),0))</x:f>
      </x:c>
      <x:c r="Q228" s="10"/>
      <x:c r="R228" s="10"/>
      <x:c r="S228" s="4" t="str">
        <x:f t="shared" si="31"/>
      </x:c>
      <x:c r="T228" s="6"/>
      <x:c r="U228" s="6"/>
      <x:c r="V228" s="6"/>
      <x:c r="W228" s="6"/>
      <x:c r="X228" s="6"/>
      <x:c r="Y228" s="6"/>
      <x:c r="Z228" s="6"/>
      <x:c r="AA228" s="6"/>
      <x:c r="AB228" s="6"/>
      <x:c r="AC228" s="10"/>
      <x:c r="AD228" s="10"/>
      <x:c r="AE228" s="4" t="str">
        <x:f t="shared" si="32"/>
      </x:c>
      <x:c r="AF228" s="4" t="str">
        <x:f t="shared" si="33"/>
      </x:c>
      <x:c r="AG228" s="4" t="str">
        <x:f t="shared" si="34"/>
      </x:c>
      <x:c r="AH228" s="11">
        <x:f t="shared" si="35"/>
        <x:v>0</x:v>
      </x:c>
      <x:c r="AI228" s="4" t="str">
        <x:f t="shared" si="36"/>
      </x:c>
      <x:c r="AJ228" s="4">
        <x:f t="shared" si="37"/>
        <x:v>0</x:v>
      </x:c>
      <x:c r="AK228" s="4">
        <x:f t="shared" si="38"/>
        <x:v>0</x:v>
      </x:c>
      <x:c r="AL228" s="11">
        <x:f t="shared" si="39"/>
        <x:v>0</x:v>
      </x:c>
      <x:c r="AM228" s="6"/>
      <x:c r="AN228" s="6"/>
    </x:row>
    <x:row r="229">
      <x:c r="A229" s="3" t="str">
        <x:f t="shared" si="30"/>
      </x:c>
      <x:c r="B229" s="9"/>
      <x:c r="C229" s="36"/>
      <x:c r="D229" s="6"/>
      <x:c r="E229" s="3" t="str">
        <x:f>IF(D229="","",IFERROR(VLOOKUP(D229,'Base Sectores'!$A$5:$J$47,2,FALSE),""))</x:f>
      </x:c>
      <x:c r="F229" s="40" t="str">
        <x:f>IF(D229="","",IFERROR(VLOOKUP(D229,'Base Sectores'!$A$5:$J$47,3,FALSE),""))</x:f>
      </x:c>
      <x:c r="G229" s="3" t="str">
        <x:f>IF(D229="","",IFERROR(VLOOKUP(D229,'Base Sectores'!$A$5:$J$47,4,FALSE),""))</x:f>
      </x:c>
      <x:c r="H229" s="3" t="str">
        <x:f>IF(D229="","",IFERROR(VLOOKUP(D229,'Base Sectores'!$A$5:$J$47,5,FALSE),""))</x:f>
      </x:c>
      <x:c r="I229" s="3" t="str">
        <x:f>IF(D229="","",IFERROR(VLOOKUP(D229,'Base Sectores'!$A$5:$J$47,6,FALSE),""))</x:f>
      </x:c>
      <x:c r="J229" s="3" t="str">
        <x:f>IF(D229="","",IFERROR(VLOOKUP(D229,'Base Sectores'!$A$5:$J$47,7,FALSE),""))</x:f>
      </x:c>
      <x:c r="K229" s="3" t="str">
        <x:f>IF(D229="","",IFERROR(VLOOKUP(D229,'Base Sectores'!$A$5:$J$47,9,FALSE),""))</x:f>
      </x:c>
      <x:c r="L229" s="6"/>
      <x:c r="M229" s="3" t="str">
        <x:f>IF(L229="","",IFERROR(VLOOKUP(L229,Configuracion!$D$4:$H$15,2,FALSE),""))</x:f>
      </x:c>
      <x:c r="N229" s="3" t="str">
        <x:f>IF(L229="","",IFERROR(VLOOKUP(L229,Configuracion!$D$4:$H$15,3,FALSE),""))</x:f>
      </x:c>
      <x:c r="O229" s="6"/>
      <x:c r="P229" s="3" t="str">
        <x:f>IF(L229="","",IFERROR(VLOOKUP(L229,Configuracion!$D$4:$H$15,4,FALSE),0))</x:f>
      </x:c>
      <x:c r="Q229" s="10"/>
      <x:c r="R229" s="10"/>
      <x:c r="S229" s="4" t="str">
        <x:f t="shared" si="31"/>
      </x:c>
      <x:c r="T229" s="6"/>
      <x:c r="U229" s="6"/>
      <x:c r="V229" s="6"/>
      <x:c r="W229" s="6"/>
      <x:c r="X229" s="6"/>
      <x:c r="Y229" s="6"/>
      <x:c r="Z229" s="6"/>
      <x:c r="AA229" s="6"/>
      <x:c r="AB229" s="6"/>
      <x:c r="AC229" s="10"/>
      <x:c r="AD229" s="10"/>
      <x:c r="AE229" s="4" t="str">
        <x:f t="shared" si="32"/>
      </x:c>
      <x:c r="AF229" s="4" t="str">
        <x:f t="shared" si="33"/>
      </x:c>
      <x:c r="AG229" s="4" t="str">
        <x:f t="shared" si="34"/>
      </x:c>
      <x:c r="AH229" s="11">
        <x:f t="shared" si="35"/>
        <x:v>0</x:v>
      </x:c>
      <x:c r="AI229" s="4" t="str">
        <x:f t="shared" si="36"/>
      </x:c>
      <x:c r="AJ229" s="4">
        <x:f t="shared" si="37"/>
        <x:v>0</x:v>
      </x:c>
      <x:c r="AK229" s="4">
        <x:f t="shared" si="38"/>
        <x:v>0</x:v>
      </x:c>
      <x:c r="AL229" s="11">
        <x:f t="shared" si="39"/>
        <x:v>0</x:v>
      </x:c>
      <x:c r="AM229" s="6"/>
      <x:c r="AN229" s="6"/>
    </x:row>
    <x:row r="230">
      <x:c r="A230" s="3" t="str">
        <x:f t="shared" si="30"/>
      </x:c>
      <x:c r="B230" s="9"/>
      <x:c r="C230" s="36"/>
      <x:c r="D230" s="6"/>
      <x:c r="E230" s="3" t="str">
        <x:f>IF(D230="","",IFERROR(VLOOKUP(D230,'Base Sectores'!$A$5:$J$47,2,FALSE),""))</x:f>
      </x:c>
      <x:c r="F230" s="40" t="str">
        <x:f>IF(D230="","",IFERROR(VLOOKUP(D230,'Base Sectores'!$A$5:$J$47,3,FALSE),""))</x:f>
      </x:c>
      <x:c r="G230" s="3" t="str">
        <x:f>IF(D230="","",IFERROR(VLOOKUP(D230,'Base Sectores'!$A$5:$J$47,4,FALSE),""))</x:f>
      </x:c>
      <x:c r="H230" s="3" t="str">
        <x:f>IF(D230="","",IFERROR(VLOOKUP(D230,'Base Sectores'!$A$5:$J$47,5,FALSE),""))</x:f>
      </x:c>
      <x:c r="I230" s="3" t="str">
        <x:f>IF(D230="","",IFERROR(VLOOKUP(D230,'Base Sectores'!$A$5:$J$47,6,FALSE),""))</x:f>
      </x:c>
      <x:c r="J230" s="3" t="str">
        <x:f>IF(D230="","",IFERROR(VLOOKUP(D230,'Base Sectores'!$A$5:$J$47,7,FALSE),""))</x:f>
      </x:c>
      <x:c r="K230" s="3" t="str">
        <x:f>IF(D230="","",IFERROR(VLOOKUP(D230,'Base Sectores'!$A$5:$J$47,9,FALSE),""))</x:f>
      </x:c>
      <x:c r="L230" s="6"/>
      <x:c r="M230" s="3" t="str">
        <x:f>IF(L230="","",IFERROR(VLOOKUP(L230,Configuracion!$D$4:$H$15,2,FALSE),""))</x:f>
      </x:c>
      <x:c r="N230" s="3" t="str">
        <x:f>IF(L230="","",IFERROR(VLOOKUP(L230,Configuracion!$D$4:$H$15,3,FALSE),""))</x:f>
      </x:c>
      <x:c r="O230" s="6"/>
      <x:c r="P230" s="3" t="str">
        <x:f>IF(L230="","",IFERROR(VLOOKUP(L230,Configuracion!$D$4:$H$15,4,FALSE),0))</x:f>
      </x:c>
      <x:c r="Q230" s="10"/>
      <x:c r="R230" s="10"/>
      <x:c r="S230" s="4" t="str">
        <x:f t="shared" si="31"/>
      </x:c>
      <x:c r="T230" s="6"/>
      <x:c r="U230" s="6"/>
      <x:c r="V230" s="6"/>
      <x:c r="W230" s="6"/>
      <x:c r="X230" s="6"/>
      <x:c r="Y230" s="6"/>
      <x:c r="Z230" s="6"/>
      <x:c r="AA230" s="6"/>
      <x:c r="AB230" s="6"/>
      <x:c r="AC230" s="10"/>
      <x:c r="AD230" s="10"/>
      <x:c r="AE230" s="4" t="str">
        <x:f t="shared" si="32"/>
      </x:c>
      <x:c r="AF230" s="4" t="str">
        <x:f t="shared" si="33"/>
      </x:c>
      <x:c r="AG230" s="4" t="str">
        <x:f t="shared" si="34"/>
      </x:c>
      <x:c r="AH230" s="11">
        <x:f t="shared" si="35"/>
        <x:v>0</x:v>
      </x:c>
      <x:c r="AI230" s="4" t="str">
        <x:f t="shared" si="36"/>
      </x:c>
      <x:c r="AJ230" s="4">
        <x:f t="shared" si="37"/>
        <x:v>0</x:v>
      </x:c>
      <x:c r="AK230" s="4">
        <x:f t="shared" si="38"/>
        <x:v>0</x:v>
      </x:c>
      <x:c r="AL230" s="11">
        <x:f t="shared" si="39"/>
        <x:v>0</x:v>
      </x:c>
      <x:c r="AM230" s="6"/>
      <x:c r="AN230" s="6"/>
    </x:row>
    <x:row r="231">
      <x:c r="A231" s="3" t="str">
        <x:f t="shared" si="30"/>
      </x:c>
      <x:c r="B231" s="9"/>
      <x:c r="C231" s="36"/>
      <x:c r="D231" s="6"/>
      <x:c r="E231" s="3" t="str">
        <x:f>IF(D231="","",IFERROR(VLOOKUP(D231,'Base Sectores'!$A$5:$J$47,2,FALSE),""))</x:f>
      </x:c>
      <x:c r="F231" s="40" t="str">
        <x:f>IF(D231="","",IFERROR(VLOOKUP(D231,'Base Sectores'!$A$5:$J$47,3,FALSE),""))</x:f>
      </x:c>
      <x:c r="G231" s="3" t="str">
        <x:f>IF(D231="","",IFERROR(VLOOKUP(D231,'Base Sectores'!$A$5:$J$47,4,FALSE),""))</x:f>
      </x:c>
      <x:c r="H231" s="3" t="str">
        <x:f>IF(D231="","",IFERROR(VLOOKUP(D231,'Base Sectores'!$A$5:$J$47,5,FALSE),""))</x:f>
      </x:c>
      <x:c r="I231" s="3" t="str">
        <x:f>IF(D231="","",IFERROR(VLOOKUP(D231,'Base Sectores'!$A$5:$J$47,6,FALSE),""))</x:f>
      </x:c>
      <x:c r="J231" s="3" t="str">
        <x:f>IF(D231="","",IFERROR(VLOOKUP(D231,'Base Sectores'!$A$5:$J$47,7,FALSE),""))</x:f>
      </x:c>
      <x:c r="K231" s="3" t="str">
        <x:f>IF(D231="","",IFERROR(VLOOKUP(D231,'Base Sectores'!$A$5:$J$47,9,FALSE),""))</x:f>
      </x:c>
      <x:c r="L231" s="6"/>
      <x:c r="M231" s="3" t="str">
        <x:f>IF(L231="","",IFERROR(VLOOKUP(L231,Configuracion!$D$4:$H$15,2,FALSE),""))</x:f>
      </x:c>
      <x:c r="N231" s="3" t="str">
        <x:f>IF(L231="","",IFERROR(VLOOKUP(L231,Configuracion!$D$4:$H$15,3,FALSE),""))</x:f>
      </x:c>
      <x:c r="O231" s="6"/>
      <x:c r="P231" s="3" t="str">
        <x:f>IF(L231="","",IFERROR(VLOOKUP(L231,Configuracion!$D$4:$H$15,4,FALSE),0))</x:f>
      </x:c>
      <x:c r="Q231" s="10"/>
      <x:c r="R231" s="10"/>
      <x:c r="S231" s="4" t="str">
        <x:f t="shared" si="31"/>
      </x:c>
      <x:c r="T231" s="6"/>
      <x:c r="U231" s="6"/>
      <x:c r="V231" s="6"/>
      <x:c r="W231" s="6"/>
      <x:c r="X231" s="6"/>
      <x:c r="Y231" s="6"/>
      <x:c r="Z231" s="6"/>
      <x:c r="AA231" s="6"/>
      <x:c r="AB231" s="6"/>
      <x:c r="AC231" s="10"/>
      <x:c r="AD231" s="10"/>
      <x:c r="AE231" s="4" t="str">
        <x:f t="shared" si="32"/>
      </x:c>
      <x:c r="AF231" s="4" t="str">
        <x:f t="shared" si="33"/>
      </x:c>
      <x:c r="AG231" s="4" t="str">
        <x:f t="shared" si="34"/>
      </x:c>
      <x:c r="AH231" s="11">
        <x:f t="shared" si="35"/>
        <x:v>0</x:v>
      </x:c>
      <x:c r="AI231" s="4" t="str">
        <x:f t="shared" si="36"/>
      </x:c>
      <x:c r="AJ231" s="4">
        <x:f t="shared" si="37"/>
        <x:v>0</x:v>
      </x:c>
      <x:c r="AK231" s="4">
        <x:f t="shared" si="38"/>
        <x:v>0</x:v>
      </x:c>
      <x:c r="AL231" s="11">
        <x:f t="shared" si="39"/>
        <x:v>0</x:v>
      </x:c>
      <x:c r="AM231" s="6"/>
      <x:c r="AN231" s="6"/>
    </x:row>
    <x:row r="232">
      <x:c r="A232" s="3" t="str">
        <x:f t="shared" si="30"/>
      </x:c>
      <x:c r="B232" s="9"/>
      <x:c r="C232" s="36"/>
      <x:c r="D232" s="6"/>
      <x:c r="E232" s="3" t="str">
        <x:f>IF(D232="","",IFERROR(VLOOKUP(D232,'Base Sectores'!$A$5:$J$47,2,FALSE),""))</x:f>
      </x:c>
      <x:c r="F232" s="40" t="str">
        <x:f>IF(D232="","",IFERROR(VLOOKUP(D232,'Base Sectores'!$A$5:$J$47,3,FALSE),""))</x:f>
      </x:c>
      <x:c r="G232" s="3" t="str">
        <x:f>IF(D232="","",IFERROR(VLOOKUP(D232,'Base Sectores'!$A$5:$J$47,4,FALSE),""))</x:f>
      </x:c>
      <x:c r="H232" s="3" t="str">
        <x:f>IF(D232="","",IFERROR(VLOOKUP(D232,'Base Sectores'!$A$5:$J$47,5,FALSE),""))</x:f>
      </x:c>
      <x:c r="I232" s="3" t="str">
        <x:f>IF(D232="","",IFERROR(VLOOKUP(D232,'Base Sectores'!$A$5:$J$47,6,FALSE),""))</x:f>
      </x:c>
      <x:c r="J232" s="3" t="str">
        <x:f>IF(D232="","",IFERROR(VLOOKUP(D232,'Base Sectores'!$A$5:$J$47,7,FALSE),""))</x:f>
      </x:c>
      <x:c r="K232" s="3" t="str">
        <x:f>IF(D232="","",IFERROR(VLOOKUP(D232,'Base Sectores'!$A$5:$J$47,9,FALSE),""))</x:f>
      </x:c>
      <x:c r="L232" s="6"/>
      <x:c r="M232" s="3" t="str">
        <x:f>IF(L232="","",IFERROR(VLOOKUP(L232,Configuracion!$D$4:$H$15,2,FALSE),""))</x:f>
      </x:c>
      <x:c r="N232" s="3" t="str">
        <x:f>IF(L232="","",IFERROR(VLOOKUP(L232,Configuracion!$D$4:$H$15,3,FALSE),""))</x:f>
      </x:c>
      <x:c r="O232" s="6"/>
      <x:c r="P232" s="3" t="str">
        <x:f>IF(L232="","",IFERROR(VLOOKUP(L232,Configuracion!$D$4:$H$15,4,FALSE),0))</x:f>
      </x:c>
      <x:c r="Q232" s="10"/>
      <x:c r="R232" s="10"/>
      <x:c r="S232" s="4" t="str">
        <x:f t="shared" si="31"/>
      </x:c>
      <x:c r="T232" s="6"/>
      <x:c r="U232" s="6"/>
      <x:c r="V232" s="6"/>
      <x:c r="W232" s="6"/>
      <x:c r="X232" s="6"/>
      <x:c r="Y232" s="6"/>
      <x:c r="Z232" s="6"/>
      <x:c r="AA232" s="6"/>
      <x:c r="AB232" s="6"/>
      <x:c r="AC232" s="10"/>
      <x:c r="AD232" s="10"/>
      <x:c r="AE232" s="4" t="str">
        <x:f t="shared" si="32"/>
      </x:c>
      <x:c r="AF232" s="4" t="str">
        <x:f t="shared" si="33"/>
      </x:c>
      <x:c r="AG232" s="4" t="str">
        <x:f t="shared" si="34"/>
      </x:c>
      <x:c r="AH232" s="11">
        <x:f t="shared" si="35"/>
        <x:v>0</x:v>
      </x:c>
      <x:c r="AI232" s="4" t="str">
        <x:f t="shared" si="36"/>
      </x:c>
      <x:c r="AJ232" s="4">
        <x:f t="shared" si="37"/>
        <x:v>0</x:v>
      </x:c>
      <x:c r="AK232" s="4">
        <x:f t="shared" si="38"/>
        <x:v>0</x:v>
      </x:c>
      <x:c r="AL232" s="11">
        <x:f t="shared" si="39"/>
        <x:v>0</x:v>
      </x:c>
      <x:c r="AM232" s="6"/>
      <x:c r="AN232" s="6"/>
    </x:row>
    <x:row r="233">
      <x:c r="A233" s="3" t="str">
        <x:f t="shared" si="30"/>
      </x:c>
      <x:c r="B233" s="9"/>
      <x:c r="C233" s="36"/>
      <x:c r="D233" s="6"/>
      <x:c r="E233" s="3" t="str">
        <x:f>IF(D233="","",IFERROR(VLOOKUP(D233,'Base Sectores'!$A$5:$J$47,2,FALSE),""))</x:f>
      </x:c>
      <x:c r="F233" s="40" t="str">
        <x:f>IF(D233="","",IFERROR(VLOOKUP(D233,'Base Sectores'!$A$5:$J$47,3,FALSE),""))</x:f>
      </x:c>
      <x:c r="G233" s="3" t="str">
        <x:f>IF(D233="","",IFERROR(VLOOKUP(D233,'Base Sectores'!$A$5:$J$47,4,FALSE),""))</x:f>
      </x:c>
      <x:c r="H233" s="3" t="str">
        <x:f>IF(D233="","",IFERROR(VLOOKUP(D233,'Base Sectores'!$A$5:$J$47,5,FALSE),""))</x:f>
      </x:c>
      <x:c r="I233" s="3" t="str">
        <x:f>IF(D233="","",IFERROR(VLOOKUP(D233,'Base Sectores'!$A$5:$J$47,6,FALSE),""))</x:f>
      </x:c>
      <x:c r="J233" s="3" t="str">
        <x:f>IF(D233="","",IFERROR(VLOOKUP(D233,'Base Sectores'!$A$5:$J$47,7,FALSE),""))</x:f>
      </x:c>
      <x:c r="K233" s="3" t="str">
        <x:f>IF(D233="","",IFERROR(VLOOKUP(D233,'Base Sectores'!$A$5:$J$47,9,FALSE),""))</x:f>
      </x:c>
      <x:c r="L233" s="6"/>
      <x:c r="M233" s="3" t="str">
        <x:f>IF(L233="","",IFERROR(VLOOKUP(L233,Configuracion!$D$4:$H$15,2,FALSE),""))</x:f>
      </x:c>
      <x:c r="N233" s="3" t="str">
        <x:f>IF(L233="","",IFERROR(VLOOKUP(L233,Configuracion!$D$4:$H$15,3,FALSE),""))</x:f>
      </x:c>
      <x:c r="O233" s="6"/>
      <x:c r="P233" s="3" t="str">
        <x:f>IF(L233="","",IFERROR(VLOOKUP(L233,Configuracion!$D$4:$H$15,4,FALSE),0))</x:f>
      </x:c>
      <x:c r="Q233" s="10"/>
      <x:c r="R233" s="10"/>
      <x:c r="S233" s="4" t="str">
        <x:f t="shared" si="31"/>
      </x:c>
      <x:c r="T233" s="6"/>
      <x:c r="U233" s="6"/>
      <x:c r="V233" s="6"/>
      <x:c r="W233" s="6"/>
      <x:c r="X233" s="6"/>
      <x:c r="Y233" s="6"/>
      <x:c r="Z233" s="6"/>
      <x:c r="AA233" s="6"/>
      <x:c r="AB233" s="6"/>
      <x:c r="AC233" s="10"/>
      <x:c r="AD233" s="10"/>
      <x:c r="AE233" s="4" t="str">
        <x:f t="shared" si="32"/>
      </x:c>
      <x:c r="AF233" s="4" t="str">
        <x:f t="shared" si="33"/>
      </x:c>
      <x:c r="AG233" s="4" t="str">
        <x:f t="shared" si="34"/>
      </x:c>
      <x:c r="AH233" s="11">
        <x:f t="shared" si="35"/>
        <x:v>0</x:v>
      </x:c>
      <x:c r="AI233" s="4" t="str">
        <x:f t="shared" si="36"/>
      </x:c>
      <x:c r="AJ233" s="4">
        <x:f t="shared" si="37"/>
        <x:v>0</x:v>
      </x:c>
      <x:c r="AK233" s="4">
        <x:f t="shared" si="38"/>
        <x:v>0</x:v>
      </x:c>
      <x:c r="AL233" s="11">
        <x:f t="shared" si="39"/>
        <x:v>0</x:v>
      </x:c>
      <x:c r="AM233" s="6"/>
      <x:c r="AN233" s="6"/>
    </x:row>
    <x:row r="234">
      <x:c r="A234" s="3" t="str">
        <x:f t="shared" si="30"/>
      </x:c>
      <x:c r="B234" s="9"/>
      <x:c r="C234" s="36"/>
      <x:c r="D234" s="6"/>
      <x:c r="E234" s="3" t="str">
        <x:f>IF(D234="","",IFERROR(VLOOKUP(D234,'Base Sectores'!$A$5:$J$47,2,FALSE),""))</x:f>
      </x:c>
      <x:c r="F234" s="40" t="str">
        <x:f>IF(D234="","",IFERROR(VLOOKUP(D234,'Base Sectores'!$A$5:$J$47,3,FALSE),""))</x:f>
      </x:c>
      <x:c r="G234" s="3" t="str">
        <x:f>IF(D234="","",IFERROR(VLOOKUP(D234,'Base Sectores'!$A$5:$J$47,4,FALSE),""))</x:f>
      </x:c>
      <x:c r="H234" s="3" t="str">
        <x:f>IF(D234="","",IFERROR(VLOOKUP(D234,'Base Sectores'!$A$5:$J$47,5,FALSE),""))</x:f>
      </x:c>
      <x:c r="I234" s="3" t="str">
        <x:f>IF(D234="","",IFERROR(VLOOKUP(D234,'Base Sectores'!$A$5:$J$47,6,FALSE),""))</x:f>
      </x:c>
      <x:c r="J234" s="3" t="str">
        <x:f>IF(D234="","",IFERROR(VLOOKUP(D234,'Base Sectores'!$A$5:$J$47,7,FALSE),""))</x:f>
      </x:c>
      <x:c r="K234" s="3" t="str">
        <x:f>IF(D234="","",IFERROR(VLOOKUP(D234,'Base Sectores'!$A$5:$J$47,9,FALSE),""))</x:f>
      </x:c>
      <x:c r="L234" s="6"/>
      <x:c r="M234" s="3" t="str">
        <x:f>IF(L234="","",IFERROR(VLOOKUP(L234,Configuracion!$D$4:$H$15,2,FALSE),""))</x:f>
      </x:c>
      <x:c r="N234" s="3" t="str">
        <x:f>IF(L234="","",IFERROR(VLOOKUP(L234,Configuracion!$D$4:$H$15,3,FALSE),""))</x:f>
      </x:c>
      <x:c r="O234" s="6"/>
      <x:c r="P234" s="3" t="str">
        <x:f>IF(L234="","",IFERROR(VLOOKUP(L234,Configuracion!$D$4:$H$15,4,FALSE),0))</x:f>
      </x:c>
      <x:c r="Q234" s="10"/>
      <x:c r="R234" s="10"/>
      <x:c r="S234" s="4" t="str">
        <x:f t="shared" si="31"/>
      </x:c>
      <x:c r="T234" s="6"/>
      <x:c r="U234" s="6"/>
      <x:c r="V234" s="6"/>
      <x:c r="W234" s="6"/>
      <x:c r="X234" s="6"/>
      <x:c r="Y234" s="6"/>
      <x:c r="Z234" s="6"/>
      <x:c r="AA234" s="6"/>
      <x:c r="AB234" s="6"/>
      <x:c r="AC234" s="10"/>
      <x:c r="AD234" s="10"/>
      <x:c r="AE234" s="4" t="str">
        <x:f t="shared" si="32"/>
      </x:c>
      <x:c r="AF234" s="4" t="str">
        <x:f t="shared" si="33"/>
      </x:c>
      <x:c r="AG234" s="4" t="str">
        <x:f t="shared" si="34"/>
      </x:c>
      <x:c r="AH234" s="11">
        <x:f t="shared" si="35"/>
        <x:v>0</x:v>
      </x:c>
      <x:c r="AI234" s="4" t="str">
        <x:f t="shared" si="36"/>
      </x:c>
      <x:c r="AJ234" s="4">
        <x:f t="shared" si="37"/>
        <x:v>0</x:v>
      </x:c>
      <x:c r="AK234" s="4">
        <x:f t="shared" si="38"/>
        <x:v>0</x:v>
      </x:c>
      <x:c r="AL234" s="11">
        <x:f t="shared" si="39"/>
        <x:v>0</x:v>
      </x:c>
      <x:c r="AM234" s="6"/>
      <x:c r="AN234" s="6"/>
    </x:row>
    <x:row r="235">
      <x:c r="A235" s="3" t="str">
        <x:f t="shared" si="30"/>
      </x:c>
      <x:c r="B235" s="9"/>
      <x:c r="C235" s="36"/>
      <x:c r="D235" s="6"/>
      <x:c r="E235" s="3" t="str">
        <x:f>IF(D235="","",IFERROR(VLOOKUP(D235,'Base Sectores'!$A$5:$J$47,2,FALSE),""))</x:f>
      </x:c>
      <x:c r="F235" s="40" t="str">
        <x:f>IF(D235="","",IFERROR(VLOOKUP(D235,'Base Sectores'!$A$5:$J$47,3,FALSE),""))</x:f>
      </x:c>
      <x:c r="G235" s="3" t="str">
        <x:f>IF(D235="","",IFERROR(VLOOKUP(D235,'Base Sectores'!$A$5:$J$47,4,FALSE),""))</x:f>
      </x:c>
      <x:c r="H235" s="3" t="str">
        <x:f>IF(D235="","",IFERROR(VLOOKUP(D235,'Base Sectores'!$A$5:$J$47,5,FALSE),""))</x:f>
      </x:c>
      <x:c r="I235" s="3" t="str">
        <x:f>IF(D235="","",IFERROR(VLOOKUP(D235,'Base Sectores'!$A$5:$J$47,6,FALSE),""))</x:f>
      </x:c>
      <x:c r="J235" s="3" t="str">
        <x:f>IF(D235="","",IFERROR(VLOOKUP(D235,'Base Sectores'!$A$5:$J$47,7,FALSE),""))</x:f>
      </x:c>
      <x:c r="K235" s="3" t="str">
        <x:f>IF(D235="","",IFERROR(VLOOKUP(D235,'Base Sectores'!$A$5:$J$47,9,FALSE),""))</x:f>
      </x:c>
      <x:c r="L235" s="6"/>
      <x:c r="M235" s="3" t="str">
        <x:f>IF(L235="","",IFERROR(VLOOKUP(L235,Configuracion!$D$4:$H$15,2,FALSE),""))</x:f>
      </x:c>
      <x:c r="N235" s="3" t="str">
        <x:f>IF(L235="","",IFERROR(VLOOKUP(L235,Configuracion!$D$4:$H$15,3,FALSE),""))</x:f>
      </x:c>
      <x:c r="O235" s="6"/>
      <x:c r="P235" s="3" t="str">
        <x:f>IF(L235="","",IFERROR(VLOOKUP(L235,Configuracion!$D$4:$H$15,4,FALSE),0))</x:f>
      </x:c>
      <x:c r="Q235" s="10"/>
      <x:c r="R235" s="10"/>
      <x:c r="S235" s="4" t="str">
        <x:f t="shared" si="31"/>
      </x:c>
      <x:c r="T235" s="6"/>
      <x:c r="U235" s="6"/>
      <x:c r="V235" s="6"/>
      <x:c r="W235" s="6"/>
      <x:c r="X235" s="6"/>
      <x:c r="Y235" s="6"/>
      <x:c r="Z235" s="6"/>
      <x:c r="AA235" s="6"/>
      <x:c r="AB235" s="6"/>
      <x:c r="AC235" s="10"/>
      <x:c r="AD235" s="10"/>
      <x:c r="AE235" s="4" t="str">
        <x:f t="shared" si="32"/>
      </x:c>
      <x:c r="AF235" s="4" t="str">
        <x:f t="shared" si="33"/>
      </x:c>
      <x:c r="AG235" s="4" t="str">
        <x:f t="shared" si="34"/>
      </x:c>
      <x:c r="AH235" s="11">
        <x:f t="shared" si="35"/>
        <x:v>0</x:v>
      </x:c>
      <x:c r="AI235" s="4" t="str">
        <x:f t="shared" si="36"/>
      </x:c>
      <x:c r="AJ235" s="4">
        <x:f t="shared" si="37"/>
        <x:v>0</x:v>
      </x:c>
      <x:c r="AK235" s="4">
        <x:f t="shared" si="38"/>
        <x:v>0</x:v>
      </x:c>
      <x:c r="AL235" s="11">
        <x:f t="shared" si="39"/>
        <x:v>0</x:v>
      </x:c>
      <x:c r="AM235" s="6"/>
      <x:c r="AN235" s="6"/>
    </x:row>
    <x:row r="236">
      <x:c r="A236" s="3" t="str">
        <x:f t="shared" si="30"/>
      </x:c>
      <x:c r="B236" s="9"/>
      <x:c r="C236" s="36"/>
      <x:c r="D236" s="6"/>
      <x:c r="E236" s="3" t="str">
        <x:f>IF(D236="","",IFERROR(VLOOKUP(D236,'Base Sectores'!$A$5:$J$47,2,FALSE),""))</x:f>
      </x:c>
      <x:c r="F236" s="40" t="str">
        <x:f>IF(D236="","",IFERROR(VLOOKUP(D236,'Base Sectores'!$A$5:$J$47,3,FALSE),""))</x:f>
      </x:c>
      <x:c r="G236" s="3" t="str">
        <x:f>IF(D236="","",IFERROR(VLOOKUP(D236,'Base Sectores'!$A$5:$J$47,4,FALSE),""))</x:f>
      </x:c>
      <x:c r="H236" s="3" t="str">
        <x:f>IF(D236="","",IFERROR(VLOOKUP(D236,'Base Sectores'!$A$5:$J$47,5,FALSE),""))</x:f>
      </x:c>
      <x:c r="I236" s="3" t="str">
        <x:f>IF(D236="","",IFERROR(VLOOKUP(D236,'Base Sectores'!$A$5:$J$47,6,FALSE),""))</x:f>
      </x:c>
      <x:c r="J236" s="3" t="str">
        <x:f>IF(D236="","",IFERROR(VLOOKUP(D236,'Base Sectores'!$A$5:$J$47,7,FALSE),""))</x:f>
      </x:c>
      <x:c r="K236" s="3" t="str">
        <x:f>IF(D236="","",IFERROR(VLOOKUP(D236,'Base Sectores'!$A$5:$J$47,9,FALSE),""))</x:f>
      </x:c>
      <x:c r="L236" s="6"/>
      <x:c r="M236" s="3" t="str">
        <x:f>IF(L236="","",IFERROR(VLOOKUP(L236,Configuracion!$D$4:$H$15,2,FALSE),""))</x:f>
      </x:c>
      <x:c r="N236" s="3" t="str">
        <x:f>IF(L236="","",IFERROR(VLOOKUP(L236,Configuracion!$D$4:$H$15,3,FALSE),""))</x:f>
      </x:c>
      <x:c r="O236" s="6"/>
      <x:c r="P236" s="3" t="str">
        <x:f>IF(L236="","",IFERROR(VLOOKUP(L236,Configuracion!$D$4:$H$15,4,FALSE),0))</x:f>
      </x:c>
      <x:c r="Q236" s="10"/>
      <x:c r="R236" s="10"/>
      <x:c r="S236" s="4" t="str">
        <x:f t="shared" si="31"/>
      </x:c>
      <x:c r="T236" s="6"/>
      <x:c r="U236" s="6"/>
      <x:c r="V236" s="6"/>
      <x:c r="W236" s="6"/>
      <x:c r="X236" s="6"/>
      <x:c r="Y236" s="6"/>
      <x:c r="Z236" s="6"/>
      <x:c r="AA236" s="6"/>
      <x:c r="AB236" s="6"/>
      <x:c r="AC236" s="10"/>
      <x:c r="AD236" s="10"/>
      <x:c r="AE236" s="4" t="str">
        <x:f t="shared" si="32"/>
      </x:c>
      <x:c r="AF236" s="4" t="str">
        <x:f t="shared" si="33"/>
      </x:c>
      <x:c r="AG236" s="4" t="str">
        <x:f t="shared" si="34"/>
      </x:c>
      <x:c r="AH236" s="11">
        <x:f t="shared" si="35"/>
        <x:v>0</x:v>
      </x:c>
      <x:c r="AI236" s="4" t="str">
        <x:f t="shared" si="36"/>
      </x:c>
      <x:c r="AJ236" s="4">
        <x:f t="shared" si="37"/>
        <x:v>0</x:v>
      </x:c>
      <x:c r="AK236" s="4">
        <x:f t="shared" si="38"/>
        <x:v>0</x:v>
      </x:c>
      <x:c r="AL236" s="11">
        <x:f t="shared" si="39"/>
        <x:v>0</x:v>
      </x:c>
      <x:c r="AM236" s="6"/>
      <x:c r="AN236" s="6"/>
    </x:row>
    <x:row r="237">
      <x:c r="A237" s="3" t="str">
        <x:f t="shared" si="30"/>
      </x:c>
      <x:c r="B237" s="9"/>
      <x:c r="C237" s="36"/>
      <x:c r="D237" s="6"/>
      <x:c r="E237" s="3" t="str">
        <x:f>IF(D237="","",IFERROR(VLOOKUP(D237,'Base Sectores'!$A$5:$J$47,2,FALSE),""))</x:f>
      </x:c>
      <x:c r="F237" s="40" t="str">
        <x:f>IF(D237="","",IFERROR(VLOOKUP(D237,'Base Sectores'!$A$5:$J$47,3,FALSE),""))</x:f>
      </x:c>
      <x:c r="G237" s="3" t="str">
        <x:f>IF(D237="","",IFERROR(VLOOKUP(D237,'Base Sectores'!$A$5:$J$47,4,FALSE),""))</x:f>
      </x:c>
      <x:c r="H237" s="3" t="str">
        <x:f>IF(D237="","",IFERROR(VLOOKUP(D237,'Base Sectores'!$A$5:$J$47,5,FALSE),""))</x:f>
      </x:c>
      <x:c r="I237" s="3" t="str">
        <x:f>IF(D237="","",IFERROR(VLOOKUP(D237,'Base Sectores'!$A$5:$J$47,6,FALSE),""))</x:f>
      </x:c>
      <x:c r="J237" s="3" t="str">
        <x:f>IF(D237="","",IFERROR(VLOOKUP(D237,'Base Sectores'!$A$5:$J$47,7,FALSE),""))</x:f>
      </x:c>
      <x:c r="K237" s="3" t="str">
        <x:f>IF(D237="","",IFERROR(VLOOKUP(D237,'Base Sectores'!$A$5:$J$47,9,FALSE),""))</x:f>
      </x:c>
      <x:c r="L237" s="6"/>
      <x:c r="M237" s="3" t="str">
        <x:f>IF(L237="","",IFERROR(VLOOKUP(L237,Configuracion!$D$4:$H$15,2,FALSE),""))</x:f>
      </x:c>
      <x:c r="N237" s="3" t="str">
        <x:f>IF(L237="","",IFERROR(VLOOKUP(L237,Configuracion!$D$4:$H$15,3,FALSE),""))</x:f>
      </x:c>
      <x:c r="O237" s="6"/>
      <x:c r="P237" s="3" t="str">
        <x:f>IF(L237="","",IFERROR(VLOOKUP(L237,Configuracion!$D$4:$H$15,4,FALSE),0))</x:f>
      </x:c>
      <x:c r="Q237" s="10"/>
      <x:c r="R237" s="10"/>
      <x:c r="S237" s="4" t="str">
        <x:f t="shared" si="31"/>
      </x:c>
      <x:c r="T237" s="6"/>
      <x:c r="U237" s="6"/>
      <x:c r="V237" s="6"/>
      <x:c r="W237" s="6"/>
      <x:c r="X237" s="6"/>
      <x:c r="Y237" s="6"/>
      <x:c r="Z237" s="6"/>
      <x:c r="AA237" s="6"/>
      <x:c r="AB237" s="6"/>
      <x:c r="AC237" s="10"/>
      <x:c r="AD237" s="10"/>
      <x:c r="AE237" s="4" t="str">
        <x:f t="shared" si="32"/>
      </x:c>
      <x:c r="AF237" s="4" t="str">
        <x:f t="shared" si="33"/>
      </x:c>
      <x:c r="AG237" s="4" t="str">
        <x:f t="shared" si="34"/>
      </x:c>
      <x:c r="AH237" s="11">
        <x:f t="shared" si="35"/>
        <x:v>0</x:v>
      </x:c>
      <x:c r="AI237" s="4" t="str">
        <x:f t="shared" si="36"/>
      </x:c>
      <x:c r="AJ237" s="4">
        <x:f t="shared" si="37"/>
        <x:v>0</x:v>
      </x:c>
      <x:c r="AK237" s="4">
        <x:f t="shared" si="38"/>
        <x:v>0</x:v>
      </x:c>
      <x:c r="AL237" s="11">
        <x:f t="shared" si="39"/>
        <x:v>0</x:v>
      </x:c>
      <x:c r="AM237" s="6"/>
      <x:c r="AN237" s="6"/>
    </x:row>
    <x:row r="238">
      <x:c r="A238" s="3" t="str">
        <x:f t="shared" si="30"/>
      </x:c>
      <x:c r="B238" s="9"/>
      <x:c r="C238" s="36"/>
      <x:c r="D238" s="6"/>
      <x:c r="E238" s="3" t="str">
        <x:f>IF(D238="","",IFERROR(VLOOKUP(D238,'Base Sectores'!$A$5:$J$47,2,FALSE),""))</x:f>
      </x:c>
      <x:c r="F238" s="40" t="str">
        <x:f>IF(D238="","",IFERROR(VLOOKUP(D238,'Base Sectores'!$A$5:$J$47,3,FALSE),""))</x:f>
      </x:c>
      <x:c r="G238" s="3" t="str">
        <x:f>IF(D238="","",IFERROR(VLOOKUP(D238,'Base Sectores'!$A$5:$J$47,4,FALSE),""))</x:f>
      </x:c>
      <x:c r="H238" s="3" t="str">
        <x:f>IF(D238="","",IFERROR(VLOOKUP(D238,'Base Sectores'!$A$5:$J$47,5,FALSE),""))</x:f>
      </x:c>
      <x:c r="I238" s="3" t="str">
        <x:f>IF(D238="","",IFERROR(VLOOKUP(D238,'Base Sectores'!$A$5:$J$47,6,FALSE),""))</x:f>
      </x:c>
      <x:c r="J238" s="3" t="str">
        <x:f>IF(D238="","",IFERROR(VLOOKUP(D238,'Base Sectores'!$A$5:$J$47,7,FALSE),""))</x:f>
      </x:c>
      <x:c r="K238" s="3" t="str">
        <x:f>IF(D238="","",IFERROR(VLOOKUP(D238,'Base Sectores'!$A$5:$J$47,9,FALSE),""))</x:f>
      </x:c>
      <x:c r="L238" s="6"/>
      <x:c r="M238" s="3" t="str">
        <x:f>IF(L238="","",IFERROR(VLOOKUP(L238,Configuracion!$D$4:$H$15,2,FALSE),""))</x:f>
      </x:c>
      <x:c r="N238" s="3" t="str">
        <x:f>IF(L238="","",IFERROR(VLOOKUP(L238,Configuracion!$D$4:$H$15,3,FALSE),""))</x:f>
      </x:c>
      <x:c r="O238" s="6"/>
      <x:c r="P238" s="3" t="str">
        <x:f>IF(L238="","",IFERROR(VLOOKUP(L238,Configuracion!$D$4:$H$15,4,FALSE),0))</x:f>
      </x:c>
      <x:c r="Q238" s="10"/>
      <x:c r="R238" s="10"/>
      <x:c r="S238" s="4" t="str">
        <x:f t="shared" si="31"/>
      </x:c>
      <x:c r="T238" s="6"/>
      <x:c r="U238" s="6"/>
      <x:c r="V238" s="6"/>
      <x:c r="W238" s="6"/>
      <x:c r="X238" s="6"/>
      <x:c r="Y238" s="6"/>
      <x:c r="Z238" s="6"/>
      <x:c r="AA238" s="6"/>
      <x:c r="AB238" s="6"/>
      <x:c r="AC238" s="10"/>
      <x:c r="AD238" s="10"/>
      <x:c r="AE238" s="4" t="str">
        <x:f t="shared" si="32"/>
      </x:c>
      <x:c r="AF238" s="4" t="str">
        <x:f t="shared" si="33"/>
      </x:c>
      <x:c r="AG238" s="4" t="str">
        <x:f t="shared" si="34"/>
      </x:c>
      <x:c r="AH238" s="11">
        <x:f t="shared" si="35"/>
        <x:v>0</x:v>
      </x:c>
      <x:c r="AI238" s="4" t="str">
        <x:f t="shared" si="36"/>
      </x:c>
      <x:c r="AJ238" s="4">
        <x:f t="shared" si="37"/>
        <x:v>0</x:v>
      </x:c>
      <x:c r="AK238" s="4">
        <x:f t="shared" si="38"/>
        <x:v>0</x:v>
      </x:c>
      <x:c r="AL238" s="11">
        <x:f t="shared" si="39"/>
        <x:v>0</x:v>
      </x:c>
      <x:c r="AM238" s="6"/>
      <x:c r="AN238" s="6"/>
    </x:row>
    <x:row r="239">
      <x:c r="A239" s="3" t="str">
        <x:f t="shared" si="30"/>
      </x:c>
      <x:c r="B239" s="9"/>
      <x:c r="C239" s="36"/>
      <x:c r="D239" s="6"/>
      <x:c r="E239" s="3" t="str">
        <x:f>IF(D239="","",IFERROR(VLOOKUP(D239,'Base Sectores'!$A$5:$J$47,2,FALSE),""))</x:f>
      </x:c>
      <x:c r="F239" s="40" t="str">
        <x:f>IF(D239="","",IFERROR(VLOOKUP(D239,'Base Sectores'!$A$5:$J$47,3,FALSE),""))</x:f>
      </x:c>
      <x:c r="G239" s="3" t="str">
        <x:f>IF(D239="","",IFERROR(VLOOKUP(D239,'Base Sectores'!$A$5:$J$47,4,FALSE),""))</x:f>
      </x:c>
      <x:c r="H239" s="3" t="str">
        <x:f>IF(D239="","",IFERROR(VLOOKUP(D239,'Base Sectores'!$A$5:$J$47,5,FALSE),""))</x:f>
      </x:c>
      <x:c r="I239" s="3" t="str">
        <x:f>IF(D239="","",IFERROR(VLOOKUP(D239,'Base Sectores'!$A$5:$J$47,6,FALSE),""))</x:f>
      </x:c>
      <x:c r="J239" s="3" t="str">
        <x:f>IF(D239="","",IFERROR(VLOOKUP(D239,'Base Sectores'!$A$5:$J$47,7,FALSE),""))</x:f>
      </x:c>
      <x:c r="K239" s="3" t="str">
        <x:f>IF(D239="","",IFERROR(VLOOKUP(D239,'Base Sectores'!$A$5:$J$47,9,FALSE),""))</x:f>
      </x:c>
      <x:c r="L239" s="6"/>
      <x:c r="M239" s="3" t="str">
        <x:f>IF(L239="","",IFERROR(VLOOKUP(L239,Configuracion!$D$4:$H$15,2,FALSE),""))</x:f>
      </x:c>
      <x:c r="N239" s="3" t="str">
        <x:f>IF(L239="","",IFERROR(VLOOKUP(L239,Configuracion!$D$4:$H$15,3,FALSE),""))</x:f>
      </x:c>
      <x:c r="O239" s="6"/>
      <x:c r="P239" s="3" t="str">
        <x:f>IF(L239="","",IFERROR(VLOOKUP(L239,Configuracion!$D$4:$H$15,4,FALSE),0))</x:f>
      </x:c>
      <x:c r="Q239" s="10"/>
      <x:c r="R239" s="10"/>
      <x:c r="S239" s="4" t="str">
        <x:f t="shared" si="31"/>
      </x:c>
      <x:c r="T239" s="6"/>
      <x:c r="U239" s="6"/>
      <x:c r="V239" s="6"/>
      <x:c r="W239" s="6"/>
      <x:c r="X239" s="6"/>
      <x:c r="Y239" s="6"/>
      <x:c r="Z239" s="6"/>
      <x:c r="AA239" s="6"/>
      <x:c r="AB239" s="6"/>
      <x:c r="AC239" s="10"/>
      <x:c r="AD239" s="10"/>
      <x:c r="AE239" s="4" t="str">
        <x:f t="shared" si="32"/>
      </x:c>
      <x:c r="AF239" s="4" t="str">
        <x:f t="shared" si="33"/>
      </x:c>
      <x:c r="AG239" s="4" t="str">
        <x:f t="shared" si="34"/>
      </x:c>
      <x:c r="AH239" s="11">
        <x:f t="shared" si="35"/>
        <x:v>0</x:v>
      </x:c>
      <x:c r="AI239" s="4" t="str">
        <x:f t="shared" si="36"/>
      </x:c>
      <x:c r="AJ239" s="4">
        <x:f t="shared" si="37"/>
        <x:v>0</x:v>
      </x:c>
      <x:c r="AK239" s="4">
        <x:f t="shared" si="38"/>
        <x:v>0</x:v>
      </x:c>
      <x:c r="AL239" s="11">
        <x:f t="shared" si="39"/>
        <x:v>0</x:v>
      </x:c>
      <x:c r="AM239" s="6"/>
      <x:c r="AN239" s="6"/>
    </x:row>
    <x:row r="240">
      <x:c r="A240" s="3" t="str">
        <x:f t="shared" si="30"/>
      </x:c>
      <x:c r="B240" s="9"/>
      <x:c r="C240" s="36"/>
      <x:c r="D240" s="6"/>
      <x:c r="E240" s="3" t="str">
        <x:f>IF(D240="","",IFERROR(VLOOKUP(D240,'Base Sectores'!$A$5:$J$47,2,FALSE),""))</x:f>
      </x:c>
      <x:c r="F240" s="40" t="str">
        <x:f>IF(D240="","",IFERROR(VLOOKUP(D240,'Base Sectores'!$A$5:$J$47,3,FALSE),""))</x:f>
      </x:c>
      <x:c r="G240" s="3" t="str">
        <x:f>IF(D240="","",IFERROR(VLOOKUP(D240,'Base Sectores'!$A$5:$J$47,4,FALSE),""))</x:f>
      </x:c>
      <x:c r="H240" s="3" t="str">
        <x:f>IF(D240="","",IFERROR(VLOOKUP(D240,'Base Sectores'!$A$5:$J$47,5,FALSE),""))</x:f>
      </x:c>
      <x:c r="I240" s="3" t="str">
        <x:f>IF(D240="","",IFERROR(VLOOKUP(D240,'Base Sectores'!$A$5:$J$47,6,FALSE),""))</x:f>
      </x:c>
      <x:c r="J240" s="3" t="str">
        <x:f>IF(D240="","",IFERROR(VLOOKUP(D240,'Base Sectores'!$A$5:$J$47,7,FALSE),""))</x:f>
      </x:c>
      <x:c r="K240" s="3" t="str">
        <x:f>IF(D240="","",IFERROR(VLOOKUP(D240,'Base Sectores'!$A$5:$J$47,9,FALSE),""))</x:f>
      </x:c>
      <x:c r="L240" s="6"/>
      <x:c r="M240" s="3" t="str">
        <x:f>IF(L240="","",IFERROR(VLOOKUP(L240,Configuracion!$D$4:$H$15,2,FALSE),""))</x:f>
      </x:c>
      <x:c r="N240" s="3" t="str">
        <x:f>IF(L240="","",IFERROR(VLOOKUP(L240,Configuracion!$D$4:$H$15,3,FALSE),""))</x:f>
      </x:c>
      <x:c r="O240" s="6"/>
      <x:c r="P240" s="3" t="str">
        <x:f>IF(L240="","",IFERROR(VLOOKUP(L240,Configuracion!$D$4:$H$15,4,FALSE),0))</x:f>
      </x:c>
      <x:c r="Q240" s="10"/>
      <x:c r="R240" s="10"/>
      <x:c r="S240" s="4" t="str">
        <x:f t="shared" si="31"/>
      </x:c>
      <x:c r="T240" s="6"/>
      <x:c r="U240" s="6"/>
      <x:c r="V240" s="6"/>
      <x:c r="W240" s="6"/>
      <x:c r="X240" s="6"/>
      <x:c r="Y240" s="6"/>
      <x:c r="Z240" s="6"/>
      <x:c r="AA240" s="6"/>
      <x:c r="AB240" s="6"/>
      <x:c r="AC240" s="10"/>
      <x:c r="AD240" s="10"/>
      <x:c r="AE240" s="4" t="str">
        <x:f t="shared" si="32"/>
      </x:c>
      <x:c r="AF240" s="4" t="str">
        <x:f t="shared" si="33"/>
      </x:c>
      <x:c r="AG240" s="4" t="str">
        <x:f t="shared" si="34"/>
      </x:c>
      <x:c r="AH240" s="11">
        <x:f t="shared" si="35"/>
        <x:v>0</x:v>
      </x:c>
      <x:c r="AI240" s="4" t="str">
        <x:f t="shared" si="36"/>
      </x:c>
      <x:c r="AJ240" s="4">
        <x:f t="shared" si="37"/>
        <x:v>0</x:v>
      </x:c>
      <x:c r="AK240" s="4">
        <x:f t="shared" si="38"/>
        <x:v>0</x:v>
      </x:c>
      <x:c r="AL240" s="11">
        <x:f t="shared" si="39"/>
        <x:v>0</x:v>
      </x:c>
      <x:c r="AM240" s="6"/>
      <x:c r="AN240" s="6"/>
    </x:row>
    <x:row r="241">
      <x:c r="A241" s="3" t="str">
        <x:f t="shared" si="30"/>
      </x:c>
      <x:c r="B241" s="9"/>
      <x:c r="C241" s="36"/>
      <x:c r="D241" s="6"/>
      <x:c r="E241" s="3" t="str">
        <x:f>IF(D241="","",IFERROR(VLOOKUP(D241,'Base Sectores'!$A$5:$J$47,2,FALSE),""))</x:f>
      </x:c>
      <x:c r="F241" s="40" t="str">
        <x:f>IF(D241="","",IFERROR(VLOOKUP(D241,'Base Sectores'!$A$5:$J$47,3,FALSE),""))</x:f>
      </x:c>
      <x:c r="G241" s="3" t="str">
        <x:f>IF(D241="","",IFERROR(VLOOKUP(D241,'Base Sectores'!$A$5:$J$47,4,FALSE),""))</x:f>
      </x:c>
      <x:c r="H241" s="3" t="str">
        <x:f>IF(D241="","",IFERROR(VLOOKUP(D241,'Base Sectores'!$A$5:$J$47,5,FALSE),""))</x:f>
      </x:c>
      <x:c r="I241" s="3" t="str">
        <x:f>IF(D241="","",IFERROR(VLOOKUP(D241,'Base Sectores'!$A$5:$J$47,6,FALSE),""))</x:f>
      </x:c>
      <x:c r="J241" s="3" t="str">
        <x:f>IF(D241="","",IFERROR(VLOOKUP(D241,'Base Sectores'!$A$5:$J$47,7,FALSE),""))</x:f>
      </x:c>
      <x:c r="K241" s="3" t="str">
        <x:f>IF(D241="","",IFERROR(VLOOKUP(D241,'Base Sectores'!$A$5:$J$47,9,FALSE),""))</x:f>
      </x:c>
      <x:c r="L241" s="6"/>
      <x:c r="M241" s="3" t="str">
        <x:f>IF(L241="","",IFERROR(VLOOKUP(L241,Configuracion!$D$4:$H$15,2,FALSE),""))</x:f>
      </x:c>
      <x:c r="N241" s="3" t="str">
        <x:f>IF(L241="","",IFERROR(VLOOKUP(L241,Configuracion!$D$4:$H$15,3,FALSE),""))</x:f>
      </x:c>
      <x:c r="O241" s="6"/>
      <x:c r="P241" s="3" t="str">
        <x:f>IF(L241="","",IFERROR(VLOOKUP(L241,Configuracion!$D$4:$H$15,4,FALSE),0))</x:f>
      </x:c>
      <x:c r="Q241" s="10"/>
      <x:c r="R241" s="10"/>
      <x:c r="S241" s="4" t="str">
        <x:f t="shared" si="31"/>
      </x:c>
      <x:c r="T241" s="6"/>
      <x:c r="U241" s="6"/>
      <x:c r="V241" s="6"/>
      <x:c r="W241" s="6"/>
      <x:c r="X241" s="6"/>
      <x:c r="Y241" s="6"/>
      <x:c r="Z241" s="6"/>
      <x:c r="AA241" s="6"/>
      <x:c r="AB241" s="6"/>
      <x:c r="AC241" s="10"/>
      <x:c r="AD241" s="10"/>
      <x:c r="AE241" s="4" t="str">
        <x:f t="shared" si="32"/>
      </x:c>
      <x:c r="AF241" s="4" t="str">
        <x:f t="shared" si="33"/>
      </x:c>
      <x:c r="AG241" s="4" t="str">
        <x:f t="shared" si="34"/>
      </x:c>
      <x:c r="AH241" s="11">
        <x:f t="shared" si="35"/>
        <x:v>0</x:v>
      </x:c>
      <x:c r="AI241" s="4" t="str">
        <x:f t="shared" si="36"/>
      </x:c>
      <x:c r="AJ241" s="4">
        <x:f t="shared" si="37"/>
        <x:v>0</x:v>
      </x:c>
      <x:c r="AK241" s="4">
        <x:f t="shared" si="38"/>
        <x:v>0</x:v>
      </x:c>
      <x:c r="AL241" s="11">
        <x:f t="shared" si="39"/>
        <x:v>0</x:v>
      </x:c>
      <x:c r="AM241" s="6"/>
      <x:c r="AN241" s="6"/>
    </x:row>
    <x:row r="242">
      <x:c r="A242" s="3" t="str">
        <x:f t="shared" si="30"/>
      </x:c>
      <x:c r="B242" s="9"/>
      <x:c r="C242" s="36"/>
      <x:c r="D242" s="6"/>
      <x:c r="E242" s="3" t="str">
        <x:f>IF(D242="","",IFERROR(VLOOKUP(D242,'Base Sectores'!$A$5:$J$47,2,FALSE),""))</x:f>
      </x:c>
      <x:c r="F242" s="40" t="str">
        <x:f>IF(D242="","",IFERROR(VLOOKUP(D242,'Base Sectores'!$A$5:$J$47,3,FALSE),""))</x:f>
      </x:c>
      <x:c r="G242" s="3" t="str">
        <x:f>IF(D242="","",IFERROR(VLOOKUP(D242,'Base Sectores'!$A$5:$J$47,4,FALSE),""))</x:f>
      </x:c>
      <x:c r="H242" s="3" t="str">
        <x:f>IF(D242="","",IFERROR(VLOOKUP(D242,'Base Sectores'!$A$5:$J$47,5,FALSE),""))</x:f>
      </x:c>
      <x:c r="I242" s="3" t="str">
        <x:f>IF(D242="","",IFERROR(VLOOKUP(D242,'Base Sectores'!$A$5:$J$47,6,FALSE),""))</x:f>
      </x:c>
      <x:c r="J242" s="3" t="str">
        <x:f>IF(D242="","",IFERROR(VLOOKUP(D242,'Base Sectores'!$A$5:$J$47,7,FALSE),""))</x:f>
      </x:c>
      <x:c r="K242" s="3" t="str">
        <x:f>IF(D242="","",IFERROR(VLOOKUP(D242,'Base Sectores'!$A$5:$J$47,9,FALSE),""))</x:f>
      </x:c>
      <x:c r="L242" s="6"/>
      <x:c r="M242" s="3" t="str">
        <x:f>IF(L242="","",IFERROR(VLOOKUP(L242,Configuracion!$D$4:$H$15,2,FALSE),""))</x:f>
      </x:c>
      <x:c r="N242" s="3" t="str">
        <x:f>IF(L242="","",IFERROR(VLOOKUP(L242,Configuracion!$D$4:$H$15,3,FALSE),""))</x:f>
      </x:c>
      <x:c r="O242" s="6"/>
      <x:c r="P242" s="3" t="str">
        <x:f>IF(L242="","",IFERROR(VLOOKUP(L242,Configuracion!$D$4:$H$15,4,FALSE),0))</x:f>
      </x:c>
      <x:c r="Q242" s="10"/>
      <x:c r="R242" s="10"/>
      <x:c r="S242" s="4" t="str">
        <x:f t="shared" si="31"/>
      </x:c>
      <x:c r="T242" s="6"/>
      <x:c r="U242" s="6"/>
      <x:c r="V242" s="6"/>
      <x:c r="W242" s="6"/>
      <x:c r="X242" s="6"/>
      <x:c r="Y242" s="6"/>
      <x:c r="Z242" s="6"/>
      <x:c r="AA242" s="6"/>
      <x:c r="AB242" s="6"/>
      <x:c r="AC242" s="10"/>
      <x:c r="AD242" s="10"/>
      <x:c r="AE242" s="4" t="str">
        <x:f t="shared" si="32"/>
      </x:c>
      <x:c r="AF242" s="4" t="str">
        <x:f t="shared" si="33"/>
      </x:c>
      <x:c r="AG242" s="4" t="str">
        <x:f t="shared" si="34"/>
      </x:c>
      <x:c r="AH242" s="11">
        <x:f t="shared" si="35"/>
        <x:v>0</x:v>
      </x:c>
      <x:c r="AI242" s="4" t="str">
        <x:f t="shared" si="36"/>
      </x:c>
      <x:c r="AJ242" s="4">
        <x:f t="shared" si="37"/>
        <x:v>0</x:v>
      </x:c>
      <x:c r="AK242" s="4">
        <x:f t="shared" si="38"/>
        <x:v>0</x:v>
      </x:c>
      <x:c r="AL242" s="11">
        <x:f t="shared" si="39"/>
        <x:v>0</x:v>
      </x:c>
      <x:c r="AM242" s="6"/>
      <x:c r="AN242" s="6"/>
    </x:row>
    <x:row r="243">
      <x:c r="A243" s="3" t="str">
        <x:f t="shared" si="30"/>
      </x:c>
      <x:c r="B243" s="9"/>
      <x:c r="C243" s="36"/>
      <x:c r="D243" s="6"/>
      <x:c r="E243" s="3" t="str">
        <x:f>IF(D243="","",IFERROR(VLOOKUP(D243,'Base Sectores'!$A$5:$J$47,2,FALSE),""))</x:f>
      </x:c>
      <x:c r="F243" s="40" t="str">
        <x:f>IF(D243="","",IFERROR(VLOOKUP(D243,'Base Sectores'!$A$5:$J$47,3,FALSE),""))</x:f>
      </x:c>
      <x:c r="G243" s="3" t="str">
        <x:f>IF(D243="","",IFERROR(VLOOKUP(D243,'Base Sectores'!$A$5:$J$47,4,FALSE),""))</x:f>
      </x:c>
      <x:c r="H243" s="3" t="str">
        <x:f>IF(D243="","",IFERROR(VLOOKUP(D243,'Base Sectores'!$A$5:$J$47,5,FALSE),""))</x:f>
      </x:c>
      <x:c r="I243" s="3" t="str">
        <x:f>IF(D243="","",IFERROR(VLOOKUP(D243,'Base Sectores'!$A$5:$J$47,6,FALSE),""))</x:f>
      </x:c>
      <x:c r="J243" s="3" t="str">
        <x:f>IF(D243="","",IFERROR(VLOOKUP(D243,'Base Sectores'!$A$5:$J$47,7,FALSE),""))</x:f>
      </x:c>
      <x:c r="K243" s="3" t="str">
        <x:f>IF(D243="","",IFERROR(VLOOKUP(D243,'Base Sectores'!$A$5:$J$47,9,FALSE),""))</x:f>
      </x:c>
      <x:c r="L243" s="6"/>
      <x:c r="M243" s="3" t="str">
        <x:f>IF(L243="","",IFERROR(VLOOKUP(L243,Configuracion!$D$4:$H$15,2,FALSE),""))</x:f>
      </x:c>
      <x:c r="N243" s="3" t="str">
        <x:f>IF(L243="","",IFERROR(VLOOKUP(L243,Configuracion!$D$4:$H$15,3,FALSE),""))</x:f>
      </x:c>
      <x:c r="O243" s="6"/>
      <x:c r="P243" s="3" t="str">
        <x:f>IF(L243="","",IFERROR(VLOOKUP(L243,Configuracion!$D$4:$H$15,4,FALSE),0))</x:f>
      </x:c>
      <x:c r="Q243" s="10"/>
      <x:c r="R243" s="10"/>
      <x:c r="S243" s="4" t="str">
        <x:f t="shared" si="31"/>
      </x:c>
      <x:c r="T243" s="6"/>
      <x:c r="U243" s="6"/>
      <x:c r="V243" s="6"/>
      <x:c r="W243" s="6"/>
      <x:c r="X243" s="6"/>
      <x:c r="Y243" s="6"/>
      <x:c r="Z243" s="6"/>
      <x:c r="AA243" s="6"/>
      <x:c r="AB243" s="6"/>
      <x:c r="AC243" s="10"/>
      <x:c r="AD243" s="10"/>
      <x:c r="AE243" s="4" t="str">
        <x:f t="shared" si="32"/>
      </x:c>
      <x:c r="AF243" s="4" t="str">
        <x:f t="shared" si="33"/>
      </x:c>
      <x:c r="AG243" s="4" t="str">
        <x:f t="shared" si="34"/>
      </x:c>
      <x:c r="AH243" s="11">
        <x:f t="shared" si="35"/>
        <x:v>0</x:v>
      </x:c>
      <x:c r="AI243" s="4" t="str">
        <x:f t="shared" si="36"/>
      </x:c>
      <x:c r="AJ243" s="4">
        <x:f t="shared" si="37"/>
        <x:v>0</x:v>
      </x:c>
      <x:c r="AK243" s="4">
        <x:f t="shared" si="38"/>
        <x:v>0</x:v>
      </x:c>
      <x:c r="AL243" s="11">
        <x:f t="shared" si="39"/>
        <x:v>0</x:v>
      </x:c>
      <x:c r="AM243" s="6"/>
      <x:c r="AN243" s="6"/>
    </x:row>
    <x:row r="244">
      <x:c r="A244" s="3" t="str">
        <x:f t="shared" si="30"/>
      </x:c>
      <x:c r="B244" s="9"/>
      <x:c r="C244" s="36"/>
      <x:c r="D244" s="6"/>
      <x:c r="E244" s="3" t="str">
        <x:f>IF(D244="","",IFERROR(VLOOKUP(D244,'Base Sectores'!$A$5:$J$47,2,FALSE),""))</x:f>
      </x:c>
      <x:c r="F244" s="40" t="str">
        <x:f>IF(D244="","",IFERROR(VLOOKUP(D244,'Base Sectores'!$A$5:$J$47,3,FALSE),""))</x:f>
      </x:c>
      <x:c r="G244" s="3" t="str">
        <x:f>IF(D244="","",IFERROR(VLOOKUP(D244,'Base Sectores'!$A$5:$J$47,4,FALSE),""))</x:f>
      </x:c>
      <x:c r="H244" s="3" t="str">
        <x:f>IF(D244="","",IFERROR(VLOOKUP(D244,'Base Sectores'!$A$5:$J$47,5,FALSE),""))</x:f>
      </x:c>
      <x:c r="I244" s="3" t="str">
        <x:f>IF(D244="","",IFERROR(VLOOKUP(D244,'Base Sectores'!$A$5:$J$47,6,FALSE),""))</x:f>
      </x:c>
      <x:c r="J244" s="3" t="str">
        <x:f>IF(D244="","",IFERROR(VLOOKUP(D244,'Base Sectores'!$A$5:$J$47,7,FALSE),""))</x:f>
      </x:c>
      <x:c r="K244" s="3" t="str">
        <x:f>IF(D244="","",IFERROR(VLOOKUP(D244,'Base Sectores'!$A$5:$J$47,9,FALSE),""))</x:f>
      </x:c>
      <x:c r="L244" s="6"/>
      <x:c r="M244" s="3" t="str">
        <x:f>IF(L244="","",IFERROR(VLOOKUP(L244,Configuracion!$D$4:$H$15,2,FALSE),""))</x:f>
      </x:c>
      <x:c r="N244" s="3" t="str">
        <x:f>IF(L244="","",IFERROR(VLOOKUP(L244,Configuracion!$D$4:$H$15,3,FALSE),""))</x:f>
      </x:c>
      <x:c r="O244" s="6"/>
      <x:c r="P244" s="3" t="str">
        <x:f>IF(L244="","",IFERROR(VLOOKUP(L244,Configuracion!$D$4:$H$15,4,FALSE),0))</x:f>
      </x:c>
      <x:c r="Q244" s="10"/>
      <x:c r="R244" s="10"/>
      <x:c r="S244" s="4" t="str">
        <x:f t="shared" si="31"/>
      </x:c>
      <x:c r="T244" s="6"/>
      <x:c r="U244" s="6"/>
      <x:c r="V244" s="6"/>
      <x:c r="W244" s="6"/>
      <x:c r="X244" s="6"/>
      <x:c r="Y244" s="6"/>
      <x:c r="Z244" s="6"/>
      <x:c r="AA244" s="6"/>
      <x:c r="AB244" s="6"/>
      <x:c r="AC244" s="10"/>
      <x:c r="AD244" s="10"/>
      <x:c r="AE244" s="4" t="str">
        <x:f t="shared" si="32"/>
      </x:c>
      <x:c r="AF244" s="4" t="str">
        <x:f t="shared" si="33"/>
      </x:c>
      <x:c r="AG244" s="4" t="str">
        <x:f t="shared" si="34"/>
      </x:c>
      <x:c r="AH244" s="11">
        <x:f t="shared" si="35"/>
        <x:v>0</x:v>
      </x:c>
      <x:c r="AI244" s="4" t="str">
        <x:f t="shared" si="36"/>
      </x:c>
      <x:c r="AJ244" s="4">
        <x:f t="shared" si="37"/>
        <x:v>0</x:v>
      </x:c>
      <x:c r="AK244" s="4">
        <x:f t="shared" si="38"/>
        <x:v>0</x:v>
      </x:c>
      <x:c r="AL244" s="11">
        <x:f t="shared" si="39"/>
        <x:v>0</x:v>
      </x:c>
      <x:c r="AM244" s="6"/>
      <x:c r="AN244" s="6"/>
    </x:row>
    <x:row r="245">
      <x:c r="A245" s="3" t="str">
        <x:f t="shared" si="30"/>
      </x:c>
      <x:c r="B245" s="9"/>
      <x:c r="C245" s="36"/>
      <x:c r="D245" s="6"/>
      <x:c r="E245" s="3" t="str">
        <x:f>IF(D245="","",IFERROR(VLOOKUP(D245,'Base Sectores'!$A$5:$J$47,2,FALSE),""))</x:f>
      </x:c>
      <x:c r="F245" s="40" t="str">
        <x:f>IF(D245="","",IFERROR(VLOOKUP(D245,'Base Sectores'!$A$5:$J$47,3,FALSE),""))</x:f>
      </x:c>
      <x:c r="G245" s="3" t="str">
        <x:f>IF(D245="","",IFERROR(VLOOKUP(D245,'Base Sectores'!$A$5:$J$47,4,FALSE),""))</x:f>
      </x:c>
      <x:c r="H245" s="3" t="str">
        <x:f>IF(D245="","",IFERROR(VLOOKUP(D245,'Base Sectores'!$A$5:$J$47,5,FALSE),""))</x:f>
      </x:c>
      <x:c r="I245" s="3" t="str">
        <x:f>IF(D245="","",IFERROR(VLOOKUP(D245,'Base Sectores'!$A$5:$J$47,6,FALSE),""))</x:f>
      </x:c>
      <x:c r="J245" s="3" t="str">
        <x:f>IF(D245="","",IFERROR(VLOOKUP(D245,'Base Sectores'!$A$5:$J$47,7,FALSE),""))</x:f>
      </x:c>
      <x:c r="K245" s="3" t="str">
        <x:f>IF(D245="","",IFERROR(VLOOKUP(D245,'Base Sectores'!$A$5:$J$47,9,FALSE),""))</x:f>
      </x:c>
      <x:c r="L245" s="6"/>
      <x:c r="M245" s="3" t="str">
        <x:f>IF(L245="","",IFERROR(VLOOKUP(L245,Configuracion!$D$4:$H$15,2,FALSE),""))</x:f>
      </x:c>
      <x:c r="N245" s="3" t="str">
        <x:f>IF(L245="","",IFERROR(VLOOKUP(L245,Configuracion!$D$4:$H$15,3,FALSE),""))</x:f>
      </x:c>
      <x:c r="O245" s="6"/>
      <x:c r="P245" s="3" t="str">
        <x:f>IF(L245="","",IFERROR(VLOOKUP(L245,Configuracion!$D$4:$H$15,4,FALSE),0))</x:f>
      </x:c>
      <x:c r="Q245" s="10"/>
      <x:c r="R245" s="10"/>
      <x:c r="S245" s="4" t="str">
        <x:f t="shared" si="31"/>
      </x:c>
      <x:c r="T245" s="6"/>
      <x:c r="U245" s="6"/>
      <x:c r="V245" s="6"/>
      <x:c r="W245" s="6"/>
      <x:c r="X245" s="6"/>
      <x:c r="Y245" s="6"/>
      <x:c r="Z245" s="6"/>
      <x:c r="AA245" s="6"/>
      <x:c r="AB245" s="6"/>
      <x:c r="AC245" s="10"/>
      <x:c r="AD245" s="10"/>
      <x:c r="AE245" s="4" t="str">
        <x:f t="shared" si="32"/>
      </x:c>
      <x:c r="AF245" s="4" t="str">
        <x:f t="shared" si="33"/>
      </x:c>
      <x:c r="AG245" s="4" t="str">
        <x:f t="shared" si="34"/>
      </x:c>
      <x:c r="AH245" s="11">
        <x:f t="shared" si="35"/>
        <x:v>0</x:v>
      </x:c>
      <x:c r="AI245" s="4" t="str">
        <x:f t="shared" si="36"/>
      </x:c>
      <x:c r="AJ245" s="4">
        <x:f t="shared" si="37"/>
        <x:v>0</x:v>
      </x:c>
      <x:c r="AK245" s="4">
        <x:f t="shared" si="38"/>
        <x:v>0</x:v>
      </x:c>
      <x:c r="AL245" s="11">
        <x:f t="shared" si="39"/>
        <x:v>0</x:v>
      </x:c>
      <x:c r="AM245" s="6"/>
      <x:c r="AN245" s="6"/>
    </x:row>
    <x:row r="246">
      <x:c r="A246" s="3" t="str">
        <x:f t="shared" si="30"/>
      </x:c>
      <x:c r="B246" s="9"/>
      <x:c r="C246" s="36"/>
      <x:c r="D246" s="6"/>
      <x:c r="E246" s="3" t="str">
        <x:f>IF(D246="","",IFERROR(VLOOKUP(D246,'Base Sectores'!$A$5:$J$47,2,FALSE),""))</x:f>
      </x:c>
      <x:c r="F246" s="40" t="str">
        <x:f>IF(D246="","",IFERROR(VLOOKUP(D246,'Base Sectores'!$A$5:$J$47,3,FALSE),""))</x:f>
      </x:c>
      <x:c r="G246" s="3" t="str">
        <x:f>IF(D246="","",IFERROR(VLOOKUP(D246,'Base Sectores'!$A$5:$J$47,4,FALSE),""))</x:f>
      </x:c>
      <x:c r="H246" s="3" t="str">
        <x:f>IF(D246="","",IFERROR(VLOOKUP(D246,'Base Sectores'!$A$5:$J$47,5,FALSE),""))</x:f>
      </x:c>
      <x:c r="I246" s="3" t="str">
        <x:f>IF(D246="","",IFERROR(VLOOKUP(D246,'Base Sectores'!$A$5:$J$47,6,FALSE),""))</x:f>
      </x:c>
      <x:c r="J246" s="3" t="str">
        <x:f>IF(D246="","",IFERROR(VLOOKUP(D246,'Base Sectores'!$A$5:$J$47,7,FALSE),""))</x:f>
      </x:c>
      <x:c r="K246" s="3" t="str">
        <x:f>IF(D246="","",IFERROR(VLOOKUP(D246,'Base Sectores'!$A$5:$J$47,9,FALSE),""))</x:f>
      </x:c>
      <x:c r="L246" s="6"/>
      <x:c r="M246" s="3" t="str">
        <x:f>IF(L246="","",IFERROR(VLOOKUP(L246,Configuracion!$D$4:$H$15,2,FALSE),""))</x:f>
      </x:c>
      <x:c r="N246" s="3" t="str">
        <x:f>IF(L246="","",IFERROR(VLOOKUP(L246,Configuracion!$D$4:$H$15,3,FALSE),""))</x:f>
      </x:c>
      <x:c r="O246" s="6"/>
      <x:c r="P246" s="3" t="str">
        <x:f>IF(L246="","",IFERROR(VLOOKUP(L246,Configuracion!$D$4:$H$15,4,FALSE),0))</x:f>
      </x:c>
      <x:c r="Q246" s="10"/>
      <x:c r="R246" s="10"/>
      <x:c r="S246" s="4" t="str">
        <x:f t="shared" si="31"/>
      </x:c>
      <x:c r="T246" s="6"/>
      <x:c r="U246" s="6"/>
      <x:c r="V246" s="6"/>
      <x:c r="W246" s="6"/>
      <x:c r="X246" s="6"/>
      <x:c r="Y246" s="6"/>
      <x:c r="Z246" s="6"/>
      <x:c r="AA246" s="6"/>
      <x:c r="AB246" s="6"/>
      <x:c r="AC246" s="10"/>
      <x:c r="AD246" s="10"/>
      <x:c r="AE246" s="4" t="str">
        <x:f t="shared" si="32"/>
      </x:c>
      <x:c r="AF246" s="4" t="str">
        <x:f t="shared" si="33"/>
      </x:c>
      <x:c r="AG246" s="4" t="str">
        <x:f t="shared" si="34"/>
      </x:c>
      <x:c r="AH246" s="11">
        <x:f t="shared" si="35"/>
        <x:v>0</x:v>
      </x:c>
      <x:c r="AI246" s="4" t="str">
        <x:f t="shared" si="36"/>
      </x:c>
      <x:c r="AJ246" s="4">
        <x:f t="shared" si="37"/>
        <x:v>0</x:v>
      </x:c>
      <x:c r="AK246" s="4">
        <x:f t="shared" si="38"/>
        <x:v>0</x:v>
      </x:c>
      <x:c r="AL246" s="11">
        <x:f t="shared" si="39"/>
        <x:v>0</x:v>
      </x:c>
      <x:c r="AM246" s="6"/>
      <x:c r="AN246" s="6"/>
    </x:row>
    <x:row r="247">
      <x:c r="A247" s="3" t="str">
        <x:f t="shared" si="30"/>
      </x:c>
      <x:c r="B247" s="9"/>
      <x:c r="C247" s="36"/>
      <x:c r="D247" s="6"/>
      <x:c r="E247" s="3" t="str">
        <x:f>IF(D247="","",IFERROR(VLOOKUP(D247,'Base Sectores'!$A$5:$J$47,2,FALSE),""))</x:f>
      </x:c>
      <x:c r="F247" s="40" t="str">
        <x:f>IF(D247="","",IFERROR(VLOOKUP(D247,'Base Sectores'!$A$5:$J$47,3,FALSE),""))</x:f>
      </x:c>
      <x:c r="G247" s="3" t="str">
        <x:f>IF(D247="","",IFERROR(VLOOKUP(D247,'Base Sectores'!$A$5:$J$47,4,FALSE),""))</x:f>
      </x:c>
      <x:c r="H247" s="3" t="str">
        <x:f>IF(D247="","",IFERROR(VLOOKUP(D247,'Base Sectores'!$A$5:$J$47,5,FALSE),""))</x:f>
      </x:c>
      <x:c r="I247" s="3" t="str">
        <x:f>IF(D247="","",IFERROR(VLOOKUP(D247,'Base Sectores'!$A$5:$J$47,6,FALSE),""))</x:f>
      </x:c>
      <x:c r="J247" s="3" t="str">
        <x:f>IF(D247="","",IFERROR(VLOOKUP(D247,'Base Sectores'!$A$5:$J$47,7,FALSE),""))</x:f>
      </x:c>
      <x:c r="K247" s="3" t="str">
        <x:f>IF(D247="","",IFERROR(VLOOKUP(D247,'Base Sectores'!$A$5:$J$47,9,FALSE),""))</x:f>
      </x:c>
      <x:c r="L247" s="6"/>
      <x:c r="M247" s="3" t="str">
        <x:f>IF(L247="","",IFERROR(VLOOKUP(L247,Configuracion!$D$4:$H$15,2,FALSE),""))</x:f>
      </x:c>
      <x:c r="N247" s="3" t="str">
        <x:f>IF(L247="","",IFERROR(VLOOKUP(L247,Configuracion!$D$4:$H$15,3,FALSE),""))</x:f>
      </x:c>
      <x:c r="O247" s="6"/>
      <x:c r="P247" s="3" t="str">
        <x:f>IF(L247="","",IFERROR(VLOOKUP(L247,Configuracion!$D$4:$H$15,4,FALSE),0))</x:f>
      </x:c>
      <x:c r="Q247" s="10"/>
      <x:c r="R247" s="10"/>
      <x:c r="S247" s="4" t="str">
        <x:f t="shared" si="31"/>
      </x:c>
      <x:c r="T247" s="6"/>
      <x:c r="U247" s="6"/>
      <x:c r="V247" s="6"/>
      <x:c r="W247" s="6"/>
      <x:c r="X247" s="6"/>
      <x:c r="Y247" s="6"/>
      <x:c r="Z247" s="6"/>
      <x:c r="AA247" s="6"/>
      <x:c r="AB247" s="6"/>
      <x:c r="AC247" s="10"/>
      <x:c r="AD247" s="10"/>
      <x:c r="AE247" s="4" t="str">
        <x:f t="shared" si="32"/>
      </x:c>
      <x:c r="AF247" s="4" t="str">
        <x:f t="shared" si="33"/>
      </x:c>
      <x:c r="AG247" s="4" t="str">
        <x:f t="shared" si="34"/>
      </x:c>
      <x:c r="AH247" s="11">
        <x:f t="shared" si="35"/>
        <x:v>0</x:v>
      </x:c>
      <x:c r="AI247" s="4" t="str">
        <x:f t="shared" si="36"/>
      </x:c>
      <x:c r="AJ247" s="4">
        <x:f t="shared" si="37"/>
        <x:v>0</x:v>
      </x:c>
      <x:c r="AK247" s="4">
        <x:f t="shared" si="38"/>
        <x:v>0</x:v>
      </x:c>
      <x:c r="AL247" s="11">
        <x:f t="shared" si="39"/>
        <x:v>0</x:v>
      </x:c>
      <x:c r="AM247" s="6"/>
      <x:c r="AN247" s="6"/>
    </x:row>
    <x:row r="248">
      <x:c r="A248" s="3" t="str">
        <x:f t="shared" si="30"/>
      </x:c>
      <x:c r="B248" s="9"/>
      <x:c r="C248" s="36"/>
      <x:c r="D248" s="6"/>
      <x:c r="E248" s="3" t="str">
        <x:f>IF(D248="","",IFERROR(VLOOKUP(D248,'Base Sectores'!$A$5:$J$47,2,FALSE),""))</x:f>
      </x:c>
      <x:c r="F248" s="40" t="str">
        <x:f>IF(D248="","",IFERROR(VLOOKUP(D248,'Base Sectores'!$A$5:$J$47,3,FALSE),""))</x:f>
      </x:c>
      <x:c r="G248" s="3" t="str">
        <x:f>IF(D248="","",IFERROR(VLOOKUP(D248,'Base Sectores'!$A$5:$J$47,4,FALSE),""))</x:f>
      </x:c>
      <x:c r="H248" s="3" t="str">
        <x:f>IF(D248="","",IFERROR(VLOOKUP(D248,'Base Sectores'!$A$5:$J$47,5,FALSE),""))</x:f>
      </x:c>
      <x:c r="I248" s="3" t="str">
        <x:f>IF(D248="","",IFERROR(VLOOKUP(D248,'Base Sectores'!$A$5:$J$47,6,FALSE),""))</x:f>
      </x:c>
      <x:c r="J248" s="3" t="str">
        <x:f>IF(D248="","",IFERROR(VLOOKUP(D248,'Base Sectores'!$A$5:$J$47,7,FALSE),""))</x:f>
      </x:c>
      <x:c r="K248" s="3" t="str">
        <x:f>IF(D248="","",IFERROR(VLOOKUP(D248,'Base Sectores'!$A$5:$J$47,9,FALSE),""))</x:f>
      </x:c>
      <x:c r="L248" s="6"/>
      <x:c r="M248" s="3" t="str">
        <x:f>IF(L248="","",IFERROR(VLOOKUP(L248,Configuracion!$D$4:$H$15,2,FALSE),""))</x:f>
      </x:c>
      <x:c r="N248" s="3" t="str">
        <x:f>IF(L248="","",IFERROR(VLOOKUP(L248,Configuracion!$D$4:$H$15,3,FALSE),""))</x:f>
      </x:c>
      <x:c r="O248" s="6"/>
      <x:c r="P248" s="3" t="str">
        <x:f>IF(L248="","",IFERROR(VLOOKUP(L248,Configuracion!$D$4:$H$15,4,FALSE),0))</x:f>
      </x:c>
      <x:c r="Q248" s="10"/>
      <x:c r="R248" s="10"/>
      <x:c r="S248" s="4" t="str">
        <x:f t="shared" si="31"/>
      </x:c>
      <x:c r="T248" s="6"/>
      <x:c r="U248" s="6"/>
      <x:c r="V248" s="6"/>
      <x:c r="W248" s="6"/>
      <x:c r="X248" s="6"/>
      <x:c r="Y248" s="6"/>
      <x:c r="Z248" s="6"/>
      <x:c r="AA248" s="6"/>
      <x:c r="AB248" s="6"/>
      <x:c r="AC248" s="10"/>
      <x:c r="AD248" s="10"/>
      <x:c r="AE248" s="4" t="str">
        <x:f t="shared" si="32"/>
      </x:c>
      <x:c r="AF248" s="4" t="str">
        <x:f t="shared" si="33"/>
      </x:c>
      <x:c r="AG248" s="4" t="str">
        <x:f t="shared" si="34"/>
      </x:c>
      <x:c r="AH248" s="11">
        <x:f t="shared" si="35"/>
        <x:v>0</x:v>
      </x:c>
      <x:c r="AI248" s="4" t="str">
        <x:f t="shared" si="36"/>
      </x:c>
      <x:c r="AJ248" s="4">
        <x:f t="shared" si="37"/>
        <x:v>0</x:v>
      </x:c>
      <x:c r="AK248" s="4">
        <x:f t="shared" si="38"/>
        <x:v>0</x:v>
      </x:c>
      <x:c r="AL248" s="11">
        <x:f t="shared" si="39"/>
        <x:v>0</x:v>
      </x:c>
      <x:c r="AM248" s="6"/>
      <x:c r="AN248" s="6"/>
    </x:row>
    <x:row r="249">
      <x:c r="A249" s="3" t="str">
        <x:f t="shared" si="30"/>
      </x:c>
      <x:c r="B249" s="9"/>
      <x:c r="C249" s="36"/>
      <x:c r="D249" s="6"/>
      <x:c r="E249" s="3" t="str">
        <x:f>IF(D249="","",IFERROR(VLOOKUP(D249,'Base Sectores'!$A$5:$J$47,2,FALSE),""))</x:f>
      </x:c>
      <x:c r="F249" s="40" t="str">
        <x:f>IF(D249="","",IFERROR(VLOOKUP(D249,'Base Sectores'!$A$5:$J$47,3,FALSE),""))</x:f>
      </x:c>
      <x:c r="G249" s="3" t="str">
        <x:f>IF(D249="","",IFERROR(VLOOKUP(D249,'Base Sectores'!$A$5:$J$47,4,FALSE),""))</x:f>
      </x:c>
      <x:c r="H249" s="3" t="str">
        <x:f>IF(D249="","",IFERROR(VLOOKUP(D249,'Base Sectores'!$A$5:$J$47,5,FALSE),""))</x:f>
      </x:c>
      <x:c r="I249" s="3" t="str">
        <x:f>IF(D249="","",IFERROR(VLOOKUP(D249,'Base Sectores'!$A$5:$J$47,6,FALSE),""))</x:f>
      </x:c>
      <x:c r="J249" s="3" t="str">
        <x:f>IF(D249="","",IFERROR(VLOOKUP(D249,'Base Sectores'!$A$5:$J$47,7,FALSE),""))</x:f>
      </x:c>
      <x:c r="K249" s="3" t="str">
        <x:f>IF(D249="","",IFERROR(VLOOKUP(D249,'Base Sectores'!$A$5:$J$47,9,FALSE),""))</x:f>
      </x:c>
      <x:c r="L249" s="6"/>
      <x:c r="M249" s="3" t="str">
        <x:f>IF(L249="","",IFERROR(VLOOKUP(L249,Configuracion!$D$4:$H$15,2,FALSE),""))</x:f>
      </x:c>
      <x:c r="N249" s="3" t="str">
        <x:f>IF(L249="","",IFERROR(VLOOKUP(L249,Configuracion!$D$4:$H$15,3,FALSE),""))</x:f>
      </x:c>
      <x:c r="O249" s="6"/>
      <x:c r="P249" s="3" t="str">
        <x:f>IF(L249="","",IFERROR(VLOOKUP(L249,Configuracion!$D$4:$H$15,4,FALSE),0))</x:f>
      </x:c>
      <x:c r="Q249" s="10"/>
      <x:c r="R249" s="10"/>
      <x:c r="S249" s="4" t="str">
        <x:f t="shared" si="31"/>
      </x:c>
      <x:c r="T249" s="6"/>
      <x:c r="U249" s="6"/>
      <x:c r="V249" s="6"/>
      <x:c r="W249" s="6"/>
      <x:c r="X249" s="6"/>
      <x:c r="Y249" s="6"/>
      <x:c r="Z249" s="6"/>
      <x:c r="AA249" s="6"/>
      <x:c r="AB249" s="6"/>
      <x:c r="AC249" s="10"/>
      <x:c r="AD249" s="10"/>
      <x:c r="AE249" s="4" t="str">
        <x:f t="shared" si="32"/>
      </x:c>
      <x:c r="AF249" s="4" t="str">
        <x:f t="shared" si="33"/>
      </x:c>
      <x:c r="AG249" s="4" t="str">
        <x:f t="shared" si="34"/>
      </x:c>
      <x:c r="AH249" s="11">
        <x:f t="shared" si="35"/>
        <x:v>0</x:v>
      </x:c>
      <x:c r="AI249" s="4" t="str">
        <x:f t="shared" si="36"/>
      </x:c>
      <x:c r="AJ249" s="4">
        <x:f t="shared" si="37"/>
        <x:v>0</x:v>
      </x:c>
      <x:c r="AK249" s="4">
        <x:f t="shared" si="38"/>
        <x:v>0</x:v>
      </x:c>
      <x:c r="AL249" s="11">
        <x:f t="shared" si="39"/>
        <x:v>0</x:v>
      </x:c>
      <x:c r="AM249" s="6"/>
      <x:c r="AN249" s="6"/>
    </x:row>
    <x:row r="250">
      <x:c r="A250" s="3" t="str">
        <x:f t="shared" si="30"/>
      </x:c>
      <x:c r="B250" s="9"/>
      <x:c r="C250" s="36"/>
      <x:c r="D250" s="6"/>
      <x:c r="E250" s="3" t="str">
        <x:f>IF(D250="","",IFERROR(VLOOKUP(D250,'Base Sectores'!$A$5:$J$47,2,FALSE),""))</x:f>
      </x:c>
      <x:c r="F250" s="40" t="str">
        <x:f>IF(D250="","",IFERROR(VLOOKUP(D250,'Base Sectores'!$A$5:$J$47,3,FALSE),""))</x:f>
      </x:c>
      <x:c r="G250" s="3" t="str">
        <x:f>IF(D250="","",IFERROR(VLOOKUP(D250,'Base Sectores'!$A$5:$J$47,4,FALSE),""))</x:f>
      </x:c>
      <x:c r="H250" s="3" t="str">
        <x:f>IF(D250="","",IFERROR(VLOOKUP(D250,'Base Sectores'!$A$5:$J$47,5,FALSE),""))</x:f>
      </x:c>
      <x:c r="I250" s="3" t="str">
        <x:f>IF(D250="","",IFERROR(VLOOKUP(D250,'Base Sectores'!$A$5:$J$47,6,FALSE),""))</x:f>
      </x:c>
      <x:c r="J250" s="3" t="str">
        <x:f>IF(D250="","",IFERROR(VLOOKUP(D250,'Base Sectores'!$A$5:$J$47,7,FALSE),""))</x:f>
      </x:c>
      <x:c r="K250" s="3" t="str">
        <x:f>IF(D250="","",IFERROR(VLOOKUP(D250,'Base Sectores'!$A$5:$J$47,9,FALSE),""))</x:f>
      </x:c>
      <x:c r="L250" s="6"/>
      <x:c r="M250" s="3" t="str">
        <x:f>IF(L250="","",IFERROR(VLOOKUP(L250,Configuracion!$D$4:$H$15,2,FALSE),""))</x:f>
      </x:c>
      <x:c r="N250" s="3" t="str">
        <x:f>IF(L250="","",IFERROR(VLOOKUP(L250,Configuracion!$D$4:$H$15,3,FALSE),""))</x:f>
      </x:c>
      <x:c r="O250" s="6"/>
      <x:c r="P250" s="3" t="str">
        <x:f>IF(L250="","",IFERROR(VLOOKUP(L250,Configuracion!$D$4:$H$15,4,FALSE),0))</x:f>
      </x:c>
      <x:c r="Q250" s="10"/>
      <x:c r="R250" s="10"/>
      <x:c r="S250" s="4" t="str">
        <x:f t="shared" si="31"/>
      </x:c>
      <x:c r="T250" s="6"/>
      <x:c r="U250" s="6"/>
      <x:c r="V250" s="6"/>
      <x:c r="W250" s="6"/>
      <x:c r="X250" s="6"/>
      <x:c r="Y250" s="6"/>
      <x:c r="Z250" s="6"/>
      <x:c r="AA250" s="6"/>
      <x:c r="AB250" s="6"/>
      <x:c r="AC250" s="10"/>
      <x:c r="AD250" s="10"/>
      <x:c r="AE250" s="4" t="str">
        <x:f t="shared" si="32"/>
      </x:c>
      <x:c r="AF250" s="4" t="str">
        <x:f t="shared" si="33"/>
      </x:c>
      <x:c r="AG250" s="4" t="str">
        <x:f t="shared" si="34"/>
      </x:c>
      <x:c r="AH250" s="11">
        <x:f t="shared" si="35"/>
        <x:v>0</x:v>
      </x:c>
      <x:c r="AI250" s="4" t="str">
        <x:f t="shared" si="36"/>
      </x:c>
      <x:c r="AJ250" s="4">
        <x:f t="shared" si="37"/>
        <x:v>0</x:v>
      </x:c>
      <x:c r="AK250" s="4">
        <x:f t="shared" si="38"/>
        <x:v>0</x:v>
      </x:c>
      <x:c r="AL250" s="11">
        <x:f t="shared" si="39"/>
        <x:v>0</x:v>
      </x:c>
      <x:c r="AM250" s="6"/>
      <x:c r="AN250" s="6"/>
    </x:row>
    <x:row r="251">
      <x:c r="A251" s="3" t="str">
        <x:f t="shared" si="30"/>
      </x:c>
      <x:c r="B251" s="9"/>
      <x:c r="C251" s="36"/>
      <x:c r="D251" s="6"/>
      <x:c r="E251" s="3" t="str">
        <x:f>IF(D251="","",IFERROR(VLOOKUP(D251,'Base Sectores'!$A$5:$J$47,2,FALSE),""))</x:f>
      </x:c>
      <x:c r="F251" s="40" t="str">
        <x:f>IF(D251="","",IFERROR(VLOOKUP(D251,'Base Sectores'!$A$5:$J$47,3,FALSE),""))</x:f>
      </x:c>
      <x:c r="G251" s="3" t="str">
        <x:f>IF(D251="","",IFERROR(VLOOKUP(D251,'Base Sectores'!$A$5:$J$47,4,FALSE),""))</x:f>
      </x:c>
      <x:c r="H251" s="3" t="str">
        <x:f>IF(D251="","",IFERROR(VLOOKUP(D251,'Base Sectores'!$A$5:$J$47,5,FALSE),""))</x:f>
      </x:c>
      <x:c r="I251" s="3" t="str">
        <x:f>IF(D251="","",IFERROR(VLOOKUP(D251,'Base Sectores'!$A$5:$J$47,6,FALSE),""))</x:f>
      </x:c>
      <x:c r="J251" s="3" t="str">
        <x:f>IF(D251="","",IFERROR(VLOOKUP(D251,'Base Sectores'!$A$5:$J$47,7,FALSE),""))</x:f>
      </x:c>
      <x:c r="K251" s="3" t="str">
        <x:f>IF(D251="","",IFERROR(VLOOKUP(D251,'Base Sectores'!$A$5:$J$47,9,FALSE),""))</x:f>
      </x:c>
      <x:c r="L251" s="6"/>
      <x:c r="M251" s="3" t="str">
        <x:f>IF(L251="","",IFERROR(VLOOKUP(L251,Configuracion!$D$4:$H$15,2,FALSE),""))</x:f>
      </x:c>
      <x:c r="N251" s="3" t="str">
        <x:f>IF(L251="","",IFERROR(VLOOKUP(L251,Configuracion!$D$4:$H$15,3,FALSE),""))</x:f>
      </x:c>
      <x:c r="O251" s="6"/>
      <x:c r="P251" s="3" t="str">
        <x:f>IF(L251="","",IFERROR(VLOOKUP(L251,Configuracion!$D$4:$H$15,4,FALSE),0))</x:f>
      </x:c>
      <x:c r="Q251" s="10"/>
      <x:c r="R251" s="10"/>
      <x:c r="S251" s="4" t="str">
        <x:f t="shared" si="31"/>
      </x:c>
      <x:c r="T251" s="6"/>
      <x:c r="U251" s="6"/>
      <x:c r="V251" s="6"/>
      <x:c r="W251" s="6"/>
      <x:c r="X251" s="6"/>
      <x:c r="Y251" s="6"/>
      <x:c r="Z251" s="6"/>
      <x:c r="AA251" s="6"/>
      <x:c r="AB251" s="6"/>
      <x:c r="AC251" s="10"/>
      <x:c r="AD251" s="10"/>
      <x:c r="AE251" s="4" t="str">
        <x:f t="shared" si="32"/>
      </x:c>
      <x:c r="AF251" s="4" t="str">
        <x:f t="shared" si="33"/>
      </x:c>
      <x:c r="AG251" s="4" t="str">
        <x:f t="shared" si="34"/>
      </x:c>
      <x:c r="AH251" s="11">
        <x:f t="shared" si="35"/>
        <x:v>0</x:v>
      </x:c>
      <x:c r="AI251" s="4" t="str">
        <x:f t="shared" si="36"/>
      </x:c>
      <x:c r="AJ251" s="4">
        <x:f t="shared" si="37"/>
        <x:v>0</x:v>
      </x:c>
      <x:c r="AK251" s="4">
        <x:f t="shared" si="38"/>
        <x:v>0</x:v>
      </x:c>
      <x:c r="AL251" s="11">
        <x:f t="shared" si="39"/>
        <x:v>0</x:v>
      </x:c>
      <x:c r="AM251" s="6"/>
      <x:c r="AN251" s="6"/>
    </x:row>
    <x:row r="252">
      <x:c r="A252" s="3" t="str">
        <x:f t="shared" si="30"/>
      </x:c>
      <x:c r="B252" s="9"/>
      <x:c r="C252" s="36"/>
      <x:c r="D252" s="6"/>
      <x:c r="E252" s="3" t="str">
        <x:f>IF(D252="","",IFERROR(VLOOKUP(D252,'Base Sectores'!$A$5:$J$47,2,FALSE),""))</x:f>
      </x:c>
      <x:c r="F252" s="40" t="str">
        <x:f>IF(D252="","",IFERROR(VLOOKUP(D252,'Base Sectores'!$A$5:$J$47,3,FALSE),""))</x:f>
      </x:c>
      <x:c r="G252" s="3" t="str">
        <x:f>IF(D252="","",IFERROR(VLOOKUP(D252,'Base Sectores'!$A$5:$J$47,4,FALSE),""))</x:f>
      </x:c>
      <x:c r="H252" s="3" t="str">
        <x:f>IF(D252="","",IFERROR(VLOOKUP(D252,'Base Sectores'!$A$5:$J$47,5,FALSE),""))</x:f>
      </x:c>
      <x:c r="I252" s="3" t="str">
        <x:f>IF(D252="","",IFERROR(VLOOKUP(D252,'Base Sectores'!$A$5:$J$47,6,FALSE),""))</x:f>
      </x:c>
      <x:c r="J252" s="3" t="str">
        <x:f>IF(D252="","",IFERROR(VLOOKUP(D252,'Base Sectores'!$A$5:$J$47,7,FALSE),""))</x:f>
      </x:c>
      <x:c r="K252" s="3" t="str">
        <x:f>IF(D252="","",IFERROR(VLOOKUP(D252,'Base Sectores'!$A$5:$J$47,9,FALSE),""))</x:f>
      </x:c>
      <x:c r="L252" s="6"/>
      <x:c r="M252" s="3" t="str">
        <x:f>IF(L252="","",IFERROR(VLOOKUP(L252,Configuracion!$D$4:$H$15,2,FALSE),""))</x:f>
      </x:c>
      <x:c r="N252" s="3" t="str">
        <x:f>IF(L252="","",IFERROR(VLOOKUP(L252,Configuracion!$D$4:$H$15,3,FALSE),""))</x:f>
      </x:c>
      <x:c r="O252" s="6"/>
      <x:c r="P252" s="3" t="str">
        <x:f>IF(L252="","",IFERROR(VLOOKUP(L252,Configuracion!$D$4:$H$15,4,FALSE),0))</x:f>
      </x:c>
      <x:c r="Q252" s="10"/>
      <x:c r="R252" s="10"/>
      <x:c r="S252" s="4" t="str">
        <x:f t="shared" si="31"/>
      </x:c>
      <x:c r="T252" s="6"/>
      <x:c r="U252" s="6"/>
      <x:c r="V252" s="6"/>
      <x:c r="W252" s="6"/>
      <x:c r="X252" s="6"/>
      <x:c r="Y252" s="6"/>
      <x:c r="Z252" s="6"/>
      <x:c r="AA252" s="6"/>
      <x:c r="AB252" s="6"/>
      <x:c r="AC252" s="10"/>
      <x:c r="AD252" s="10"/>
      <x:c r="AE252" s="4" t="str">
        <x:f t="shared" si="32"/>
      </x:c>
      <x:c r="AF252" s="4" t="str">
        <x:f t="shared" si="33"/>
      </x:c>
      <x:c r="AG252" s="4" t="str">
        <x:f t="shared" si="34"/>
      </x:c>
      <x:c r="AH252" s="11">
        <x:f t="shared" si="35"/>
        <x:v>0</x:v>
      </x:c>
      <x:c r="AI252" s="4" t="str">
        <x:f t="shared" si="36"/>
      </x:c>
      <x:c r="AJ252" s="4">
        <x:f t="shared" si="37"/>
        <x:v>0</x:v>
      </x:c>
      <x:c r="AK252" s="4">
        <x:f t="shared" si="38"/>
        <x:v>0</x:v>
      </x:c>
      <x:c r="AL252" s="11">
        <x:f t="shared" si="39"/>
        <x:v>0</x:v>
      </x:c>
      <x:c r="AM252" s="6"/>
      <x:c r="AN252" s="6"/>
    </x:row>
    <x:row r="253">
      <x:c r="A253" s="3" t="str">
        <x:f t="shared" si="30"/>
      </x:c>
      <x:c r="B253" s="9"/>
      <x:c r="C253" s="36"/>
      <x:c r="D253" s="6"/>
      <x:c r="E253" s="3" t="str">
        <x:f>IF(D253="","",IFERROR(VLOOKUP(D253,'Base Sectores'!$A$5:$J$47,2,FALSE),""))</x:f>
      </x:c>
      <x:c r="F253" s="40" t="str">
        <x:f>IF(D253="","",IFERROR(VLOOKUP(D253,'Base Sectores'!$A$5:$J$47,3,FALSE),""))</x:f>
      </x:c>
      <x:c r="G253" s="3" t="str">
        <x:f>IF(D253="","",IFERROR(VLOOKUP(D253,'Base Sectores'!$A$5:$J$47,4,FALSE),""))</x:f>
      </x:c>
      <x:c r="H253" s="3" t="str">
        <x:f>IF(D253="","",IFERROR(VLOOKUP(D253,'Base Sectores'!$A$5:$J$47,5,FALSE),""))</x:f>
      </x:c>
      <x:c r="I253" s="3" t="str">
        <x:f>IF(D253="","",IFERROR(VLOOKUP(D253,'Base Sectores'!$A$5:$J$47,6,FALSE),""))</x:f>
      </x:c>
      <x:c r="J253" s="3" t="str">
        <x:f>IF(D253="","",IFERROR(VLOOKUP(D253,'Base Sectores'!$A$5:$J$47,7,FALSE),""))</x:f>
      </x:c>
      <x:c r="K253" s="3" t="str">
        <x:f>IF(D253="","",IFERROR(VLOOKUP(D253,'Base Sectores'!$A$5:$J$47,9,FALSE),""))</x:f>
      </x:c>
      <x:c r="L253" s="6"/>
      <x:c r="M253" s="3" t="str">
        <x:f>IF(L253="","",IFERROR(VLOOKUP(L253,Configuracion!$D$4:$H$15,2,FALSE),""))</x:f>
      </x:c>
      <x:c r="N253" s="3" t="str">
        <x:f>IF(L253="","",IFERROR(VLOOKUP(L253,Configuracion!$D$4:$H$15,3,FALSE),""))</x:f>
      </x:c>
      <x:c r="O253" s="6"/>
      <x:c r="P253" s="3" t="str">
        <x:f>IF(L253="","",IFERROR(VLOOKUP(L253,Configuracion!$D$4:$H$15,4,FALSE),0))</x:f>
      </x:c>
      <x:c r="Q253" s="10"/>
      <x:c r="R253" s="10"/>
      <x:c r="S253" s="4" t="str">
        <x:f t="shared" si="31"/>
      </x:c>
      <x:c r="T253" s="6"/>
      <x:c r="U253" s="6"/>
      <x:c r="V253" s="6"/>
      <x:c r="W253" s="6"/>
      <x:c r="X253" s="6"/>
      <x:c r="Y253" s="6"/>
      <x:c r="Z253" s="6"/>
      <x:c r="AA253" s="6"/>
      <x:c r="AB253" s="6"/>
      <x:c r="AC253" s="10"/>
      <x:c r="AD253" s="10"/>
      <x:c r="AE253" s="4" t="str">
        <x:f t="shared" si="32"/>
      </x:c>
      <x:c r="AF253" s="4" t="str">
        <x:f t="shared" si="33"/>
      </x:c>
      <x:c r="AG253" s="4" t="str">
        <x:f t="shared" si="34"/>
      </x:c>
      <x:c r="AH253" s="11">
        <x:f t="shared" si="35"/>
        <x:v>0</x:v>
      </x:c>
      <x:c r="AI253" s="4" t="str">
        <x:f t="shared" si="36"/>
      </x:c>
      <x:c r="AJ253" s="4">
        <x:f t="shared" si="37"/>
        <x:v>0</x:v>
      </x:c>
      <x:c r="AK253" s="4">
        <x:f t="shared" si="38"/>
        <x:v>0</x:v>
      </x:c>
      <x:c r="AL253" s="11">
        <x:f t="shared" si="39"/>
        <x:v>0</x:v>
      </x:c>
      <x:c r="AM253" s="6"/>
      <x:c r="AN253" s="6"/>
    </x:row>
    <x:row r="254">
      <x:c r="A254" s="3" t="str">
        <x:f t="shared" si="30"/>
      </x:c>
      <x:c r="B254" s="9"/>
      <x:c r="C254" s="36"/>
      <x:c r="D254" s="6"/>
      <x:c r="E254" s="3" t="str">
        <x:f>IF(D254="","",IFERROR(VLOOKUP(D254,'Base Sectores'!$A$5:$J$47,2,FALSE),""))</x:f>
      </x:c>
      <x:c r="F254" s="40" t="str">
        <x:f>IF(D254="","",IFERROR(VLOOKUP(D254,'Base Sectores'!$A$5:$J$47,3,FALSE),""))</x:f>
      </x:c>
      <x:c r="G254" s="3" t="str">
        <x:f>IF(D254="","",IFERROR(VLOOKUP(D254,'Base Sectores'!$A$5:$J$47,4,FALSE),""))</x:f>
      </x:c>
      <x:c r="H254" s="3" t="str">
        <x:f>IF(D254="","",IFERROR(VLOOKUP(D254,'Base Sectores'!$A$5:$J$47,5,FALSE),""))</x:f>
      </x:c>
      <x:c r="I254" s="3" t="str">
        <x:f>IF(D254="","",IFERROR(VLOOKUP(D254,'Base Sectores'!$A$5:$J$47,6,FALSE),""))</x:f>
      </x:c>
      <x:c r="J254" s="3" t="str">
        <x:f>IF(D254="","",IFERROR(VLOOKUP(D254,'Base Sectores'!$A$5:$J$47,7,FALSE),""))</x:f>
      </x:c>
      <x:c r="K254" s="3" t="str">
        <x:f>IF(D254="","",IFERROR(VLOOKUP(D254,'Base Sectores'!$A$5:$J$47,9,FALSE),""))</x:f>
      </x:c>
      <x:c r="L254" s="6"/>
      <x:c r="M254" s="3" t="str">
        <x:f>IF(L254="","",IFERROR(VLOOKUP(L254,Configuracion!$D$4:$H$15,2,FALSE),""))</x:f>
      </x:c>
      <x:c r="N254" s="3" t="str">
        <x:f>IF(L254="","",IFERROR(VLOOKUP(L254,Configuracion!$D$4:$H$15,3,FALSE),""))</x:f>
      </x:c>
      <x:c r="O254" s="6"/>
      <x:c r="P254" s="3" t="str">
        <x:f>IF(L254="","",IFERROR(VLOOKUP(L254,Configuracion!$D$4:$H$15,4,FALSE),0))</x:f>
      </x:c>
      <x:c r="Q254" s="10"/>
      <x:c r="R254" s="10"/>
      <x:c r="S254" s="4" t="str">
        <x:f t="shared" si="31"/>
      </x:c>
      <x:c r="T254" s="6"/>
      <x:c r="U254" s="6"/>
      <x:c r="V254" s="6"/>
      <x:c r="W254" s="6"/>
      <x:c r="X254" s="6"/>
      <x:c r="Y254" s="6"/>
      <x:c r="Z254" s="6"/>
      <x:c r="AA254" s="6"/>
      <x:c r="AB254" s="6"/>
      <x:c r="AC254" s="10"/>
      <x:c r="AD254" s="10"/>
      <x:c r="AE254" s="4" t="str">
        <x:f t="shared" si="32"/>
      </x:c>
      <x:c r="AF254" s="4" t="str">
        <x:f t="shared" si="33"/>
      </x:c>
      <x:c r="AG254" s="4" t="str">
        <x:f t="shared" si="34"/>
      </x:c>
      <x:c r="AH254" s="11">
        <x:f t="shared" si="35"/>
        <x:v>0</x:v>
      </x:c>
      <x:c r="AI254" s="4" t="str">
        <x:f t="shared" si="36"/>
      </x:c>
      <x:c r="AJ254" s="4">
        <x:f t="shared" si="37"/>
        <x:v>0</x:v>
      </x:c>
      <x:c r="AK254" s="4">
        <x:f t="shared" si="38"/>
        <x:v>0</x:v>
      </x:c>
      <x:c r="AL254" s="11">
        <x:f t="shared" si="39"/>
        <x:v>0</x:v>
      </x:c>
      <x:c r="AM254" s="6"/>
      <x:c r="AN254" s="6"/>
    </x:row>
    <x:row r="255">
      <x:c r="A255" s="3" t="str">
        <x:f t="shared" si="30"/>
      </x:c>
      <x:c r="B255" s="9"/>
      <x:c r="C255" s="36"/>
      <x:c r="D255" s="6"/>
      <x:c r="E255" s="3" t="str">
        <x:f>IF(D255="","",IFERROR(VLOOKUP(D255,'Base Sectores'!$A$5:$J$47,2,FALSE),""))</x:f>
      </x:c>
      <x:c r="F255" s="40" t="str">
        <x:f>IF(D255="","",IFERROR(VLOOKUP(D255,'Base Sectores'!$A$5:$J$47,3,FALSE),""))</x:f>
      </x:c>
      <x:c r="G255" s="3" t="str">
        <x:f>IF(D255="","",IFERROR(VLOOKUP(D255,'Base Sectores'!$A$5:$J$47,4,FALSE),""))</x:f>
      </x:c>
      <x:c r="H255" s="3" t="str">
        <x:f>IF(D255="","",IFERROR(VLOOKUP(D255,'Base Sectores'!$A$5:$J$47,5,FALSE),""))</x:f>
      </x:c>
      <x:c r="I255" s="3" t="str">
        <x:f>IF(D255="","",IFERROR(VLOOKUP(D255,'Base Sectores'!$A$5:$J$47,6,FALSE),""))</x:f>
      </x:c>
      <x:c r="J255" s="3" t="str">
        <x:f>IF(D255="","",IFERROR(VLOOKUP(D255,'Base Sectores'!$A$5:$J$47,7,FALSE),""))</x:f>
      </x:c>
      <x:c r="K255" s="3" t="str">
        <x:f>IF(D255="","",IFERROR(VLOOKUP(D255,'Base Sectores'!$A$5:$J$47,9,FALSE),""))</x:f>
      </x:c>
      <x:c r="L255" s="6"/>
      <x:c r="M255" s="3" t="str">
        <x:f>IF(L255="","",IFERROR(VLOOKUP(L255,Configuracion!$D$4:$H$15,2,FALSE),""))</x:f>
      </x:c>
      <x:c r="N255" s="3" t="str">
        <x:f>IF(L255="","",IFERROR(VLOOKUP(L255,Configuracion!$D$4:$H$15,3,FALSE),""))</x:f>
      </x:c>
      <x:c r="O255" s="6"/>
      <x:c r="P255" s="3" t="str">
        <x:f>IF(L255="","",IFERROR(VLOOKUP(L255,Configuracion!$D$4:$H$15,4,FALSE),0))</x:f>
      </x:c>
      <x:c r="Q255" s="10"/>
      <x:c r="R255" s="10"/>
      <x:c r="S255" s="4" t="str">
        <x:f t="shared" si="31"/>
      </x:c>
      <x:c r="T255" s="6"/>
      <x:c r="U255" s="6"/>
      <x:c r="V255" s="6"/>
      <x:c r="W255" s="6"/>
      <x:c r="X255" s="6"/>
      <x:c r="Y255" s="6"/>
      <x:c r="Z255" s="6"/>
      <x:c r="AA255" s="6"/>
      <x:c r="AB255" s="6"/>
      <x:c r="AC255" s="10"/>
      <x:c r="AD255" s="10"/>
      <x:c r="AE255" s="4" t="str">
        <x:f t="shared" si="32"/>
      </x:c>
      <x:c r="AF255" s="4" t="str">
        <x:f t="shared" si="33"/>
      </x:c>
      <x:c r="AG255" s="4" t="str">
        <x:f t="shared" si="34"/>
      </x:c>
      <x:c r="AH255" s="11">
        <x:f t="shared" si="35"/>
        <x:v>0</x:v>
      </x:c>
      <x:c r="AI255" s="4" t="str">
        <x:f t="shared" si="36"/>
      </x:c>
      <x:c r="AJ255" s="4">
        <x:f t="shared" si="37"/>
        <x:v>0</x:v>
      </x:c>
      <x:c r="AK255" s="4">
        <x:f t="shared" si="38"/>
        <x:v>0</x:v>
      </x:c>
      <x:c r="AL255" s="11">
        <x:f t="shared" si="39"/>
        <x:v>0</x:v>
      </x:c>
      <x:c r="AM255" s="6"/>
      <x:c r="AN255" s="6"/>
    </x:row>
    <x:row r="256">
      <x:c r="A256" s="3" t="str">
        <x:f t="shared" si="30"/>
      </x:c>
      <x:c r="B256" s="9"/>
      <x:c r="C256" s="36"/>
      <x:c r="D256" s="6"/>
      <x:c r="E256" s="3" t="str">
        <x:f>IF(D256="","",IFERROR(VLOOKUP(D256,'Base Sectores'!$A$5:$J$47,2,FALSE),""))</x:f>
      </x:c>
      <x:c r="F256" s="40" t="str">
        <x:f>IF(D256="","",IFERROR(VLOOKUP(D256,'Base Sectores'!$A$5:$J$47,3,FALSE),""))</x:f>
      </x:c>
      <x:c r="G256" s="3" t="str">
        <x:f>IF(D256="","",IFERROR(VLOOKUP(D256,'Base Sectores'!$A$5:$J$47,4,FALSE),""))</x:f>
      </x:c>
      <x:c r="H256" s="3" t="str">
        <x:f>IF(D256="","",IFERROR(VLOOKUP(D256,'Base Sectores'!$A$5:$J$47,5,FALSE),""))</x:f>
      </x:c>
      <x:c r="I256" s="3" t="str">
        <x:f>IF(D256="","",IFERROR(VLOOKUP(D256,'Base Sectores'!$A$5:$J$47,6,FALSE),""))</x:f>
      </x:c>
      <x:c r="J256" s="3" t="str">
        <x:f>IF(D256="","",IFERROR(VLOOKUP(D256,'Base Sectores'!$A$5:$J$47,7,FALSE),""))</x:f>
      </x:c>
      <x:c r="K256" s="3" t="str">
        <x:f>IF(D256="","",IFERROR(VLOOKUP(D256,'Base Sectores'!$A$5:$J$47,9,FALSE),""))</x:f>
      </x:c>
      <x:c r="L256" s="6"/>
      <x:c r="M256" s="3" t="str">
        <x:f>IF(L256="","",IFERROR(VLOOKUP(L256,Configuracion!$D$4:$H$15,2,FALSE),""))</x:f>
      </x:c>
      <x:c r="N256" s="3" t="str">
        <x:f>IF(L256="","",IFERROR(VLOOKUP(L256,Configuracion!$D$4:$H$15,3,FALSE),""))</x:f>
      </x:c>
      <x:c r="O256" s="6"/>
      <x:c r="P256" s="3" t="str">
        <x:f>IF(L256="","",IFERROR(VLOOKUP(L256,Configuracion!$D$4:$H$15,4,FALSE),0))</x:f>
      </x:c>
      <x:c r="Q256" s="10"/>
      <x:c r="R256" s="10"/>
      <x:c r="S256" s="4" t="str">
        <x:f t="shared" si="31"/>
      </x:c>
      <x:c r="T256" s="6"/>
      <x:c r="U256" s="6"/>
      <x:c r="V256" s="6"/>
      <x:c r="W256" s="6"/>
      <x:c r="X256" s="6"/>
      <x:c r="Y256" s="6"/>
      <x:c r="Z256" s="6"/>
      <x:c r="AA256" s="6"/>
      <x:c r="AB256" s="6"/>
      <x:c r="AC256" s="10"/>
      <x:c r="AD256" s="10"/>
      <x:c r="AE256" s="4" t="str">
        <x:f t="shared" si="32"/>
      </x:c>
      <x:c r="AF256" s="4" t="str">
        <x:f t="shared" si="33"/>
      </x:c>
      <x:c r="AG256" s="4" t="str">
        <x:f t="shared" si="34"/>
      </x:c>
      <x:c r="AH256" s="11">
        <x:f t="shared" si="35"/>
        <x:v>0</x:v>
      </x:c>
      <x:c r="AI256" s="4" t="str">
        <x:f t="shared" si="36"/>
      </x:c>
      <x:c r="AJ256" s="4">
        <x:f t="shared" si="37"/>
        <x:v>0</x:v>
      </x:c>
      <x:c r="AK256" s="4">
        <x:f t="shared" si="38"/>
        <x:v>0</x:v>
      </x:c>
      <x:c r="AL256" s="11">
        <x:f t="shared" si="39"/>
        <x:v>0</x:v>
      </x:c>
      <x:c r="AM256" s="6"/>
      <x:c r="AN256" s="6"/>
    </x:row>
    <x:row r="257">
      <x:c r="A257" s="3" t="str">
        <x:f t="shared" si="30"/>
      </x:c>
      <x:c r="B257" s="9"/>
      <x:c r="C257" s="36"/>
      <x:c r="D257" s="6"/>
      <x:c r="E257" s="3" t="str">
        <x:f>IF(D257="","",IFERROR(VLOOKUP(D257,'Base Sectores'!$A$5:$J$47,2,FALSE),""))</x:f>
      </x:c>
      <x:c r="F257" s="40" t="str">
        <x:f>IF(D257="","",IFERROR(VLOOKUP(D257,'Base Sectores'!$A$5:$J$47,3,FALSE),""))</x:f>
      </x:c>
      <x:c r="G257" s="3" t="str">
        <x:f>IF(D257="","",IFERROR(VLOOKUP(D257,'Base Sectores'!$A$5:$J$47,4,FALSE),""))</x:f>
      </x:c>
      <x:c r="H257" s="3" t="str">
        <x:f>IF(D257="","",IFERROR(VLOOKUP(D257,'Base Sectores'!$A$5:$J$47,5,FALSE),""))</x:f>
      </x:c>
      <x:c r="I257" s="3" t="str">
        <x:f>IF(D257="","",IFERROR(VLOOKUP(D257,'Base Sectores'!$A$5:$J$47,6,FALSE),""))</x:f>
      </x:c>
      <x:c r="J257" s="3" t="str">
        <x:f>IF(D257="","",IFERROR(VLOOKUP(D257,'Base Sectores'!$A$5:$J$47,7,FALSE),""))</x:f>
      </x:c>
      <x:c r="K257" s="3" t="str">
        <x:f>IF(D257="","",IFERROR(VLOOKUP(D257,'Base Sectores'!$A$5:$J$47,9,FALSE),""))</x:f>
      </x:c>
      <x:c r="L257" s="6"/>
      <x:c r="M257" s="3" t="str">
        <x:f>IF(L257="","",IFERROR(VLOOKUP(L257,Configuracion!$D$4:$H$15,2,FALSE),""))</x:f>
      </x:c>
      <x:c r="N257" s="3" t="str">
        <x:f>IF(L257="","",IFERROR(VLOOKUP(L257,Configuracion!$D$4:$H$15,3,FALSE),""))</x:f>
      </x:c>
      <x:c r="O257" s="6"/>
      <x:c r="P257" s="3" t="str">
        <x:f>IF(L257="","",IFERROR(VLOOKUP(L257,Configuracion!$D$4:$H$15,4,FALSE),0))</x:f>
      </x:c>
      <x:c r="Q257" s="10"/>
      <x:c r="R257" s="10"/>
      <x:c r="S257" s="4" t="str">
        <x:f t="shared" si="31"/>
      </x:c>
      <x:c r="T257" s="6"/>
      <x:c r="U257" s="6"/>
      <x:c r="V257" s="6"/>
      <x:c r="W257" s="6"/>
      <x:c r="X257" s="6"/>
      <x:c r="Y257" s="6"/>
      <x:c r="Z257" s="6"/>
      <x:c r="AA257" s="6"/>
      <x:c r="AB257" s="6"/>
      <x:c r="AC257" s="10"/>
      <x:c r="AD257" s="10"/>
      <x:c r="AE257" s="4" t="str">
        <x:f t="shared" si="32"/>
      </x:c>
      <x:c r="AF257" s="4" t="str">
        <x:f t="shared" si="33"/>
      </x:c>
      <x:c r="AG257" s="4" t="str">
        <x:f t="shared" si="34"/>
      </x:c>
      <x:c r="AH257" s="11">
        <x:f t="shared" si="35"/>
        <x:v>0</x:v>
      </x:c>
      <x:c r="AI257" s="4" t="str">
        <x:f t="shared" si="36"/>
      </x:c>
      <x:c r="AJ257" s="4">
        <x:f t="shared" si="37"/>
        <x:v>0</x:v>
      </x:c>
      <x:c r="AK257" s="4">
        <x:f t="shared" si="38"/>
        <x:v>0</x:v>
      </x:c>
      <x:c r="AL257" s="11">
        <x:f t="shared" si="39"/>
        <x:v>0</x:v>
      </x:c>
      <x:c r="AM257" s="6"/>
      <x:c r="AN257" s="6"/>
    </x:row>
    <x:row r="258">
      <x:c r="A258" s="3" t="str">
        <x:f t="shared" si="30"/>
      </x:c>
      <x:c r="B258" s="9"/>
      <x:c r="C258" s="36"/>
      <x:c r="D258" s="6"/>
      <x:c r="E258" s="3" t="str">
        <x:f>IF(D258="","",IFERROR(VLOOKUP(D258,'Base Sectores'!$A$5:$J$47,2,FALSE),""))</x:f>
      </x:c>
      <x:c r="F258" s="40" t="str">
        <x:f>IF(D258="","",IFERROR(VLOOKUP(D258,'Base Sectores'!$A$5:$J$47,3,FALSE),""))</x:f>
      </x:c>
      <x:c r="G258" s="3" t="str">
        <x:f>IF(D258="","",IFERROR(VLOOKUP(D258,'Base Sectores'!$A$5:$J$47,4,FALSE),""))</x:f>
      </x:c>
      <x:c r="H258" s="3" t="str">
        <x:f>IF(D258="","",IFERROR(VLOOKUP(D258,'Base Sectores'!$A$5:$J$47,5,FALSE),""))</x:f>
      </x:c>
      <x:c r="I258" s="3" t="str">
        <x:f>IF(D258="","",IFERROR(VLOOKUP(D258,'Base Sectores'!$A$5:$J$47,6,FALSE),""))</x:f>
      </x:c>
      <x:c r="J258" s="3" t="str">
        <x:f>IF(D258="","",IFERROR(VLOOKUP(D258,'Base Sectores'!$A$5:$J$47,7,FALSE),""))</x:f>
      </x:c>
      <x:c r="K258" s="3" t="str">
        <x:f>IF(D258="","",IFERROR(VLOOKUP(D258,'Base Sectores'!$A$5:$J$47,9,FALSE),""))</x:f>
      </x:c>
      <x:c r="L258" s="6"/>
      <x:c r="M258" s="3" t="str">
        <x:f>IF(L258="","",IFERROR(VLOOKUP(L258,Configuracion!$D$4:$H$15,2,FALSE),""))</x:f>
      </x:c>
      <x:c r="N258" s="3" t="str">
        <x:f>IF(L258="","",IFERROR(VLOOKUP(L258,Configuracion!$D$4:$H$15,3,FALSE),""))</x:f>
      </x:c>
      <x:c r="O258" s="6"/>
      <x:c r="P258" s="3" t="str">
        <x:f>IF(L258="","",IFERROR(VLOOKUP(L258,Configuracion!$D$4:$H$15,4,FALSE),0))</x:f>
      </x:c>
      <x:c r="Q258" s="10"/>
      <x:c r="R258" s="10"/>
      <x:c r="S258" s="4" t="str">
        <x:f t="shared" si="31"/>
      </x:c>
      <x:c r="T258" s="6"/>
      <x:c r="U258" s="6"/>
      <x:c r="V258" s="6"/>
      <x:c r="W258" s="6"/>
      <x:c r="X258" s="6"/>
      <x:c r="Y258" s="6"/>
      <x:c r="Z258" s="6"/>
      <x:c r="AA258" s="6"/>
      <x:c r="AB258" s="6"/>
      <x:c r="AC258" s="10"/>
      <x:c r="AD258" s="10"/>
      <x:c r="AE258" s="4" t="str">
        <x:f t="shared" si="32"/>
      </x:c>
      <x:c r="AF258" s="4" t="str">
        <x:f t="shared" si="33"/>
      </x:c>
      <x:c r="AG258" s="4" t="str">
        <x:f t="shared" si="34"/>
      </x:c>
      <x:c r="AH258" s="11">
        <x:f t="shared" si="35"/>
        <x:v>0</x:v>
      </x:c>
      <x:c r="AI258" s="4" t="str">
        <x:f t="shared" si="36"/>
      </x:c>
      <x:c r="AJ258" s="4">
        <x:f t="shared" si="37"/>
        <x:v>0</x:v>
      </x:c>
      <x:c r="AK258" s="4">
        <x:f t="shared" si="38"/>
        <x:v>0</x:v>
      </x:c>
      <x:c r="AL258" s="11">
        <x:f t="shared" si="39"/>
        <x:v>0</x:v>
      </x:c>
      <x:c r="AM258" s="6"/>
      <x:c r="AN258" s="6"/>
    </x:row>
    <x:row r="259">
      <x:c r="A259" s="3" t="str">
        <x:f t="shared" si="30"/>
      </x:c>
      <x:c r="B259" s="9"/>
      <x:c r="C259" s="36"/>
      <x:c r="D259" s="6"/>
      <x:c r="E259" s="3" t="str">
        <x:f>IF(D259="","",IFERROR(VLOOKUP(D259,'Base Sectores'!$A$5:$J$47,2,FALSE),""))</x:f>
      </x:c>
      <x:c r="F259" s="40" t="str">
        <x:f>IF(D259="","",IFERROR(VLOOKUP(D259,'Base Sectores'!$A$5:$J$47,3,FALSE),""))</x:f>
      </x:c>
      <x:c r="G259" s="3" t="str">
        <x:f>IF(D259="","",IFERROR(VLOOKUP(D259,'Base Sectores'!$A$5:$J$47,4,FALSE),""))</x:f>
      </x:c>
      <x:c r="H259" s="3" t="str">
        <x:f>IF(D259="","",IFERROR(VLOOKUP(D259,'Base Sectores'!$A$5:$J$47,5,FALSE),""))</x:f>
      </x:c>
      <x:c r="I259" s="3" t="str">
        <x:f>IF(D259="","",IFERROR(VLOOKUP(D259,'Base Sectores'!$A$5:$J$47,6,FALSE),""))</x:f>
      </x:c>
      <x:c r="J259" s="3" t="str">
        <x:f>IF(D259="","",IFERROR(VLOOKUP(D259,'Base Sectores'!$A$5:$J$47,7,FALSE),""))</x:f>
      </x:c>
      <x:c r="K259" s="3" t="str">
        <x:f>IF(D259="","",IFERROR(VLOOKUP(D259,'Base Sectores'!$A$5:$J$47,9,FALSE),""))</x:f>
      </x:c>
      <x:c r="L259" s="6"/>
      <x:c r="M259" s="3" t="str">
        <x:f>IF(L259="","",IFERROR(VLOOKUP(L259,Configuracion!$D$4:$H$15,2,FALSE),""))</x:f>
      </x:c>
      <x:c r="N259" s="3" t="str">
        <x:f>IF(L259="","",IFERROR(VLOOKUP(L259,Configuracion!$D$4:$H$15,3,FALSE),""))</x:f>
      </x:c>
      <x:c r="O259" s="6"/>
      <x:c r="P259" s="3" t="str">
        <x:f>IF(L259="","",IFERROR(VLOOKUP(L259,Configuracion!$D$4:$H$15,4,FALSE),0))</x:f>
      </x:c>
      <x:c r="Q259" s="10"/>
      <x:c r="R259" s="10"/>
      <x:c r="S259" s="4" t="str">
        <x:f t="shared" si="31"/>
      </x:c>
      <x:c r="T259" s="6"/>
      <x:c r="U259" s="6"/>
      <x:c r="V259" s="6"/>
      <x:c r="W259" s="6"/>
      <x:c r="X259" s="6"/>
      <x:c r="Y259" s="6"/>
      <x:c r="Z259" s="6"/>
      <x:c r="AA259" s="6"/>
      <x:c r="AB259" s="6"/>
      <x:c r="AC259" s="10"/>
      <x:c r="AD259" s="10"/>
      <x:c r="AE259" s="4" t="str">
        <x:f t="shared" si="32"/>
      </x:c>
      <x:c r="AF259" s="4" t="str">
        <x:f t="shared" si="33"/>
      </x:c>
      <x:c r="AG259" s="4" t="str">
        <x:f t="shared" si="34"/>
      </x:c>
      <x:c r="AH259" s="11">
        <x:f t="shared" si="35"/>
        <x:v>0</x:v>
      </x:c>
      <x:c r="AI259" s="4" t="str">
        <x:f t="shared" si="36"/>
      </x:c>
      <x:c r="AJ259" s="4">
        <x:f t="shared" si="37"/>
        <x:v>0</x:v>
      </x:c>
      <x:c r="AK259" s="4">
        <x:f t="shared" si="38"/>
        <x:v>0</x:v>
      </x:c>
      <x:c r="AL259" s="11">
        <x:f t="shared" si="39"/>
        <x:v>0</x:v>
      </x:c>
      <x:c r="AM259" s="6"/>
      <x:c r="AN259" s="6"/>
    </x:row>
    <x:row r="260">
      <x:c r="A260" s="3" t="str">
        <x:f t="shared" si="30"/>
      </x:c>
      <x:c r="B260" s="9"/>
      <x:c r="C260" s="36"/>
      <x:c r="D260" s="6"/>
      <x:c r="E260" s="3" t="str">
        <x:f>IF(D260="","",IFERROR(VLOOKUP(D260,'Base Sectores'!$A$5:$J$47,2,FALSE),""))</x:f>
      </x:c>
      <x:c r="F260" s="40" t="str">
        <x:f>IF(D260="","",IFERROR(VLOOKUP(D260,'Base Sectores'!$A$5:$J$47,3,FALSE),""))</x:f>
      </x:c>
      <x:c r="G260" s="3" t="str">
        <x:f>IF(D260="","",IFERROR(VLOOKUP(D260,'Base Sectores'!$A$5:$J$47,4,FALSE),""))</x:f>
      </x:c>
      <x:c r="H260" s="3" t="str">
        <x:f>IF(D260="","",IFERROR(VLOOKUP(D260,'Base Sectores'!$A$5:$J$47,5,FALSE),""))</x:f>
      </x:c>
      <x:c r="I260" s="3" t="str">
        <x:f>IF(D260="","",IFERROR(VLOOKUP(D260,'Base Sectores'!$A$5:$J$47,6,FALSE),""))</x:f>
      </x:c>
      <x:c r="J260" s="3" t="str">
        <x:f>IF(D260="","",IFERROR(VLOOKUP(D260,'Base Sectores'!$A$5:$J$47,7,FALSE),""))</x:f>
      </x:c>
      <x:c r="K260" s="3" t="str">
        <x:f>IF(D260="","",IFERROR(VLOOKUP(D260,'Base Sectores'!$A$5:$J$47,9,FALSE),""))</x:f>
      </x:c>
      <x:c r="L260" s="6"/>
      <x:c r="M260" s="3" t="str">
        <x:f>IF(L260="","",IFERROR(VLOOKUP(L260,Configuracion!$D$4:$H$15,2,FALSE),""))</x:f>
      </x:c>
      <x:c r="N260" s="3" t="str">
        <x:f>IF(L260="","",IFERROR(VLOOKUP(L260,Configuracion!$D$4:$H$15,3,FALSE),""))</x:f>
      </x:c>
      <x:c r="O260" s="6"/>
      <x:c r="P260" s="3" t="str">
        <x:f>IF(L260="","",IFERROR(VLOOKUP(L260,Configuracion!$D$4:$H$15,4,FALSE),0))</x:f>
      </x:c>
      <x:c r="Q260" s="10"/>
      <x:c r="R260" s="10"/>
      <x:c r="S260" s="4" t="str">
        <x:f t="shared" si="31"/>
      </x:c>
      <x:c r="T260" s="6"/>
      <x:c r="U260" s="6"/>
      <x:c r="V260" s="6"/>
      <x:c r="W260" s="6"/>
      <x:c r="X260" s="6"/>
      <x:c r="Y260" s="6"/>
      <x:c r="Z260" s="6"/>
      <x:c r="AA260" s="6"/>
      <x:c r="AB260" s="6"/>
      <x:c r="AC260" s="10"/>
      <x:c r="AD260" s="10"/>
      <x:c r="AE260" s="4" t="str">
        <x:f t="shared" si="32"/>
      </x:c>
      <x:c r="AF260" s="4" t="str">
        <x:f t="shared" si="33"/>
      </x:c>
      <x:c r="AG260" s="4" t="str">
        <x:f t="shared" si="34"/>
      </x:c>
      <x:c r="AH260" s="11">
        <x:f t="shared" si="35"/>
        <x:v>0</x:v>
      </x:c>
      <x:c r="AI260" s="4" t="str">
        <x:f t="shared" si="36"/>
      </x:c>
      <x:c r="AJ260" s="4">
        <x:f t="shared" si="37"/>
        <x:v>0</x:v>
      </x:c>
      <x:c r="AK260" s="4">
        <x:f t="shared" si="38"/>
        <x:v>0</x:v>
      </x:c>
      <x:c r="AL260" s="11">
        <x:f t="shared" si="39"/>
        <x:v>0</x:v>
      </x:c>
      <x:c r="AM260" s="6"/>
      <x:c r="AN260" s="6"/>
    </x:row>
    <x:row r="261">
      <x:c r="A261" s="3" t="str">
        <x:f t="shared" ref="A261:A304" si="40">IF(OR(B261="",C261=""),"",TEXT(B261,"yyyymmdd")&amp;"-"&amp;TEXT(C261,"00"))</x:f>
      </x:c>
      <x:c r="B261" s="9"/>
      <x:c r="C261" s="36"/>
      <x:c r="D261" s="6"/>
      <x:c r="E261" s="3" t="str">
        <x:f>IF(D261="","",IFERROR(VLOOKUP(D261,'Base Sectores'!$A$5:$J$47,2,FALSE),""))</x:f>
      </x:c>
      <x:c r="F261" s="40" t="str">
        <x:f>IF(D261="","",IFERROR(VLOOKUP(D261,'Base Sectores'!$A$5:$J$47,3,FALSE),""))</x:f>
      </x:c>
      <x:c r="G261" s="3" t="str">
        <x:f>IF(D261="","",IFERROR(VLOOKUP(D261,'Base Sectores'!$A$5:$J$47,4,FALSE),""))</x:f>
      </x:c>
      <x:c r="H261" s="3" t="str">
        <x:f>IF(D261="","",IFERROR(VLOOKUP(D261,'Base Sectores'!$A$5:$J$47,5,FALSE),""))</x:f>
      </x:c>
      <x:c r="I261" s="3" t="str">
        <x:f>IF(D261="","",IFERROR(VLOOKUP(D261,'Base Sectores'!$A$5:$J$47,6,FALSE),""))</x:f>
      </x:c>
      <x:c r="J261" s="3" t="str">
        <x:f>IF(D261="","",IFERROR(VLOOKUP(D261,'Base Sectores'!$A$5:$J$47,7,FALSE),""))</x:f>
      </x:c>
      <x:c r="K261" s="3" t="str">
        <x:f>IF(D261="","",IFERROR(VLOOKUP(D261,'Base Sectores'!$A$5:$J$47,9,FALSE),""))</x:f>
      </x:c>
      <x:c r="L261" s="6"/>
      <x:c r="M261" s="3" t="str">
        <x:f>IF(L261="","",IFERROR(VLOOKUP(L261,Configuracion!$D$4:$H$15,2,FALSE),""))</x:f>
      </x:c>
      <x:c r="N261" s="3" t="str">
        <x:f>IF(L261="","",IFERROR(VLOOKUP(L261,Configuracion!$D$4:$H$15,3,FALSE),""))</x:f>
      </x:c>
      <x:c r="O261" s="6"/>
      <x:c r="P261" s="3" t="str">
        <x:f>IF(L261="","",IFERROR(VLOOKUP(L261,Configuracion!$D$4:$H$15,4,FALSE),0))</x:f>
      </x:c>
      <x:c r="Q261" s="10"/>
      <x:c r="R261" s="10"/>
      <x:c r="S261" s="4" t="str">
        <x:f t="shared" ref="S261:S304" si="41">IF(OR(Q261="",R261=""),"",MOD(R261-Q261,1)*24)</x:f>
      </x:c>
      <x:c r="T261" s="6"/>
      <x:c r="U261" s="6"/>
      <x:c r="V261" s="6"/>
      <x:c r="W261" s="6"/>
      <x:c r="X261" s="6"/>
      <x:c r="Y261" s="6"/>
      <x:c r="Z261" s="6"/>
      <x:c r="AA261" s="6"/>
      <x:c r="AB261" s="6"/>
      <x:c r="AC261" s="10"/>
      <x:c r="AD261" s="10"/>
      <x:c r="AE261" s="4" t="str">
        <x:f t="shared" ref="AE261:AE304" si="42">IF(OR(AC261="",AD261=""),"",MOD(AD261-AC261,1)*24)</x:f>
      </x:c>
      <x:c r="AF261" s="4" t="str">
        <x:f t="shared" ref="AF261:AF304" si="43">IF(OR(S261="",U261=""),"",S261*U261)</x:f>
      </x:c>
      <x:c r="AG261" s="4" t="str">
        <x:f t="shared" ref="AG261:AG304" si="44">IF(OR(AE261="",U261=""),"",AE261*U261)</x:f>
      </x:c>
      <x:c r="AH261" s="11" t="n">
        <x:f t="shared" ref="AH261:AH304" si="45">IFERROR(AB261/O261,0)</x:f>
        <x:v>0</x:v>
      </x:c>
      <x:c r="AI261" s="4" t="str">
        <x:f t="shared" ref="AI261:AI304" si="46">IF(OR(S261="",AE261=""),"",AE261-S261)</x:f>
      </x:c>
      <x:c r="AJ261" s="4" t="n">
        <x:f t="shared" ref="AJ261:AJ304" si="47">IFERROR(O261/S261,0)</x:f>
        <x:v>0</x:v>
      </x:c>
      <x:c r="AK261" s="4" t="n">
        <x:f t="shared" ref="AK261:AK304" si="48">IFERROR(AB261/AE261,0)</x:f>
        <x:v>0</x:v>
      </x:c>
      <x:c r="AL261" s="11" t="n">
        <x:f t="shared" ref="AL261:AL304" si="49">IFERROR(AK261/AJ261,0)</x:f>
        <x:v>0</x:v>
      </x:c>
      <x:c r="AM261" s="6"/>
      <x:c r="AN261" s="6"/>
    </x:row>
    <x:row r="262">
      <x:c r="A262" s="3" t="str">
        <x:f t="shared" si="40"/>
      </x:c>
      <x:c r="B262" s="9"/>
      <x:c r="C262" s="36"/>
      <x:c r="D262" s="6"/>
      <x:c r="E262" s="3" t="str">
        <x:f>IF(D262="","",IFERROR(VLOOKUP(D262,'Base Sectores'!$A$5:$J$47,2,FALSE),""))</x:f>
      </x:c>
      <x:c r="F262" s="40" t="str">
        <x:f>IF(D262="","",IFERROR(VLOOKUP(D262,'Base Sectores'!$A$5:$J$47,3,FALSE),""))</x:f>
      </x:c>
      <x:c r="G262" s="3" t="str">
        <x:f>IF(D262="","",IFERROR(VLOOKUP(D262,'Base Sectores'!$A$5:$J$47,4,FALSE),""))</x:f>
      </x:c>
      <x:c r="H262" s="3" t="str">
        <x:f>IF(D262="","",IFERROR(VLOOKUP(D262,'Base Sectores'!$A$5:$J$47,5,FALSE),""))</x:f>
      </x:c>
      <x:c r="I262" s="3" t="str">
        <x:f>IF(D262="","",IFERROR(VLOOKUP(D262,'Base Sectores'!$A$5:$J$47,6,FALSE),""))</x:f>
      </x:c>
      <x:c r="J262" s="3" t="str">
        <x:f>IF(D262="","",IFERROR(VLOOKUP(D262,'Base Sectores'!$A$5:$J$47,7,FALSE),""))</x:f>
      </x:c>
      <x:c r="K262" s="3" t="str">
        <x:f>IF(D262="","",IFERROR(VLOOKUP(D262,'Base Sectores'!$A$5:$J$47,9,FALSE),""))</x:f>
      </x:c>
      <x:c r="L262" s="6"/>
      <x:c r="M262" s="3" t="str">
        <x:f>IF(L262="","",IFERROR(VLOOKUP(L262,Configuracion!$D$4:$H$15,2,FALSE),""))</x:f>
      </x:c>
      <x:c r="N262" s="3" t="str">
        <x:f>IF(L262="","",IFERROR(VLOOKUP(L262,Configuracion!$D$4:$H$15,3,FALSE),""))</x:f>
      </x:c>
      <x:c r="O262" s="6"/>
      <x:c r="P262" s="3" t="str">
        <x:f>IF(L262="","",IFERROR(VLOOKUP(L262,Configuracion!$D$4:$H$15,4,FALSE),0))</x:f>
      </x:c>
      <x:c r="Q262" s="10"/>
      <x:c r="R262" s="10"/>
      <x:c r="S262" s="4" t="str">
        <x:f t="shared" si="41"/>
      </x:c>
      <x:c r="T262" s="6"/>
      <x:c r="U262" s="6"/>
      <x:c r="V262" s="6"/>
      <x:c r="W262" s="6"/>
      <x:c r="X262" s="6"/>
      <x:c r="Y262" s="6"/>
      <x:c r="Z262" s="6"/>
      <x:c r="AA262" s="6"/>
      <x:c r="AB262" s="6"/>
      <x:c r="AC262" s="10"/>
      <x:c r="AD262" s="10"/>
      <x:c r="AE262" s="4" t="str">
        <x:f t="shared" si="42"/>
      </x:c>
      <x:c r="AF262" s="4" t="str">
        <x:f t="shared" si="43"/>
      </x:c>
      <x:c r="AG262" s="4" t="str">
        <x:f t="shared" si="44"/>
      </x:c>
      <x:c r="AH262" s="11">
        <x:f t="shared" si="45"/>
        <x:v>0</x:v>
      </x:c>
      <x:c r="AI262" s="4" t="str">
        <x:f t="shared" si="46"/>
      </x:c>
      <x:c r="AJ262" s="4">
        <x:f t="shared" si="47"/>
        <x:v>0</x:v>
      </x:c>
      <x:c r="AK262" s="4">
        <x:f t="shared" si="48"/>
        <x:v>0</x:v>
      </x:c>
      <x:c r="AL262" s="11">
        <x:f t="shared" si="49"/>
        <x:v>0</x:v>
      </x:c>
      <x:c r="AM262" s="6"/>
      <x:c r="AN262" s="6"/>
    </x:row>
    <x:row r="263">
      <x:c r="A263" s="3" t="str">
        <x:f t="shared" si="40"/>
      </x:c>
      <x:c r="B263" s="9"/>
      <x:c r="C263" s="36"/>
      <x:c r="D263" s="6"/>
      <x:c r="E263" s="3" t="str">
        <x:f>IF(D263="","",IFERROR(VLOOKUP(D263,'Base Sectores'!$A$5:$J$47,2,FALSE),""))</x:f>
      </x:c>
      <x:c r="F263" s="40" t="str">
        <x:f>IF(D263="","",IFERROR(VLOOKUP(D263,'Base Sectores'!$A$5:$J$47,3,FALSE),""))</x:f>
      </x:c>
      <x:c r="G263" s="3" t="str">
        <x:f>IF(D263="","",IFERROR(VLOOKUP(D263,'Base Sectores'!$A$5:$J$47,4,FALSE),""))</x:f>
      </x:c>
      <x:c r="H263" s="3" t="str">
        <x:f>IF(D263="","",IFERROR(VLOOKUP(D263,'Base Sectores'!$A$5:$J$47,5,FALSE),""))</x:f>
      </x:c>
      <x:c r="I263" s="3" t="str">
        <x:f>IF(D263="","",IFERROR(VLOOKUP(D263,'Base Sectores'!$A$5:$J$47,6,FALSE),""))</x:f>
      </x:c>
      <x:c r="J263" s="3" t="str">
        <x:f>IF(D263="","",IFERROR(VLOOKUP(D263,'Base Sectores'!$A$5:$J$47,7,FALSE),""))</x:f>
      </x:c>
      <x:c r="K263" s="3" t="str">
        <x:f>IF(D263="","",IFERROR(VLOOKUP(D263,'Base Sectores'!$A$5:$J$47,9,FALSE),""))</x:f>
      </x:c>
      <x:c r="L263" s="6"/>
      <x:c r="M263" s="3" t="str">
        <x:f>IF(L263="","",IFERROR(VLOOKUP(L263,Configuracion!$D$4:$H$15,2,FALSE),""))</x:f>
      </x:c>
      <x:c r="N263" s="3" t="str">
        <x:f>IF(L263="","",IFERROR(VLOOKUP(L263,Configuracion!$D$4:$H$15,3,FALSE),""))</x:f>
      </x:c>
      <x:c r="O263" s="6"/>
      <x:c r="P263" s="3" t="str">
        <x:f>IF(L263="","",IFERROR(VLOOKUP(L263,Configuracion!$D$4:$H$15,4,FALSE),0))</x:f>
      </x:c>
      <x:c r="Q263" s="10"/>
      <x:c r="R263" s="10"/>
      <x:c r="S263" s="4" t="str">
        <x:f t="shared" si="41"/>
      </x:c>
      <x:c r="T263" s="6"/>
      <x:c r="U263" s="6"/>
      <x:c r="V263" s="6"/>
      <x:c r="W263" s="6"/>
      <x:c r="X263" s="6"/>
      <x:c r="Y263" s="6"/>
      <x:c r="Z263" s="6"/>
      <x:c r="AA263" s="6"/>
      <x:c r="AB263" s="6"/>
      <x:c r="AC263" s="10"/>
      <x:c r="AD263" s="10"/>
      <x:c r="AE263" s="4" t="str">
        <x:f t="shared" si="42"/>
      </x:c>
      <x:c r="AF263" s="4" t="str">
        <x:f t="shared" si="43"/>
      </x:c>
      <x:c r="AG263" s="4" t="str">
        <x:f t="shared" si="44"/>
      </x:c>
      <x:c r="AH263" s="11">
        <x:f t="shared" si="45"/>
        <x:v>0</x:v>
      </x:c>
      <x:c r="AI263" s="4" t="str">
        <x:f t="shared" si="46"/>
      </x:c>
      <x:c r="AJ263" s="4">
        <x:f t="shared" si="47"/>
        <x:v>0</x:v>
      </x:c>
      <x:c r="AK263" s="4">
        <x:f t="shared" si="48"/>
        <x:v>0</x:v>
      </x:c>
      <x:c r="AL263" s="11">
        <x:f t="shared" si="49"/>
        <x:v>0</x:v>
      </x:c>
      <x:c r="AM263" s="6"/>
      <x:c r="AN263" s="6"/>
    </x:row>
    <x:row r="264">
      <x:c r="A264" s="3" t="str">
        <x:f t="shared" si="40"/>
      </x:c>
      <x:c r="B264" s="9"/>
      <x:c r="C264" s="36"/>
      <x:c r="D264" s="6"/>
      <x:c r="E264" s="3" t="str">
        <x:f>IF(D264="","",IFERROR(VLOOKUP(D264,'Base Sectores'!$A$5:$J$47,2,FALSE),""))</x:f>
      </x:c>
      <x:c r="F264" s="40" t="str">
        <x:f>IF(D264="","",IFERROR(VLOOKUP(D264,'Base Sectores'!$A$5:$J$47,3,FALSE),""))</x:f>
      </x:c>
      <x:c r="G264" s="3" t="str">
        <x:f>IF(D264="","",IFERROR(VLOOKUP(D264,'Base Sectores'!$A$5:$J$47,4,FALSE),""))</x:f>
      </x:c>
      <x:c r="H264" s="3" t="str">
        <x:f>IF(D264="","",IFERROR(VLOOKUP(D264,'Base Sectores'!$A$5:$J$47,5,FALSE),""))</x:f>
      </x:c>
      <x:c r="I264" s="3" t="str">
        <x:f>IF(D264="","",IFERROR(VLOOKUP(D264,'Base Sectores'!$A$5:$J$47,6,FALSE),""))</x:f>
      </x:c>
      <x:c r="J264" s="3" t="str">
        <x:f>IF(D264="","",IFERROR(VLOOKUP(D264,'Base Sectores'!$A$5:$J$47,7,FALSE),""))</x:f>
      </x:c>
      <x:c r="K264" s="3" t="str">
        <x:f>IF(D264="","",IFERROR(VLOOKUP(D264,'Base Sectores'!$A$5:$J$47,9,FALSE),""))</x:f>
      </x:c>
      <x:c r="L264" s="6"/>
      <x:c r="M264" s="3" t="str">
        <x:f>IF(L264="","",IFERROR(VLOOKUP(L264,Configuracion!$D$4:$H$15,2,FALSE),""))</x:f>
      </x:c>
      <x:c r="N264" s="3" t="str">
        <x:f>IF(L264="","",IFERROR(VLOOKUP(L264,Configuracion!$D$4:$H$15,3,FALSE),""))</x:f>
      </x:c>
      <x:c r="O264" s="6"/>
      <x:c r="P264" s="3" t="str">
        <x:f>IF(L264="","",IFERROR(VLOOKUP(L264,Configuracion!$D$4:$H$15,4,FALSE),0))</x:f>
      </x:c>
      <x:c r="Q264" s="10"/>
      <x:c r="R264" s="10"/>
      <x:c r="S264" s="4" t="str">
        <x:f t="shared" si="41"/>
      </x:c>
      <x:c r="T264" s="6"/>
      <x:c r="U264" s="6"/>
      <x:c r="V264" s="6"/>
      <x:c r="W264" s="6"/>
      <x:c r="X264" s="6"/>
      <x:c r="Y264" s="6"/>
      <x:c r="Z264" s="6"/>
      <x:c r="AA264" s="6"/>
      <x:c r="AB264" s="6"/>
      <x:c r="AC264" s="10"/>
      <x:c r="AD264" s="10"/>
      <x:c r="AE264" s="4" t="str">
        <x:f t="shared" si="42"/>
      </x:c>
      <x:c r="AF264" s="4" t="str">
        <x:f t="shared" si="43"/>
      </x:c>
      <x:c r="AG264" s="4" t="str">
        <x:f t="shared" si="44"/>
      </x:c>
      <x:c r="AH264" s="11">
        <x:f t="shared" si="45"/>
        <x:v>0</x:v>
      </x:c>
      <x:c r="AI264" s="4" t="str">
        <x:f t="shared" si="46"/>
      </x:c>
      <x:c r="AJ264" s="4">
        <x:f t="shared" si="47"/>
        <x:v>0</x:v>
      </x:c>
      <x:c r="AK264" s="4">
        <x:f t="shared" si="48"/>
        <x:v>0</x:v>
      </x:c>
      <x:c r="AL264" s="11">
        <x:f t="shared" si="49"/>
        <x:v>0</x:v>
      </x:c>
      <x:c r="AM264" s="6"/>
      <x:c r="AN264" s="6"/>
    </x:row>
    <x:row r="265">
      <x:c r="A265" s="3" t="str">
        <x:f t="shared" si="40"/>
      </x:c>
      <x:c r="B265" s="9"/>
      <x:c r="C265" s="36"/>
      <x:c r="D265" s="6"/>
      <x:c r="E265" s="3" t="str">
        <x:f>IF(D265="","",IFERROR(VLOOKUP(D265,'Base Sectores'!$A$5:$J$47,2,FALSE),""))</x:f>
      </x:c>
      <x:c r="F265" s="40" t="str">
        <x:f>IF(D265="","",IFERROR(VLOOKUP(D265,'Base Sectores'!$A$5:$J$47,3,FALSE),""))</x:f>
      </x:c>
      <x:c r="G265" s="3" t="str">
        <x:f>IF(D265="","",IFERROR(VLOOKUP(D265,'Base Sectores'!$A$5:$J$47,4,FALSE),""))</x:f>
      </x:c>
      <x:c r="H265" s="3" t="str">
        <x:f>IF(D265="","",IFERROR(VLOOKUP(D265,'Base Sectores'!$A$5:$J$47,5,FALSE),""))</x:f>
      </x:c>
      <x:c r="I265" s="3" t="str">
        <x:f>IF(D265="","",IFERROR(VLOOKUP(D265,'Base Sectores'!$A$5:$J$47,6,FALSE),""))</x:f>
      </x:c>
      <x:c r="J265" s="3" t="str">
        <x:f>IF(D265="","",IFERROR(VLOOKUP(D265,'Base Sectores'!$A$5:$J$47,7,FALSE),""))</x:f>
      </x:c>
      <x:c r="K265" s="3" t="str">
        <x:f>IF(D265="","",IFERROR(VLOOKUP(D265,'Base Sectores'!$A$5:$J$47,9,FALSE),""))</x:f>
      </x:c>
      <x:c r="L265" s="6"/>
      <x:c r="M265" s="3" t="str">
        <x:f>IF(L265="","",IFERROR(VLOOKUP(L265,Configuracion!$D$4:$H$15,2,FALSE),""))</x:f>
      </x:c>
      <x:c r="N265" s="3" t="str">
        <x:f>IF(L265="","",IFERROR(VLOOKUP(L265,Configuracion!$D$4:$H$15,3,FALSE),""))</x:f>
      </x:c>
      <x:c r="O265" s="6"/>
      <x:c r="P265" s="3" t="str">
        <x:f>IF(L265="","",IFERROR(VLOOKUP(L265,Configuracion!$D$4:$H$15,4,FALSE),0))</x:f>
      </x:c>
      <x:c r="Q265" s="10"/>
      <x:c r="R265" s="10"/>
      <x:c r="S265" s="4" t="str">
        <x:f t="shared" si="41"/>
      </x:c>
      <x:c r="T265" s="6"/>
      <x:c r="U265" s="6"/>
      <x:c r="V265" s="6"/>
      <x:c r="W265" s="6"/>
      <x:c r="X265" s="6"/>
      <x:c r="Y265" s="6"/>
      <x:c r="Z265" s="6"/>
      <x:c r="AA265" s="6"/>
      <x:c r="AB265" s="6"/>
      <x:c r="AC265" s="10"/>
      <x:c r="AD265" s="10"/>
      <x:c r="AE265" s="4" t="str">
        <x:f t="shared" si="42"/>
      </x:c>
      <x:c r="AF265" s="4" t="str">
        <x:f t="shared" si="43"/>
      </x:c>
      <x:c r="AG265" s="4" t="str">
        <x:f t="shared" si="44"/>
      </x:c>
      <x:c r="AH265" s="11">
        <x:f t="shared" si="45"/>
        <x:v>0</x:v>
      </x:c>
      <x:c r="AI265" s="4" t="str">
        <x:f t="shared" si="46"/>
      </x:c>
      <x:c r="AJ265" s="4">
        <x:f t="shared" si="47"/>
        <x:v>0</x:v>
      </x:c>
      <x:c r="AK265" s="4">
        <x:f t="shared" si="48"/>
        <x:v>0</x:v>
      </x:c>
      <x:c r="AL265" s="11">
        <x:f t="shared" si="49"/>
        <x:v>0</x:v>
      </x:c>
      <x:c r="AM265" s="6"/>
      <x:c r="AN265" s="6"/>
    </x:row>
    <x:row r="266">
      <x:c r="A266" s="3" t="str">
        <x:f t="shared" si="40"/>
      </x:c>
      <x:c r="B266" s="9"/>
      <x:c r="C266" s="36"/>
      <x:c r="D266" s="6"/>
      <x:c r="E266" s="3" t="str">
        <x:f>IF(D266="","",IFERROR(VLOOKUP(D266,'Base Sectores'!$A$5:$J$47,2,FALSE),""))</x:f>
      </x:c>
      <x:c r="F266" s="40" t="str">
        <x:f>IF(D266="","",IFERROR(VLOOKUP(D266,'Base Sectores'!$A$5:$J$47,3,FALSE),""))</x:f>
      </x:c>
      <x:c r="G266" s="3" t="str">
        <x:f>IF(D266="","",IFERROR(VLOOKUP(D266,'Base Sectores'!$A$5:$J$47,4,FALSE),""))</x:f>
      </x:c>
      <x:c r="H266" s="3" t="str">
        <x:f>IF(D266="","",IFERROR(VLOOKUP(D266,'Base Sectores'!$A$5:$J$47,5,FALSE),""))</x:f>
      </x:c>
      <x:c r="I266" s="3" t="str">
        <x:f>IF(D266="","",IFERROR(VLOOKUP(D266,'Base Sectores'!$A$5:$J$47,6,FALSE),""))</x:f>
      </x:c>
      <x:c r="J266" s="3" t="str">
        <x:f>IF(D266="","",IFERROR(VLOOKUP(D266,'Base Sectores'!$A$5:$J$47,7,FALSE),""))</x:f>
      </x:c>
      <x:c r="K266" s="3" t="str">
        <x:f>IF(D266="","",IFERROR(VLOOKUP(D266,'Base Sectores'!$A$5:$J$47,9,FALSE),""))</x:f>
      </x:c>
      <x:c r="L266" s="6"/>
      <x:c r="M266" s="3" t="str">
        <x:f>IF(L266="","",IFERROR(VLOOKUP(L266,Configuracion!$D$4:$H$15,2,FALSE),""))</x:f>
      </x:c>
      <x:c r="N266" s="3" t="str">
        <x:f>IF(L266="","",IFERROR(VLOOKUP(L266,Configuracion!$D$4:$H$15,3,FALSE),""))</x:f>
      </x:c>
      <x:c r="O266" s="6"/>
      <x:c r="P266" s="3" t="str">
        <x:f>IF(L266="","",IFERROR(VLOOKUP(L266,Configuracion!$D$4:$H$15,4,FALSE),0))</x:f>
      </x:c>
      <x:c r="Q266" s="10"/>
      <x:c r="R266" s="10"/>
      <x:c r="S266" s="4" t="str">
        <x:f t="shared" si="41"/>
      </x:c>
      <x:c r="T266" s="6"/>
      <x:c r="U266" s="6"/>
      <x:c r="V266" s="6"/>
      <x:c r="W266" s="6"/>
      <x:c r="X266" s="6"/>
      <x:c r="Y266" s="6"/>
      <x:c r="Z266" s="6"/>
      <x:c r="AA266" s="6"/>
      <x:c r="AB266" s="6"/>
      <x:c r="AC266" s="10"/>
      <x:c r="AD266" s="10"/>
      <x:c r="AE266" s="4" t="str">
        <x:f t="shared" si="42"/>
      </x:c>
      <x:c r="AF266" s="4" t="str">
        <x:f t="shared" si="43"/>
      </x:c>
      <x:c r="AG266" s="4" t="str">
        <x:f t="shared" si="44"/>
      </x:c>
      <x:c r="AH266" s="11">
        <x:f t="shared" si="45"/>
        <x:v>0</x:v>
      </x:c>
      <x:c r="AI266" s="4" t="str">
        <x:f t="shared" si="46"/>
      </x:c>
      <x:c r="AJ266" s="4">
        <x:f t="shared" si="47"/>
        <x:v>0</x:v>
      </x:c>
      <x:c r="AK266" s="4">
        <x:f t="shared" si="48"/>
        <x:v>0</x:v>
      </x:c>
      <x:c r="AL266" s="11">
        <x:f t="shared" si="49"/>
        <x:v>0</x:v>
      </x:c>
      <x:c r="AM266" s="6"/>
      <x:c r="AN266" s="6"/>
    </x:row>
    <x:row r="267">
      <x:c r="A267" s="3" t="str">
        <x:f t="shared" si="40"/>
      </x:c>
      <x:c r="B267" s="9"/>
      <x:c r="C267" s="36"/>
      <x:c r="D267" s="6"/>
      <x:c r="E267" s="3" t="str">
        <x:f>IF(D267="","",IFERROR(VLOOKUP(D267,'Base Sectores'!$A$5:$J$47,2,FALSE),""))</x:f>
      </x:c>
      <x:c r="F267" s="40" t="str">
        <x:f>IF(D267="","",IFERROR(VLOOKUP(D267,'Base Sectores'!$A$5:$J$47,3,FALSE),""))</x:f>
      </x:c>
      <x:c r="G267" s="3" t="str">
        <x:f>IF(D267="","",IFERROR(VLOOKUP(D267,'Base Sectores'!$A$5:$J$47,4,FALSE),""))</x:f>
      </x:c>
      <x:c r="H267" s="3" t="str">
        <x:f>IF(D267="","",IFERROR(VLOOKUP(D267,'Base Sectores'!$A$5:$J$47,5,FALSE),""))</x:f>
      </x:c>
      <x:c r="I267" s="3" t="str">
        <x:f>IF(D267="","",IFERROR(VLOOKUP(D267,'Base Sectores'!$A$5:$J$47,6,FALSE),""))</x:f>
      </x:c>
      <x:c r="J267" s="3" t="str">
        <x:f>IF(D267="","",IFERROR(VLOOKUP(D267,'Base Sectores'!$A$5:$J$47,7,FALSE),""))</x:f>
      </x:c>
      <x:c r="K267" s="3" t="str">
        <x:f>IF(D267="","",IFERROR(VLOOKUP(D267,'Base Sectores'!$A$5:$J$47,9,FALSE),""))</x:f>
      </x:c>
      <x:c r="L267" s="6"/>
      <x:c r="M267" s="3" t="str">
        <x:f>IF(L267="","",IFERROR(VLOOKUP(L267,Configuracion!$D$4:$H$15,2,FALSE),""))</x:f>
      </x:c>
      <x:c r="N267" s="3" t="str">
        <x:f>IF(L267="","",IFERROR(VLOOKUP(L267,Configuracion!$D$4:$H$15,3,FALSE),""))</x:f>
      </x:c>
      <x:c r="O267" s="6"/>
      <x:c r="P267" s="3" t="str">
        <x:f>IF(L267="","",IFERROR(VLOOKUP(L267,Configuracion!$D$4:$H$15,4,FALSE),0))</x:f>
      </x:c>
      <x:c r="Q267" s="10"/>
      <x:c r="R267" s="10"/>
      <x:c r="S267" s="4" t="str">
        <x:f t="shared" si="41"/>
      </x:c>
      <x:c r="T267" s="6"/>
      <x:c r="U267" s="6"/>
      <x:c r="V267" s="6"/>
      <x:c r="W267" s="6"/>
      <x:c r="X267" s="6"/>
      <x:c r="Y267" s="6"/>
      <x:c r="Z267" s="6"/>
      <x:c r="AA267" s="6"/>
      <x:c r="AB267" s="6"/>
      <x:c r="AC267" s="10"/>
      <x:c r="AD267" s="10"/>
      <x:c r="AE267" s="4" t="str">
        <x:f t="shared" si="42"/>
      </x:c>
      <x:c r="AF267" s="4" t="str">
        <x:f t="shared" si="43"/>
      </x:c>
      <x:c r="AG267" s="4" t="str">
        <x:f t="shared" si="44"/>
      </x:c>
      <x:c r="AH267" s="11">
        <x:f t="shared" si="45"/>
        <x:v>0</x:v>
      </x:c>
      <x:c r="AI267" s="4" t="str">
        <x:f t="shared" si="46"/>
      </x:c>
      <x:c r="AJ267" s="4">
        <x:f t="shared" si="47"/>
        <x:v>0</x:v>
      </x:c>
      <x:c r="AK267" s="4">
        <x:f t="shared" si="48"/>
        <x:v>0</x:v>
      </x:c>
      <x:c r="AL267" s="11">
        <x:f t="shared" si="49"/>
        <x:v>0</x:v>
      </x:c>
      <x:c r="AM267" s="6"/>
      <x:c r="AN267" s="6"/>
    </x:row>
    <x:row r="268">
      <x:c r="A268" s="3" t="str">
        <x:f t="shared" si="40"/>
      </x:c>
      <x:c r="B268" s="9"/>
      <x:c r="C268" s="36"/>
      <x:c r="D268" s="6"/>
      <x:c r="E268" s="3" t="str">
        <x:f>IF(D268="","",IFERROR(VLOOKUP(D268,'Base Sectores'!$A$5:$J$47,2,FALSE),""))</x:f>
      </x:c>
      <x:c r="F268" s="40" t="str">
        <x:f>IF(D268="","",IFERROR(VLOOKUP(D268,'Base Sectores'!$A$5:$J$47,3,FALSE),""))</x:f>
      </x:c>
      <x:c r="G268" s="3" t="str">
        <x:f>IF(D268="","",IFERROR(VLOOKUP(D268,'Base Sectores'!$A$5:$J$47,4,FALSE),""))</x:f>
      </x:c>
      <x:c r="H268" s="3" t="str">
        <x:f>IF(D268="","",IFERROR(VLOOKUP(D268,'Base Sectores'!$A$5:$J$47,5,FALSE),""))</x:f>
      </x:c>
      <x:c r="I268" s="3" t="str">
        <x:f>IF(D268="","",IFERROR(VLOOKUP(D268,'Base Sectores'!$A$5:$J$47,6,FALSE),""))</x:f>
      </x:c>
      <x:c r="J268" s="3" t="str">
        <x:f>IF(D268="","",IFERROR(VLOOKUP(D268,'Base Sectores'!$A$5:$J$47,7,FALSE),""))</x:f>
      </x:c>
      <x:c r="K268" s="3" t="str">
        <x:f>IF(D268="","",IFERROR(VLOOKUP(D268,'Base Sectores'!$A$5:$J$47,9,FALSE),""))</x:f>
      </x:c>
      <x:c r="L268" s="6"/>
      <x:c r="M268" s="3" t="str">
        <x:f>IF(L268="","",IFERROR(VLOOKUP(L268,Configuracion!$D$4:$H$15,2,FALSE),""))</x:f>
      </x:c>
      <x:c r="N268" s="3" t="str">
        <x:f>IF(L268="","",IFERROR(VLOOKUP(L268,Configuracion!$D$4:$H$15,3,FALSE),""))</x:f>
      </x:c>
      <x:c r="O268" s="6"/>
      <x:c r="P268" s="3" t="str">
        <x:f>IF(L268="","",IFERROR(VLOOKUP(L268,Configuracion!$D$4:$H$15,4,FALSE),0))</x:f>
      </x:c>
      <x:c r="Q268" s="10"/>
      <x:c r="R268" s="10"/>
      <x:c r="S268" s="4" t="str">
        <x:f t="shared" si="41"/>
      </x:c>
      <x:c r="T268" s="6"/>
      <x:c r="U268" s="6"/>
      <x:c r="V268" s="6"/>
      <x:c r="W268" s="6"/>
      <x:c r="X268" s="6"/>
      <x:c r="Y268" s="6"/>
      <x:c r="Z268" s="6"/>
      <x:c r="AA268" s="6"/>
      <x:c r="AB268" s="6"/>
      <x:c r="AC268" s="10"/>
      <x:c r="AD268" s="10"/>
      <x:c r="AE268" s="4" t="str">
        <x:f t="shared" si="42"/>
      </x:c>
      <x:c r="AF268" s="4" t="str">
        <x:f t="shared" si="43"/>
      </x:c>
      <x:c r="AG268" s="4" t="str">
        <x:f t="shared" si="44"/>
      </x:c>
      <x:c r="AH268" s="11">
        <x:f t="shared" si="45"/>
        <x:v>0</x:v>
      </x:c>
      <x:c r="AI268" s="4" t="str">
        <x:f t="shared" si="46"/>
      </x:c>
      <x:c r="AJ268" s="4">
        <x:f t="shared" si="47"/>
        <x:v>0</x:v>
      </x:c>
      <x:c r="AK268" s="4">
        <x:f t="shared" si="48"/>
        <x:v>0</x:v>
      </x:c>
      <x:c r="AL268" s="11">
        <x:f t="shared" si="49"/>
        <x:v>0</x:v>
      </x:c>
      <x:c r="AM268" s="6"/>
      <x:c r="AN268" s="6"/>
    </x:row>
    <x:row r="269">
      <x:c r="A269" s="3" t="str">
        <x:f t="shared" si="40"/>
      </x:c>
      <x:c r="B269" s="9"/>
      <x:c r="C269" s="36"/>
      <x:c r="D269" s="6"/>
      <x:c r="E269" s="3" t="str">
        <x:f>IF(D269="","",IFERROR(VLOOKUP(D269,'Base Sectores'!$A$5:$J$47,2,FALSE),""))</x:f>
      </x:c>
      <x:c r="F269" s="40" t="str">
        <x:f>IF(D269="","",IFERROR(VLOOKUP(D269,'Base Sectores'!$A$5:$J$47,3,FALSE),""))</x:f>
      </x:c>
      <x:c r="G269" s="3" t="str">
        <x:f>IF(D269="","",IFERROR(VLOOKUP(D269,'Base Sectores'!$A$5:$J$47,4,FALSE),""))</x:f>
      </x:c>
      <x:c r="H269" s="3" t="str">
        <x:f>IF(D269="","",IFERROR(VLOOKUP(D269,'Base Sectores'!$A$5:$J$47,5,FALSE),""))</x:f>
      </x:c>
      <x:c r="I269" s="3" t="str">
        <x:f>IF(D269="","",IFERROR(VLOOKUP(D269,'Base Sectores'!$A$5:$J$47,6,FALSE),""))</x:f>
      </x:c>
      <x:c r="J269" s="3" t="str">
        <x:f>IF(D269="","",IFERROR(VLOOKUP(D269,'Base Sectores'!$A$5:$J$47,7,FALSE),""))</x:f>
      </x:c>
      <x:c r="K269" s="3" t="str">
        <x:f>IF(D269="","",IFERROR(VLOOKUP(D269,'Base Sectores'!$A$5:$J$47,9,FALSE),""))</x:f>
      </x:c>
      <x:c r="L269" s="6"/>
      <x:c r="M269" s="3" t="str">
        <x:f>IF(L269="","",IFERROR(VLOOKUP(L269,Configuracion!$D$4:$H$15,2,FALSE),""))</x:f>
      </x:c>
      <x:c r="N269" s="3" t="str">
        <x:f>IF(L269="","",IFERROR(VLOOKUP(L269,Configuracion!$D$4:$H$15,3,FALSE),""))</x:f>
      </x:c>
      <x:c r="O269" s="6"/>
      <x:c r="P269" s="3" t="str">
        <x:f>IF(L269="","",IFERROR(VLOOKUP(L269,Configuracion!$D$4:$H$15,4,FALSE),0))</x:f>
      </x:c>
      <x:c r="Q269" s="10"/>
      <x:c r="R269" s="10"/>
      <x:c r="S269" s="4" t="str">
        <x:f t="shared" si="41"/>
      </x:c>
      <x:c r="T269" s="6"/>
      <x:c r="U269" s="6"/>
      <x:c r="V269" s="6"/>
      <x:c r="W269" s="6"/>
      <x:c r="X269" s="6"/>
      <x:c r="Y269" s="6"/>
      <x:c r="Z269" s="6"/>
      <x:c r="AA269" s="6"/>
      <x:c r="AB269" s="6"/>
      <x:c r="AC269" s="10"/>
      <x:c r="AD269" s="10"/>
      <x:c r="AE269" s="4" t="str">
        <x:f t="shared" si="42"/>
      </x:c>
      <x:c r="AF269" s="4" t="str">
        <x:f t="shared" si="43"/>
      </x:c>
      <x:c r="AG269" s="4" t="str">
        <x:f t="shared" si="44"/>
      </x:c>
      <x:c r="AH269" s="11">
        <x:f t="shared" si="45"/>
        <x:v>0</x:v>
      </x:c>
      <x:c r="AI269" s="4" t="str">
        <x:f t="shared" si="46"/>
      </x:c>
      <x:c r="AJ269" s="4">
        <x:f t="shared" si="47"/>
        <x:v>0</x:v>
      </x:c>
      <x:c r="AK269" s="4">
        <x:f t="shared" si="48"/>
        <x:v>0</x:v>
      </x:c>
      <x:c r="AL269" s="11">
        <x:f t="shared" si="49"/>
        <x:v>0</x:v>
      </x:c>
      <x:c r="AM269" s="6"/>
      <x:c r="AN269" s="6"/>
    </x:row>
    <x:row r="270">
      <x:c r="A270" s="3" t="str">
        <x:f t="shared" si="40"/>
      </x:c>
      <x:c r="B270" s="9"/>
      <x:c r="C270" s="36"/>
      <x:c r="D270" s="6"/>
      <x:c r="E270" s="3" t="str">
        <x:f>IF(D270="","",IFERROR(VLOOKUP(D270,'Base Sectores'!$A$5:$J$47,2,FALSE),""))</x:f>
      </x:c>
      <x:c r="F270" s="40" t="str">
        <x:f>IF(D270="","",IFERROR(VLOOKUP(D270,'Base Sectores'!$A$5:$J$47,3,FALSE),""))</x:f>
      </x:c>
      <x:c r="G270" s="3" t="str">
        <x:f>IF(D270="","",IFERROR(VLOOKUP(D270,'Base Sectores'!$A$5:$J$47,4,FALSE),""))</x:f>
      </x:c>
      <x:c r="H270" s="3" t="str">
        <x:f>IF(D270="","",IFERROR(VLOOKUP(D270,'Base Sectores'!$A$5:$J$47,5,FALSE),""))</x:f>
      </x:c>
      <x:c r="I270" s="3" t="str">
        <x:f>IF(D270="","",IFERROR(VLOOKUP(D270,'Base Sectores'!$A$5:$J$47,6,FALSE),""))</x:f>
      </x:c>
      <x:c r="J270" s="3" t="str">
        <x:f>IF(D270="","",IFERROR(VLOOKUP(D270,'Base Sectores'!$A$5:$J$47,7,FALSE),""))</x:f>
      </x:c>
      <x:c r="K270" s="3" t="str">
        <x:f>IF(D270="","",IFERROR(VLOOKUP(D270,'Base Sectores'!$A$5:$J$47,9,FALSE),""))</x:f>
      </x:c>
      <x:c r="L270" s="6"/>
      <x:c r="M270" s="3" t="str">
        <x:f>IF(L270="","",IFERROR(VLOOKUP(L270,Configuracion!$D$4:$H$15,2,FALSE),""))</x:f>
      </x:c>
      <x:c r="N270" s="3" t="str">
        <x:f>IF(L270="","",IFERROR(VLOOKUP(L270,Configuracion!$D$4:$H$15,3,FALSE),""))</x:f>
      </x:c>
      <x:c r="O270" s="6"/>
      <x:c r="P270" s="3" t="str">
        <x:f>IF(L270="","",IFERROR(VLOOKUP(L270,Configuracion!$D$4:$H$15,4,FALSE),0))</x:f>
      </x:c>
      <x:c r="Q270" s="10"/>
      <x:c r="R270" s="10"/>
      <x:c r="S270" s="4" t="str">
        <x:f t="shared" si="41"/>
      </x:c>
      <x:c r="T270" s="6"/>
      <x:c r="U270" s="6"/>
      <x:c r="V270" s="6"/>
      <x:c r="W270" s="6"/>
      <x:c r="X270" s="6"/>
      <x:c r="Y270" s="6"/>
      <x:c r="Z270" s="6"/>
      <x:c r="AA270" s="6"/>
      <x:c r="AB270" s="6"/>
      <x:c r="AC270" s="10"/>
      <x:c r="AD270" s="10"/>
      <x:c r="AE270" s="4" t="str">
        <x:f t="shared" si="42"/>
      </x:c>
      <x:c r="AF270" s="4" t="str">
        <x:f t="shared" si="43"/>
      </x:c>
      <x:c r="AG270" s="4" t="str">
        <x:f t="shared" si="44"/>
      </x:c>
      <x:c r="AH270" s="11">
        <x:f t="shared" si="45"/>
        <x:v>0</x:v>
      </x:c>
      <x:c r="AI270" s="4" t="str">
        <x:f t="shared" si="46"/>
      </x:c>
      <x:c r="AJ270" s="4">
        <x:f t="shared" si="47"/>
        <x:v>0</x:v>
      </x:c>
      <x:c r="AK270" s="4">
        <x:f t="shared" si="48"/>
        <x:v>0</x:v>
      </x:c>
      <x:c r="AL270" s="11">
        <x:f t="shared" si="49"/>
        <x:v>0</x:v>
      </x:c>
      <x:c r="AM270" s="6"/>
      <x:c r="AN270" s="6"/>
    </x:row>
    <x:row r="271">
      <x:c r="A271" s="3" t="str">
        <x:f t="shared" si="40"/>
      </x:c>
      <x:c r="B271" s="9"/>
      <x:c r="C271" s="36"/>
      <x:c r="D271" s="6"/>
      <x:c r="E271" s="3" t="str">
        <x:f>IF(D271="","",IFERROR(VLOOKUP(D271,'Base Sectores'!$A$5:$J$47,2,FALSE),""))</x:f>
      </x:c>
      <x:c r="F271" s="40" t="str">
        <x:f>IF(D271="","",IFERROR(VLOOKUP(D271,'Base Sectores'!$A$5:$J$47,3,FALSE),""))</x:f>
      </x:c>
      <x:c r="G271" s="3" t="str">
        <x:f>IF(D271="","",IFERROR(VLOOKUP(D271,'Base Sectores'!$A$5:$J$47,4,FALSE),""))</x:f>
      </x:c>
      <x:c r="H271" s="3" t="str">
        <x:f>IF(D271="","",IFERROR(VLOOKUP(D271,'Base Sectores'!$A$5:$J$47,5,FALSE),""))</x:f>
      </x:c>
      <x:c r="I271" s="3" t="str">
        <x:f>IF(D271="","",IFERROR(VLOOKUP(D271,'Base Sectores'!$A$5:$J$47,6,FALSE),""))</x:f>
      </x:c>
      <x:c r="J271" s="3" t="str">
        <x:f>IF(D271="","",IFERROR(VLOOKUP(D271,'Base Sectores'!$A$5:$J$47,7,FALSE),""))</x:f>
      </x:c>
      <x:c r="K271" s="3" t="str">
        <x:f>IF(D271="","",IFERROR(VLOOKUP(D271,'Base Sectores'!$A$5:$J$47,9,FALSE),""))</x:f>
      </x:c>
      <x:c r="L271" s="6"/>
      <x:c r="M271" s="3" t="str">
        <x:f>IF(L271="","",IFERROR(VLOOKUP(L271,Configuracion!$D$4:$H$15,2,FALSE),""))</x:f>
      </x:c>
      <x:c r="N271" s="3" t="str">
        <x:f>IF(L271="","",IFERROR(VLOOKUP(L271,Configuracion!$D$4:$H$15,3,FALSE),""))</x:f>
      </x:c>
      <x:c r="O271" s="6"/>
      <x:c r="P271" s="3" t="str">
        <x:f>IF(L271="","",IFERROR(VLOOKUP(L271,Configuracion!$D$4:$H$15,4,FALSE),0))</x:f>
      </x:c>
      <x:c r="Q271" s="10"/>
      <x:c r="R271" s="10"/>
      <x:c r="S271" s="4" t="str">
        <x:f t="shared" si="41"/>
      </x:c>
      <x:c r="T271" s="6"/>
      <x:c r="U271" s="6"/>
      <x:c r="V271" s="6"/>
      <x:c r="W271" s="6"/>
      <x:c r="X271" s="6"/>
      <x:c r="Y271" s="6"/>
      <x:c r="Z271" s="6"/>
      <x:c r="AA271" s="6"/>
      <x:c r="AB271" s="6"/>
      <x:c r="AC271" s="10"/>
      <x:c r="AD271" s="10"/>
      <x:c r="AE271" s="4" t="str">
        <x:f t="shared" si="42"/>
      </x:c>
      <x:c r="AF271" s="4" t="str">
        <x:f t="shared" si="43"/>
      </x:c>
      <x:c r="AG271" s="4" t="str">
        <x:f t="shared" si="44"/>
      </x:c>
      <x:c r="AH271" s="11">
        <x:f t="shared" si="45"/>
        <x:v>0</x:v>
      </x:c>
      <x:c r="AI271" s="4" t="str">
        <x:f t="shared" si="46"/>
      </x:c>
      <x:c r="AJ271" s="4">
        <x:f t="shared" si="47"/>
        <x:v>0</x:v>
      </x:c>
      <x:c r="AK271" s="4">
        <x:f t="shared" si="48"/>
        <x:v>0</x:v>
      </x:c>
      <x:c r="AL271" s="11">
        <x:f t="shared" si="49"/>
        <x:v>0</x:v>
      </x:c>
      <x:c r="AM271" s="6"/>
      <x:c r="AN271" s="6"/>
    </x:row>
    <x:row r="272">
      <x:c r="A272" s="3" t="str">
        <x:f t="shared" si="40"/>
      </x:c>
      <x:c r="B272" s="9"/>
      <x:c r="C272" s="36"/>
      <x:c r="D272" s="6"/>
      <x:c r="E272" s="3" t="str">
        <x:f>IF(D272="","",IFERROR(VLOOKUP(D272,'Base Sectores'!$A$5:$J$47,2,FALSE),""))</x:f>
      </x:c>
      <x:c r="F272" s="40" t="str">
        <x:f>IF(D272="","",IFERROR(VLOOKUP(D272,'Base Sectores'!$A$5:$J$47,3,FALSE),""))</x:f>
      </x:c>
      <x:c r="G272" s="3" t="str">
        <x:f>IF(D272="","",IFERROR(VLOOKUP(D272,'Base Sectores'!$A$5:$J$47,4,FALSE),""))</x:f>
      </x:c>
      <x:c r="H272" s="3" t="str">
        <x:f>IF(D272="","",IFERROR(VLOOKUP(D272,'Base Sectores'!$A$5:$J$47,5,FALSE),""))</x:f>
      </x:c>
      <x:c r="I272" s="3" t="str">
        <x:f>IF(D272="","",IFERROR(VLOOKUP(D272,'Base Sectores'!$A$5:$J$47,6,FALSE),""))</x:f>
      </x:c>
      <x:c r="J272" s="3" t="str">
        <x:f>IF(D272="","",IFERROR(VLOOKUP(D272,'Base Sectores'!$A$5:$J$47,7,FALSE),""))</x:f>
      </x:c>
      <x:c r="K272" s="3" t="str">
        <x:f>IF(D272="","",IFERROR(VLOOKUP(D272,'Base Sectores'!$A$5:$J$47,9,FALSE),""))</x:f>
      </x:c>
      <x:c r="L272" s="6"/>
      <x:c r="M272" s="3" t="str">
        <x:f>IF(L272="","",IFERROR(VLOOKUP(L272,Configuracion!$D$4:$H$15,2,FALSE),""))</x:f>
      </x:c>
      <x:c r="N272" s="3" t="str">
        <x:f>IF(L272="","",IFERROR(VLOOKUP(L272,Configuracion!$D$4:$H$15,3,FALSE),""))</x:f>
      </x:c>
      <x:c r="O272" s="6"/>
      <x:c r="P272" s="3" t="str">
        <x:f>IF(L272="","",IFERROR(VLOOKUP(L272,Configuracion!$D$4:$H$15,4,FALSE),0))</x:f>
      </x:c>
      <x:c r="Q272" s="10"/>
      <x:c r="R272" s="10"/>
      <x:c r="S272" s="4" t="str">
        <x:f t="shared" si="41"/>
      </x:c>
      <x:c r="T272" s="6"/>
      <x:c r="U272" s="6"/>
      <x:c r="V272" s="6"/>
      <x:c r="W272" s="6"/>
      <x:c r="X272" s="6"/>
      <x:c r="Y272" s="6"/>
      <x:c r="Z272" s="6"/>
      <x:c r="AA272" s="6"/>
      <x:c r="AB272" s="6"/>
      <x:c r="AC272" s="10"/>
      <x:c r="AD272" s="10"/>
      <x:c r="AE272" s="4" t="str">
        <x:f t="shared" si="42"/>
      </x:c>
      <x:c r="AF272" s="4" t="str">
        <x:f t="shared" si="43"/>
      </x:c>
      <x:c r="AG272" s="4" t="str">
        <x:f t="shared" si="44"/>
      </x:c>
      <x:c r="AH272" s="11">
        <x:f t="shared" si="45"/>
        <x:v>0</x:v>
      </x:c>
      <x:c r="AI272" s="4" t="str">
        <x:f t="shared" si="46"/>
      </x:c>
      <x:c r="AJ272" s="4">
        <x:f t="shared" si="47"/>
        <x:v>0</x:v>
      </x:c>
      <x:c r="AK272" s="4">
        <x:f t="shared" si="48"/>
        <x:v>0</x:v>
      </x:c>
      <x:c r="AL272" s="11">
        <x:f t="shared" si="49"/>
        <x:v>0</x:v>
      </x:c>
      <x:c r="AM272" s="6"/>
      <x:c r="AN272" s="6"/>
    </x:row>
    <x:row r="273">
      <x:c r="A273" s="3" t="str">
        <x:f t="shared" si="40"/>
      </x:c>
      <x:c r="B273" s="9"/>
      <x:c r="C273" s="36"/>
      <x:c r="D273" s="6"/>
      <x:c r="E273" s="3" t="str">
        <x:f>IF(D273="","",IFERROR(VLOOKUP(D273,'Base Sectores'!$A$5:$J$47,2,FALSE),""))</x:f>
      </x:c>
      <x:c r="F273" s="40" t="str">
        <x:f>IF(D273="","",IFERROR(VLOOKUP(D273,'Base Sectores'!$A$5:$J$47,3,FALSE),""))</x:f>
      </x:c>
      <x:c r="G273" s="3" t="str">
        <x:f>IF(D273="","",IFERROR(VLOOKUP(D273,'Base Sectores'!$A$5:$J$47,4,FALSE),""))</x:f>
      </x:c>
      <x:c r="H273" s="3" t="str">
        <x:f>IF(D273="","",IFERROR(VLOOKUP(D273,'Base Sectores'!$A$5:$J$47,5,FALSE),""))</x:f>
      </x:c>
      <x:c r="I273" s="3" t="str">
        <x:f>IF(D273="","",IFERROR(VLOOKUP(D273,'Base Sectores'!$A$5:$J$47,6,FALSE),""))</x:f>
      </x:c>
      <x:c r="J273" s="3" t="str">
        <x:f>IF(D273="","",IFERROR(VLOOKUP(D273,'Base Sectores'!$A$5:$J$47,7,FALSE),""))</x:f>
      </x:c>
      <x:c r="K273" s="3" t="str">
        <x:f>IF(D273="","",IFERROR(VLOOKUP(D273,'Base Sectores'!$A$5:$J$47,9,FALSE),""))</x:f>
      </x:c>
      <x:c r="L273" s="6"/>
      <x:c r="M273" s="3" t="str">
        <x:f>IF(L273="","",IFERROR(VLOOKUP(L273,Configuracion!$D$4:$H$15,2,FALSE),""))</x:f>
      </x:c>
      <x:c r="N273" s="3" t="str">
        <x:f>IF(L273="","",IFERROR(VLOOKUP(L273,Configuracion!$D$4:$H$15,3,FALSE),""))</x:f>
      </x:c>
      <x:c r="O273" s="6"/>
      <x:c r="P273" s="3" t="str">
        <x:f>IF(L273="","",IFERROR(VLOOKUP(L273,Configuracion!$D$4:$H$15,4,FALSE),0))</x:f>
      </x:c>
      <x:c r="Q273" s="10"/>
      <x:c r="R273" s="10"/>
      <x:c r="S273" s="4" t="str">
        <x:f t="shared" si="41"/>
      </x:c>
      <x:c r="T273" s="6"/>
      <x:c r="U273" s="6"/>
      <x:c r="V273" s="6"/>
      <x:c r="W273" s="6"/>
      <x:c r="X273" s="6"/>
      <x:c r="Y273" s="6"/>
      <x:c r="Z273" s="6"/>
      <x:c r="AA273" s="6"/>
      <x:c r="AB273" s="6"/>
      <x:c r="AC273" s="10"/>
      <x:c r="AD273" s="10"/>
      <x:c r="AE273" s="4" t="str">
        <x:f t="shared" si="42"/>
      </x:c>
      <x:c r="AF273" s="4" t="str">
        <x:f t="shared" si="43"/>
      </x:c>
      <x:c r="AG273" s="4" t="str">
        <x:f t="shared" si="44"/>
      </x:c>
      <x:c r="AH273" s="11">
        <x:f t="shared" si="45"/>
        <x:v>0</x:v>
      </x:c>
      <x:c r="AI273" s="4" t="str">
        <x:f t="shared" si="46"/>
      </x:c>
      <x:c r="AJ273" s="4">
        <x:f t="shared" si="47"/>
        <x:v>0</x:v>
      </x:c>
      <x:c r="AK273" s="4">
        <x:f t="shared" si="48"/>
        <x:v>0</x:v>
      </x:c>
      <x:c r="AL273" s="11">
        <x:f t="shared" si="49"/>
        <x:v>0</x:v>
      </x:c>
      <x:c r="AM273" s="6"/>
      <x:c r="AN273" s="6"/>
    </x:row>
    <x:row r="274">
      <x:c r="A274" s="3" t="str">
        <x:f t="shared" si="40"/>
      </x:c>
      <x:c r="B274" s="9"/>
      <x:c r="C274" s="36"/>
      <x:c r="D274" s="6"/>
      <x:c r="E274" s="3" t="str">
        <x:f>IF(D274="","",IFERROR(VLOOKUP(D274,'Base Sectores'!$A$5:$J$47,2,FALSE),""))</x:f>
      </x:c>
      <x:c r="F274" s="40" t="str">
        <x:f>IF(D274="","",IFERROR(VLOOKUP(D274,'Base Sectores'!$A$5:$J$47,3,FALSE),""))</x:f>
      </x:c>
      <x:c r="G274" s="3" t="str">
        <x:f>IF(D274="","",IFERROR(VLOOKUP(D274,'Base Sectores'!$A$5:$J$47,4,FALSE),""))</x:f>
      </x:c>
      <x:c r="H274" s="3" t="str">
        <x:f>IF(D274="","",IFERROR(VLOOKUP(D274,'Base Sectores'!$A$5:$J$47,5,FALSE),""))</x:f>
      </x:c>
      <x:c r="I274" s="3" t="str">
        <x:f>IF(D274="","",IFERROR(VLOOKUP(D274,'Base Sectores'!$A$5:$J$47,6,FALSE),""))</x:f>
      </x:c>
      <x:c r="J274" s="3" t="str">
        <x:f>IF(D274="","",IFERROR(VLOOKUP(D274,'Base Sectores'!$A$5:$J$47,7,FALSE),""))</x:f>
      </x:c>
      <x:c r="K274" s="3" t="str">
        <x:f>IF(D274="","",IFERROR(VLOOKUP(D274,'Base Sectores'!$A$5:$J$47,9,FALSE),""))</x:f>
      </x:c>
      <x:c r="L274" s="6"/>
      <x:c r="M274" s="3" t="str">
        <x:f>IF(L274="","",IFERROR(VLOOKUP(L274,Configuracion!$D$4:$H$15,2,FALSE),""))</x:f>
      </x:c>
      <x:c r="N274" s="3" t="str">
        <x:f>IF(L274="","",IFERROR(VLOOKUP(L274,Configuracion!$D$4:$H$15,3,FALSE),""))</x:f>
      </x:c>
      <x:c r="O274" s="6"/>
      <x:c r="P274" s="3" t="str">
        <x:f>IF(L274="","",IFERROR(VLOOKUP(L274,Configuracion!$D$4:$H$15,4,FALSE),0))</x:f>
      </x:c>
      <x:c r="Q274" s="10"/>
      <x:c r="R274" s="10"/>
      <x:c r="S274" s="4" t="str">
        <x:f t="shared" si="41"/>
      </x:c>
      <x:c r="T274" s="6"/>
      <x:c r="U274" s="6"/>
      <x:c r="V274" s="6"/>
      <x:c r="W274" s="6"/>
      <x:c r="X274" s="6"/>
      <x:c r="Y274" s="6"/>
      <x:c r="Z274" s="6"/>
      <x:c r="AA274" s="6"/>
      <x:c r="AB274" s="6"/>
      <x:c r="AC274" s="10"/>
      <x:c r="AD274" s="10"/>
      <x:c r="AE274" s="4" t="str">
        <x:f t="shared" si="42"/>
      </x:c>
      <x:c r="AF274" s="4" t="str">
        <x:f t="shared" si="43"/>
      </x:c>
      <x:c r="AG274" s="4" t="str">
        <x:f t="shared" si="44"/>
      </x:c>
      <x:c r="AH274" s="11">
        <x:f t="shared" si="45"/>
        <x:v>0</x:v>
      </x:c>
      <x:c r="AI274" s="4" t="str">
        <x:f t="shared" si="46"/>
      </x:c>
      <x:c r="AJ274" s="4">
        <x:f t="shared" si="47"/>
        <x:v>0</x:v>
      </x:c>
      <x:c r="AK274" s="4">
        <x:f t="shared" si="48"/>
        <x:v>0</x:v>
      </x:c>
      <x:c r="AL274" s="11">
        <x:f t="shared" si="49"/>
        <x:v>0</x:v>
      </x:c>
      <x:c r="AM274" s="6"/>
      <x:c r="AN274" s="6"/>
    </x:row>
    <x:row r="275">
      <x:c r="A275" s="3" t="str">
        <x:f t="shared" si="40"/>
      </x:c>
      <x:c r="B275" s="9"/>
      <x:c r="C275" s="36"/>
      <x:c r="D275" s="6"/>
      <x:c r="E275" s="3" t="str">
        <x:f>IF(D275="","",IFERROR(VLOOKUP(D275,'Base Sectores'!$A$5:$J$47,2,FALSE),""))</x:f>
      </x:c>
      <x:c r="F275" s="40" t="str">
        <x:f>IF(D275="","",IFERROR(VLOOKUP(D275,'Base Sectores'!$A$5:$J$47,3,FALSE),""))</x:f>
      </x:c>
      <x:c r="G275" s="3" t="str">
        <x:f>IF(D275="","",IFERROR(VLOOKUP(D275,'Base Sectores'!$A$5:$J$47,4,FALSE),""))</x:f>
      </x:c>
      <x:c r="H275" s="3" t="str">
        <x:f>IF(D275="","",IFERROR(VLOOKUP(D275,'Base Sectores'!$A$5:$J$47,5,FALSE),""))</x:f>
      </x:c>
      <x:c r="I275" s="3" t="str">
        <x:f>IF(D275="","",IFERROR(VLOOKUP(D275,'Base Sectores'!$A$5:$J$47,6,FALSE),""))</x:f>
      </x:c>
      <x:c r="J275" s="3" t="str">
        <x:f>IF(D275="","",IFERROR(VLOOKUP(D275,'Base Sectores'!$A$5:$J$47,7,FALSE),""))</x:f>
      </x:c>
      <x:c r="K275" s="3" t="str">
        <x:f>IF(D275="","",IFERROR(VLOOKUP(D275,'Base Sectores'!$A$5:$J$47,9,FALSE),""))</x:f>
      </x:c>
      <x:c r="L275" s="6"/>
      <x:c r="M275" s="3" t="str">
        <x:f>IF(L275="","",IFERROR(VLOOKUP(L275,Configuracion!$D$4:$H$15,2,FALSE),""))</x:f>
      </x:c>
      <x:c r="N275" s="3" t="str">
        <x:f>IF(L275="","",IFERROR(VLOOKUP(L275,Configuracion!$D$4:$H$15,3,FALSE),""))</x:f>
      </x:c>
      <x:c r="O275" s="6"/>
      <x:c r="P275" s="3" t="str">
        <x:f>IF(L275="","",IFERROR(VLOOKUP(L275,Configuracion!$D$4:$H$15,4,FALSE),0))</x:f>
      </x:c>
      <x:c r="Q275" s="10"/>
      <x:c r="R275" s="10"/>
      <x:c r="S275" s="4" t="str">
        <x:f t="shared" si="41"/>
      </x:c>
      <x:c r="T275" s="6"/>
      <x:c r="U275" s="6"/>
      <x:c r="V275" s="6"/>
      <x:c r="W275" s="6"/>
      <x:c r="X275" s="6"/>
      <x:c r="Y275" s="6"/>
      <x:c r="Z275" s="6"/>
      <x:c r="AA275" s="6"/>
      <x:c r="AB275" s="6"/>
      <x:c r="AC275" s="10"/>
      <x:c r="AD275" s="10"/>
      <x:c r="AE275" s="4" t="str">
        <x:f t="shared" si="42"/>
      </x:c>
      <x:c r="AF275" s="4" t="str">
        <x:f t="shared" si="43"/>
      </x:c>
      <x:c r="AG275" s="4" t="str">
        <x:f t="shared" si="44"/>
      </x:c>
      <x:c r="AH275" s="11">
        <x:f t="shared" si="45"/>
        <x:v>0</x:v>
      </x:c>
      <x:c r="AI275" s="4" t="str">
        <x:f t="shared" si="46"/>
      </x:c>
      <x:c r="AJ275" s="4">
        <x:f t="shared" si="47"/>
        <x:v>0</x:v>
      </x:c>
      <x:c r="AK275" s="4">
        <x:f t="shared" si="48"/>
        <x:v>0</x:v>
      </x:c>
      <x:c r="AL275" s="11">
        <x:f t="shared" si="49"/>
        <x:v>0</x:v>
      </x:c>
      <x:c r="AM275" s="6"/>
      <x:c r="AN275" s="6"/>
    </x:row>
    <x:row r="276">
      <x:c r="A276" s="3" t="str">
        <x:f t="shared" si="40"/>
      </x:c>
      <x:c r="B276" s="9"/>
      <x:c r="C276" s="36"/>
      <x:c r="D276" s="6"/>
      <x:c r="E276" s="3" t="str">
        <x:f>IF(D276="","",IFERROR(VLOOKUP(D276,'Base Sectores'!$A$5:$J$47,2,FALSE),""))</x:f>
      </x:c>
      <x:c r="F276" s="40" t="str">
        <x:f>IF(D276="","",IFERROR(VLOOKUP(D276,'Base Sectores'!$A$5:$J$47,3,FALSE),""))</x:f>
      </x:c>
      <x:c r="G276" s="3" t="str">
        <x:f>IF(D276="","",IFERROR(VLOOKUP(D276,'Base Sectores'!$A$5:$J$47,4,FALSE),""))</x:f>
      </x:c>
      <x:c r="H276" s="3" t="str">
        <x:f>IF(D276="","",IFERROR(VLOOKUP(D276,'Base Sectores'!$A$5:$J$47,5,FALSE),""))</x:f>
      </x:c>
      <x:c r="I276" s="3" t="str">
        <x:f>IF(D276="","",IFERROR(VLOOKUP(D276,'Base Sectores'!$A$5:$J$47,6,FALSE),""))</x:f>
      </x:c>
      <x:c r="J276" s="3" t="str">
        <x:f>IF(D276="","",IFERROR(VLOOKUP(D276,'Base Sectores'!$A$5:$J$47,7,FALSE),""))</x:f>
      </x:c>
      <x:c r="K276" s="3" t="str">
        <x:f>IF(D276="","",IFERROR(VLOOKUP(D276,'Base Sectores'!$A$5:$J$47,9,FALSE),""))</x:f>
      </x:c>
      <x:c r="L276" s="6"/>
      <x:c r="M276" s="3" t="str">
        <x:f>IF(L276="","",IFERROR(VLOOKUP(L276,Configuracion!$D$4:$H$15,2,FALSE),""))</x:f>
      </x:c>
      <x:c r="N276" s="3" t="str">
        <x:f>IF(L276="","",IFERROR(VLOOKUP(L276,Configuracion!$D$4:$H$15,3,FALSE),""))</x:f>
      </x:c>
      <x:c r="O276" s="6"/>
      <x:c r="P276" s="3" t="str">
        <x:f>IF(L276="","",IFERROR(VLOOKUP(L276,Configuracion!$D$4:$H$15,4,FALSE),0))</x:f>
      </x:c>
      <x:c r="Q276" s="10"/>
      <x:c r="R276" s="10"/>
      <x:c r="S276" s="4" t="str">
        <x:f t="shared" si="41"/>
      </x:c>
      <x:c r="T276" s="6"/>
      <x:c r="U276" s="6"/>
      <x:c r="V276" s="6"/>
      <x:c r="W276" s="6"/>
      <x:c r="X276" s="6"/>
      <x:c r="Y276" s="6"/>
      <x:c r="Z276" s="6"/>
      <x:c r="AA276" s="6"/>
      <x:c r="AB276" s="6"/>
      <x:c r="AC276" s="10"/>
      <x:c r="AD276" s="10"/>
      <x:c r="AE276" s="4" t="str">
        <x:f t="shared" si="42"/>
      </x:c>
      <x:c r="AF276" s="4" t="str">
        <x:f t="shared" si="43"/>
      </x:c>
      <x:c r="AG276" s="4" t="str">
        <x:f t="shared" si="44"/>
      </x:c>
      <x:c r="AH276" s="11">
        <x:f t="shared" si="45"/>
        <x:v>0</x:v>
      </x:c>
      <x:c r="AI276" s="4" t="str">
        <x:f t="shared" si="46"/>
      </x:c>
      <x:c r="AJ276" s="4">
        <x:f t="shared" si="47"/>
        <x:v>0</x:v>
      </x:c>
      <x:c r="AK276" s="4">
        <x:f t="shared" si="48"/>
        <x:v>0</x:v>
      </x:c>
      <x:c r="AL276" s="11">
        <x:f t="shared" si="49"/>
        <x:v>0</x:v>
      </x:c>
      <x:c r="AM276" s="6"/>
      <x:c r="AN276" s="6"/>
    </x:row>
    <x:row r="277">
      <x:c r="A277" s="3" t="str">
        <x:f t="shared" si="40"/>
      </x:c>
      <x:c r="B277" s="9"/>
      <x:c r="C277" s="36"/>
      <x:c r="D277" s="6"/>
      <x:c r="E277" s="3" t="str">
        <x:f>IF(D277="","",IFERROR(VLOOKUP(D277,'Base Sectores'!$A$5:$J$47,2,FALSE),""))</x:f>
      </x:c>
      <x:c r="F277" s="40" t="str">
        <x:f>IF(D277="","",IFERROR(VLOOKUP(D277,'Base Sectores'!$A$5:$J$47,3,FALSE),""))</x:f>
      </x:c>
      <x:c r="G277" s="3" t="str">
        <x:f>IF(D277="","",IFERROR(VLOOKUP(D277,'Base Sectores'!$A$5:$J$47,4,FALSE),""))</x:f>
      </x:c>
      <x:c r="H277" s="3" t="str">
        <x:f>IF(D277="","",IFERROR(VLOOKUP(D277,'Base Sectores'!$A$5:$J$47,5,FALSE),""))</x:f>
      </x:c>
      <x:c r="I277" s="3" t="str">
        <x:f>IF(D277="","",IFERROR(VLOOKUP(D277,'Base Sectores'!$A$5:$J$47,6,FALSE),""))</x:f>
      </x:c>
      <x:c r="J277" s="3" t="str">
        <x:f>IF(D277="","",IFERROR(VLOOKUP(D277,'Base Sectores'!$A$5:$J$47,7,FALSE),""))</x:f>
      </x:c>
      <x:c r="K277" s="3" t="str">
        <x:f>IF(D277="","",IFERROR(VLOOKUP(D277,'Base Sectores'!$A$5:$J$47,9,FALSE),""))</x:f>
      </x:c>
      <x:c r="L277" s="6"/>
      <x:c r="M277" s="3" t="str">
        <x:f>IF(L277="","",IFERROR(VLOOKUP(L277,Configuracion!$D$4:$H$15,2,FALSE),""))</x:f>
      </x:c>
      <x:c r="N277" s="3" t="str">
        <x:f>IF(L277="","",IFERROR(VLOOKUP(L277,Configuracion!$D$4:$H$15,3,FALSE),""))</x:f>
      </x:c>
      <x:c r="O277" s="6"/>
      <x:c r="P277" s="3" t="str">
        <x:f>IF(L277="","",IFERROR(VLOOKUP(L277,Configuracion!$D$4:$H$15,4,FALSE),0))</x:f>
      </x:c>
      <x:c r="Q277" s="10"/>
      <x:c r="R277" s="10"/>
      <x:c r="S277" s="4" t="str">
        <x:f t="shared" si="41"/>
      </x:c>
      <x:c r="T277" s="6"/>
      <x:c r="U277" s="6"/>
      <x:c r="V277" s="6"/>
      <x:c r="W277" s="6"/>
      <x:c r="X277" s="6"/>
      <x:c r="Y277" s="6"/>
      <x:c r="Z277" s="6"/>
      <x:c r="AA277" s="6"/>
      <x:c r="AB277" s="6"/>
      <x:c r="AC277" s="10"/>
      <x:c r="AD277" s="10"/>
      <x:c r="AE277" s="4" t="str">
        <x:f t="shared" si="42"/>
      </x:c>
      <x:c r="AF277" s="4" t="str">
        <x:f t="shared" si="43"/>
      </x:c>
      <x:c r="AG277" s="4" t="str">
        <x:f t="shared" si="44"/>
      </x:c>
      <x:c r="AH277" s="11">
        <x:f t="shared" si="45"/>
        <x:v>0</x:v>
      </x:c>
      <x:c r="AI277" s="4" t="str">
        <x:f t="shared" si="46"/>
      </x:c>
      <x:c r="AJ277" s="4">
        <x:f t="shared" si="47"/>
        <x:v>0</x:v>
      </x:c>
      <x:c r="AK277" s="4">
        <x:f t="shared" si="48"/>
        <x:v>0</x:v>
      </x:c>
      <x:c r="AL277" s="11">
        <x:f t="shared" si="49"/>
        <x:v>0</x:v>
      </x:c>
      <x:c r="AM277" s="6"/>
      <x:c r="AN277" s="6"/>
    </x:row>
    <x:row r="278">
      <x:c r="A278" s="3" t="str">
        <x:f t="shared" si="40"/>
      </x:c>
      <x:c r="B278" s="9"/>
      <x:c r="C278" s="36"/>
      <x:c r="D278" s="6"/>
      <x:c r="E278" s="3" t="str">
        <x:f>IF(D278="","",IFERROR(VLOOKUP(D278,'Base Sectores'!$A$5:$J$47,2,FALSE),""))</x:f>
      </x:c>
      <x:c r="F278" s="40" t="str">
        <x:f>IF(D278="","",IFERROR(VLOOKUP(D278,'Base Sectores'!$A$5:$J$47,3,FALSE),""))</x:f>
      </x:c>
      <x:c r="G278" s="3" t="str">
        <x:f>IF(D278="","",IFERROR(VLOOKUP(D278,'Base Sectores'!$A$5:$J$47,4,FALSE),""))</x:f>
      </x:c>
      <x:c r="H278" s="3" t="str">
        <x:f>IF(D278="","",IFERROR(VLOOKUP(D278,'Base Sectores'!$A$5:$J$47,5,FALSE),""))</x:f>
      </x:c>
      <x:c r="I278" s="3" t="str">
        <x:f>IF(D278="","",IFERROR(VLOOKUP(D278,'Base Sectores'!$A$5:$J$47,6,FALSE),""))</x:f>
      </x:c>
      <x:c r="J278" s="3" t="str">
        <x:f>IF(D278="","",IFERROR(VLOOKUP(D278,'Base Sectores'!$A$5:$J$47,7,FALSE),""))</x:f>
      </x:c>
      <x:c r="K278" s="3" t="str">
        <x:f>IF(D278="","",IFERROR(VLOOKUP(D278,'Base Sectores'!$A$5:$J$47,9,FALSE),""))</x:f>
      </x:c>
      <x:c r="L278" s="6"/>
      <x:c r="M278" s="3" t="str">
        <x:f>IF(L278="","",IFERROR(VLOOKUP(L278,Configuracion!$D$4:$H$15,2,FALSE),""))</x:f>
      </x:c>
      <x:c r="N278" s="3" t="str">
        <x:f>IF(L278="","",IFERROR(VLOOKUP(L278,Configuracion!$D$4:$H$15,3,FALSE),""))</x:f>
      </x:c>
      <x:c r="O278" s="6"/>
      <x:c r="P278" s="3" t="str">
        <x:f>IF(L278="","",IFERROR(VLOOKUP(L278,Configuracion!$D$4:$H$15,4,FALSE),0))</x:f>
      </x:c>
      <x:c r="Q278" s="10"/>
      <x:c r="R278" s="10"/>
      <x:c r="S278" s="4" t="str">
        <x:f t="shared" si="41"/>
      </x:c>
      <x:c r="T278" s="6"/>
      <x:c r="U278" s="6"/>
      <x:c r="V278" s="6"/>
      <x:c r="W278" s="6"/>
      <x:c r="X278" s="6"/>
      <x:c r="Y278" s="6"/>
      <x:c r="Z278" s="6"/>
      <x:c r="AA278" s="6"/>
      <x:c r="AB278" s="6"/>
      <x:c r="AC278" s="10"/>
      <x:c r="AD278" s="10"/>
      <x:c r="AE278" s="4" t="str">
        <x:f t="shared" si="42"/>
      </x:c>
      <x:c r="AF278" s="4" t="str">
        <x:f t="shared" si="43"/>
      </x:c>
      <x:c r="AG278" s="4" t="str">
        <x:f t="shared" si="44"/>
      </x:c>
      <x:c r="AH278" s="11">
        <x:f t="shared" si="45"/>
        <x:v>0</x:v>
      </x:c>
      <x:c r="AI278" s="4" t="str">
        <x:f t="shared" si="46"/>
      </x:c>
      <x:c r="AJ278" s="4">
        <x:f t="shared" si="47"/>
        <x:v>0</x:v>
      </x:c>
      <x:c r="AK278" s="4">
        <x:f t="shared" si="48"/>
        <x:v>0</x:v>
      </x:c>
      <x:c r="AL278" s="11">
        <x:f t="shared" si="49"/>
        <x:v>0</x:v>
      </x:c>
      <x:c r="AM278" s="6"/>
      <x:c r="AN278" s="6"/>
    </x:row>
    <x:row r="279">
      <x:c r="A279" s="3" t="str">
        <x:f t="shared" si="40"/>
      </x:c>
      <x:c r="B279" s="9"/>
      <x:c r="C279" s="36"/>
      <x:c r="D279" s="6"/>
      <x:c r="E279" s="3" t="str">
        <x:f>IF(D279="","",IFERROR(VLOOKUP(D279,'Base Sectores'!$A$5:$J$47,2,FALSE),""))</x:f>
      </x:c>
      <x:c r="F279" s="40" t="str">
        <x:f>IF(D279="","",IFERROR(VLOOKUP(D279,'Base Sectores'!$A$5:$J$47,3,FALSE),""))</x:f>
      </x:c>
      <x:c r="G279" s="3" t="str">
        <x:f>IF(D279="","",IFERROR(VLOOKUP(D279,'Base Sectores'!$A$5:$J$47,4,FALSE),""))</x:f>
      </x:c>
      <x:c r="H279" s="3" t="str">
        <x:f>IF(D279="","",IFERROR(VLOOKUP(D279,'Base Sectores'!$A$5:$J$47,5,FALSE),""))</x:f>
      </x:c>
      <x:c r="I279" s="3" t="str">
        <x:f>IF(D279="","",IFERROR(VLOOKUP(D279,'Base Sectores'!$A$5:$J$47,6,FALSE),""))</x:f>
      </x:c>
      <x:c r="J279" s="3" t="str">
        <x:f>IF(D279="","",IFERROR(VLOOKUP(D279,'Base Sectores'!$A$5:$J$47,7,FALSE),""))</x:f>
      </x:c>
      <x:c r="K279" s="3" t="str">
        <x:f>IF(D279="","",IFERROR(VLOOKUP(D279,'Base Sectores'!$A$5:$J$47,9,FALSE),""))</x:f>
      </x:c>
      <x:c r="L279" s="6"/>
      <x:c r="M279" s="3" t="str">
        <x:f>IF(L279="","",IFERROR(VLOOKUP(L279,Configuracion!$D$4:$H$15,2,FALSE),""))</x:f>
      </x:c>
      <x:c r="N279" s="3" t="str">
        <x:f>IF(L279="","",IFERROR(VLOOKUP(L279,Configuracion!$D$4:$H$15,3,FALSE),""))</x:f>
      </x:c>
      <x:c r="O279" s="6"/>
      <x:c r="P279" s="3" t="str">
        <x:f>IF(L279="","",IFERROR(VLOOKUP(L279,Configuracion!$D$4:$H$15,4,FALSE),0))</x:f>
      </x:c>
      <x:c r="Q279" s="10"/>
      <x:c r="R279" s="10"/>
      <x:c r="S279" s="4" t="str">
        <x:f t="shared" si="41"/>
      </x:c>
      <x:c r="T279" s="6"/>
      <x:c r="U279" s="6"/>
      <x:c r="V279" s="6"/>
      <x:c r="W279" s="6"/>
      <x:c r="X279" s="6"/>
      <x:c r="Y279" s="6"/>
      <x:c r="Z279" s="6"/>
      <x:c r="AA279" s="6"/>
      <x:c r="AB279" s="6"/>
      <x:c r="AC279" s="10"/>
      <x:c r="AD279" s="10"/>
      <x:c r="AE279" s="4" t="str">
        <x:f t="shared" si="42"/>
      </x:c>
      <x:c r="AF279" s="4" t="str">
        <x:f t="shared" si="43"/>
      </x:c>
      <x:c r="AG279" s="4" t="str">
        <x:f t="shared" si="44"/>
      </x:c>
      <x:c r="AH279" s="11">
        <x:f t="shared" si="45"/>
        <x:v>0</x:v>
      </x:c>
      <x:c r="AI279" s="4" t="str">
        <x:f t="shared" si="46"/>
      </x:c>
      <x:c r="AJ279" s="4">
        <x:f t="shared" si="47"/>
        <x:v>0</x:v>
      </x:c>
      <x:c r="AK279" s="4">
        <x:f t="shared" si="48"/>
        <x:v>0</x:v>
      </x:c>
      <x:c r="AL279" s="11">
        <x:f t="shared" si="49"/>
        <x:v>0</x:v>
      </x:c>
      <x:c r="AM279" s="6"/>
      <x:c r="AN279" s="6"/>
    </x:row>
    <x:row r="280">
      <x:c r="A280" s="3" t="str">
        <x:f t="shared" si="40"/>
      </x:c>
      <x:c r="B280" s="9"/>
      <x:c r="C280" s="36"/>
      <x:c r="D280" s="6"/>
      <x:c r="E280" s="3" t="str">
        <x:f>IF(D280="","",IFERROR(VLOOKUP(D280,'Base Sectores'!$A$5:$J$47,2,FALSE),""))</x:f>
      </x:c>
      <x:c r="F280" s="40" t="str">
        <x:f>IF(D280="","",IFERROR(VLOOKUP(D280,'Base Sectores'!$A$5:$J$47,3,FALSE),""))</x:f>
      </x:c>
      <x:c r="G280" s="3" t="str">
        <x:f>IF(D280="","",IFERROR(VLOOKUP(D280,'Base Sectores'!$A$5:$J$47,4,FALSE),""))</x:f>
      </x:c>
      <x:c r="H280" s="3" t="str">
        <x:f>IF(D280="","",IFERROR(VLOOKUP(D280,'Base Sectores'!$A$5:$J$47,5,FALSE),""))</x:f>
      </x:c>
      <x:c r="I280" s="3" t="str">
        <x:f>IF(D280="","",IFERROR(VLOOKUP(D280,'Base Sectores'!$A$5:$J$47,6,FALSE),""))</x:f>
      </x:c>
      <x:c r="J280" s="3" t="str">
        <x:f>IF(D280="","",IFERROR(VLOOKUP(D280,'Base Sectores'!$A$5:$J$47,7,FALSE),""))</x:f>
      </x:c>
      <x:c r="K280" s="3" t="str">
        <x:f>IF(D280="","",IFERROR(VLOOKUP(D280,'Base Sectores'!$A$5:$J$47,9,FALSE),""))</x:f>
      </x:c>
      <x:c r="L280" s="6"/>
      <x:c r="M280" s="3" t="str">
        <x:f>IF(L280="","",IFERROR(VLOOKUP(L280,Configuracion!$D$4:$H$15,2,FALSE),""))</x:f>
      </x:c>
      <x:c r="N280" s="3" t="str">
        <x:f>IF(L280="","",IFERROR(VLOOKUP(L280,Configuracion!$D$4:$H$15,3,FALSE),""))</x:f>
      </x:c>
      <x:c r="O280" s="6"/>
      <x:c r="P280" s="3" t="str">
        <x:f>IF(L280="","",IFERROR(VLOOKUP(L280,Configuracion!$D$4:$H$15,4,FALSE),0))</x:f>
      </x:c>
      <x:c r="Q280" s="10"/>
      <x:c r="R280" s="10"/>
      <x:c r="S280" s="4" t="str">
        <x:f t="shared" si="41"/>
      </x:c>
      <x:c r="T280" s="6"/>
      <x:c r="U280" s="6"/>
      <x:c r="V280" s="6"/>
      <x:c r="W280" s="6"/>
      <x:c r="X280" s="6"/>
      <x:c r="Y280" s="6"/>
      <x:c r="Z280" s="6"/>
      <x:c r="AA280" s="6"/>
      <x:c r="AB280" s="6"/>
      <x:c r="AC280" s="10"/>
      <x:c r="AD280" s="10"/>
      <x:c r="AE280" s="4" t="str">
        <x:f t="shared" si="42"/>
      </x:c>
      <x:c r="AF280" s="4" t="str">
        <x:f t="shared" si="43"/>
      </x:c>
      <x:c r="AG280" s="4" t="str">
        <x:f t="shared" si="44"/>
      </x:c>
      <x:c r="AH280" s="11">
        <x:f t="shared" si="45"/>
        <x:v>0</x:v>
      </x:c>
      <x:c r="AI280" s="4" t="str">
        <x:f t="shared" si="46"/>
      </x:c>
      <x:c r="AJ280" s="4">
        <x:f t="shared" si="47"/>
        <x:v>0</x:v>
      </x:c>
      <x:c r="AK280" s="4">
        <x:f t="shared" si="48"/>
        <x:v>0</x:v>
      </x:c>
      <x:c r="AL280" s="11">
        <x:f t="shared" si="49"/>
        <x:v>0</x:v>
      </x:c>
      <x:c r="AM280" s="6"/>
      <x:c r="AN280" s="6"/>
    </x:row>
    <x:row r="281">
      <x:c r="A281" s="3" t="str">
        <x:f t="shared" si="40"/>
      </x:c>
      <x:c r="B281" s="9"/>
      <x:c r="C281" s="36"/>
      <x:c r="D281" s="6"/>
      <x:c r="E281" s="3" t="str">
        <x:f>IF(D281="","",IFERROR(VLOOKUP(D281,'Base Sectores'!$A$5:$J$47,2,FALSE),""))</x:f>
      </x:c>
      <x:c r="F281" s="40" t="str">
        <x:f>IF(D281="","",IFERROR(VLOOKUP(D281,'Base Sectores'!$A$5:$J$47,3,FALSE),""))</x:f>
      </x:c>
      <x:c r="G281" s="3" t="str">
        <x:f>IF(D281="","",IFERROR(VLOOKUP(D281,'Base Sectores'!$A$5:$J$47,4,FALSE),""))</x:f>
      </x:c>
      <x:c r="H281" s="3" t="str">
        <x:f>IF(D281="","",IFERROR(VLOOKUP(D281,'Base Sectores'!$A$5:$J$47,5,FALSE),""))</x:f>
      </x:c>
      <x:c r="I281" s="3" t="str">
        <x:f>IF(D281="","",IFERROR(VLOOKUP(D281,'Base Sectores'!$A$5:$J$47,6,FALSE),""))</x:f>
      </x:c>
      <x:c r="J281" s="3" t="str">
        <x:f>IF(D281="","",IFERROR(VLOOKUP(D281,'Base Sectores'!$A$5:$J$47,7,FALSE),""))</x:f>
      </x:c>
      <x:c r="K281" s="3" t="str">
        <x:f>IF(D281="","",IFERROR(VLOOKUP(D281,'Base Sectores'!$A$5:$J$47,9,FALSE),""))</x:f>
      </x:c>
      <x:c r="L281" s="6"/>
      <x:c r="M281" s="3" t="str">
        <x:f>IF(L281="","",IFERROR(VLOOKUP(L281,Configuracion!$D$4:$H$15,2,FALSE),""))</x:f>
      </x:c>
      <x:c r="N281" s="3" t="str">
        <x:f>IF(L281="","",IFERROR(VLOOKUP(L281,Configuracion!$D$4:$H$15,3,FALSE),""))</x:f>
      </x:c>
      <x:c r="O281" s="6"/>
      <x:c r="P281" s="3" t="str">
        <x:f>IF(L281="","",IFERROR(VLOOKUP(L281,Configuracion!$D$4:$H$15,4,FALSE),0))</x:f>
      </x:c>
      <x:c r="Q281" s="10"/>
      <x:c r="R281" s="10"/>
      <x:c r="S281" s="4" t="str">
        <x:f t="shared" si="41"/>
      </x:c>
      <x:c r="T281" s="6"/>
      <x:c r="U281" s="6"/>
      <x:c r="V281" s="6"/>
      <x:c r="W281" s="6"/>
      <x:c r="X281" s="6"/>
      <x:c r="Y281" s="6"/>
      <x:c r="Z281" s="6"/>
      <x:c r="AA281" s="6"/>
      <x:c r="AB281" s="6"/>
      <x:c r="AC281" s="10"/>
      <x:c r="AD281" s="10"/>
      <x:c r="AE281" s="4" t="str">
        <x:f t="shared" si="42"/>
      </x:c>
      <x:c r="AF281" s="4" t="str">
        <x:f t="shared" si="43"/>
      </x:c>
      <x:c r="AG281" s="4" t="str">
        <x:f t="shared" si="44"/>
      </x:c>
      <x:c r="AH281" s="11">
        <x:f t="shared" si="45"/>
        <x:v>0</x:v>
      </x:c>
      <x:c r="AI281" s="4" t="str">
        <x:f t="shared" si="46"/>
      </x:c>
      <x:c r="AJ281" s="4">
        <x:f t="shared" si="47"/>
        <x:v>0</x:v>
      </x:c>
      <x:c r="AK281" s="4">
        <x:f t="shared" si="48"/>
        <x:v>0</x:v>
      </x:c>
      <x:c r="AL281" s="11">
        <x:f t="shared" si="49"/>
        <x:v>0</x:v>
      </x:c>
      <x:c r="AM281" s="6"/>
      <x:c r="AN281" s="6"/>
    </x:row>
    <x:row r="282">
      <x:c r="A282" s="3" t="str">
        <x:f t="shared" si="40"/>
      </x:c>
      <x:c r="B282" s="9"/>
      <x:c r="C282" s="36"/>
      <x:c r="D282" s="6"/>
      <x:c r="E282" s="3" t="str">
        <x:f>IF(D282="","",IFERROR(VLOOKUP(D282,'Base Sectores'!$A$5:$J$47,2,FALSE),""))</x:f>
      </x:c>
      <x:c r="F282" s="40" t="str">
        <x:f>IF(D282="","",IFERROR(VLOOKUP(D282,'Base Sectores'!$A$5:$J$47,3,FALSE),""))</x:f>
      </x:c>
      <x:c r="G282" s="3" t="str">
        <x:f>IF(D282="","",IFERROR(VLOOKUP(D282,'Base Sectores'!$A$5:$J$47,4,FALSE),""))</x:f>
      </x:c>
      <x:c r="H282" s="3" t="str">
        <x:f>IF(D282="","",IFERROR(VLOOKUP(D282,'Base Sectores'!$A$5:$J$47,5,FALSE),""))</x:f>
      </x:c>
      <x:c r="I282" s="3" t="str">
        <x:f>IF(D282="","",IFERROR(VLOOKUP(D282,'Base Sectores'!$A$5:$J$47,6,FALSE),""))</x:f>
      </x:c>
      <x:c r="J282" s="3" t="str">
        <x:f>IF(D282="","",IFERROR(VLOOKUP(D282,'Base Sectores'!$A$5:$J$47,7,FALSE),""))</x:f>
      </x:c>
      <x:c r="K282" s="3" t="str">
        <x:f>IF(D282="","",IFERROR(VLOOKUP(D282,'Base Sectores'!$A$5:$J$47,9,FALSE),""))</x:f>
      </x:c>
      <x:c r="L282" s="6"/>
      <x:c r="M282" s="3" t="str">
        <x:f>IF(L282="","",IFERROR(VLOOKUP(L282,Configuracion!$D$4:$H$15,2,FALSE),""))</x:f>
      </x:c>
      <x:c r="N282" s="3" t="str">
        <x:f>IF(L282="","",IFERROR(VLOOKUP(L282,Configuracion!$D$4:$H$15,3,FALSE),""))</x:f>
      </x:c>
      <x:c r="O282" s="6"/>
      <x:c r="P282" s="3" t="str">
        <x:f>IF(L282="","",IFERROR(VLOOKUP(L282,Configuracion!$D$4:$H$15,4,FALSE),0))</x:f>
      </x:c>
      <x:c r="Q282" s="10"/>
      <x:c r="R282" s="10"/>
      <x:c r="S282" s="4" t="str">
        <x:f t="shared" si="41"/>
      </x:c>
      <x:c r="T282" s="6"/>
      <x:c r="U282" s="6"/>
      <x:c r="V282" s="6"/>
      <x:c r="W282" s="6"/>
      <x:c r="X282" s="6"/>
      <x:c r="Y282" s="6"/>
      <x:c r="Z282" s="6"/>
      <x:c r="AA282" s="6"/>
      <x:c r="AB282" s="6"/>
      <x:c r="AC282" s="10"/>
      <x:c r="AD282" s="10"/>
      <x:c r="AE282" s="4" t="str">
        <x:f t="shared" si="42"/>
      </x:c>
      <x:c r="AF282" s="4" t="str">
        <x:f t="shared" si="43"/>
      </x:c>
      <x:c r="AG282" s="4" t="str">
        <x:f t="shared" si="44"/>
      </x:c>
      <x:c r="AH282" s="11">
        <x:f t="shared" si="45"/>
        <x:v>0</x:v>
      </x:c>
      <x:c r="AI282" s="4" t="str">
        <x:f t="shared" si="46"/>
      </x:c>
      <x:c r="AJ282" s="4">
        <x:f t="shared" si="47"/>
        <x:v>0</x:v>
      </x:c>
      <x:c r="AK282" s="4">
        <x:f t="shared" si="48"/>
        <x:v>0</x:v>
      </x:c>
      <x:c r="AL282" s="11">
        <x:f t="shared" si="49"/>
        <x:v>0</x:v>
      </x:c>
      <x:c r="AM282" s="6"/>
      <x:c r="AN282" s="6"/>
    </x:row>
    <x:row r="283">
      <x:c r="A283" s="3" t="str">
        <x:f t="shared" si="40"/>
      </x:c>
      <x:c r="B283" s="9"/>
      <x:c r="C283" s="36"/>
      <x:c r="D283" s="6"/>
      <x:c r="E283" s="3" t="str">
        <x:f>IF(D283="","",IFERROR(VLOOKUP(D283,'Base Sectores'!$A$5:$J$47,2,FALSE),""))</x:f>
      </x:c>
      <x:c r="F283" s="40" t="str">
        <x:f>IF(D283="","",IFERROR(VLOOKUP(D283,'Base Sectores'!$A$5:$J$47,3,FALSE),""))</x:f>
      </x:c>
      <x:c r="G283" s="3" t="str">
        <x:f>IF(D283="","",IFERROR(VLOOKUP(D283,'Base Sectores'!$A$5:$J$47,4,FALSE),""))</x:f>
      </x:c>
      <x:c r="H283" s="3" t="str">
        <x:f>IF(D283="","",IFERROR(VLOOKUP(D283,'Base Sectores'!$A$5:$J$47,5,FALSE),""))</x:f>
      </x:c>
      <x:c r="I283" s="3" t="str">
        <x:f>IF(D283="","",IFERROR(VLOOKUP(D283,'Base Sectores'!$A$5:$J$47,6,FALSE),""))</x:f>
      </x:c>
      <x:c r="J283" s="3" t="str">
        <x:f>IF(D283="","",IFERROR(VLOOKUP(D283,'Base Sectores'!$A$5:$J$47,7,FALSE),""))</x:f>
      </x:c>
      <x:c r="K283" s="3" t="str">
        <x:f>IF(D283="","",IFERROR(VLOOKUP(D283,'Base Sectores'!$A$5:$J$47,9,FALSE),""))</x:f>
      </x:c>
      <x:c r="L283" s="6"/>
      <x:c r="M283" s="3" t="str">
        <x:f>IF(L283="","",IFERROR(VLOOKUP(L283,Configuracion!$D$4:$H$15,2,FALSE),""))</x:f>
      </x:c>
      <x:c r="N283" s="3" t="str">
        <x:f>IF(L283="","",IFERROR(VLOOKUP(L283,Configuracion!$D$4:$H$15,3,FALSE),""))</x:f>
      </x:c>
      <x:c r="O283" s="6"/>
      <x:c r="P283" s="3" t="str">
        <x:f>IF(L283="","",IFERROR(VLOOKUP(L283,Configuracion!$D$4:$H$15,4,FALSE),0))</x:f>
      </x:c>
      <x:c r="Q283" s="10"/>
      <x:c r="R283" s="10"/>
      <x:c r="S283" s="4" t="str">
        <x:f t="shared" si="41"/>
      </x:c>
      <x:c r="T283" s="6"/>
      <x:c r="U283" s="6"/>
      <x:c r="V283" s="6"/>
      <x:c r="W283" s="6"/>
      <x:c r="X283" s="6"/>
      <x:c r="Y283" s="6"/>
      <x:c r="Z283" s="6"/>
      <x:c r="AA283" s="6"/>
      <x:c r="AB283" s="6"/>
      <x:c r="AC283" s="10"/>
      <x:c r="AD283" s="10"/>
      <x:c r="AE283" s="4" t="str">
        <x:f t="shared" si="42"/>
      </x:c>
      <x:c r="AF283" s="4" t="str">
        <x:f t="shared" si="43"/>
      </x:c>
      <x:c r="AG283" s="4" t="str">
        <x:f t="shared" si="44"/>
      </x:c>
      <x:c r="AH283" s="11">
        <x:f t="shared" si="45"/>
        <x:v>0</x:v>
      </x:c>
      <x:c r="AI283" s="4" t="str">
        <x:f t="shared" si="46"/>
      </x:c>
      <x:c r="AJ283" s="4">
        <x:f t="shared" si="47"/>
        <x:v>0</x:v>
      </x:c>
      <x:c r="AK283" s="4">
        <x:f t="shared" si="48"/>
        <x:v>0</x:v>
      </x:c>
      <x:c r="AL283" s="11">
        <x:f t="shared" si="49"/>
        <x:v>0</x:v>
      </x:c>
      <x:c r="AM283" s="6"/>
      <x:c r="AN283" s="6"/>
    </x:row>
    <x:row r="284">
      <x:c r="A284" s="3" t="str">
        <x:f t="shared" si="40"/>
      </x:c>
      <x:c r="B284" s="9"/>
      <x:c r="C284" s="36"/>
      <x:c r="D284" s="6"/>
      <x:c r="E284" s="3" t="str">
        <x:f>IF(D284="","",IFERROR(VLOOKUP(D284,'Base Sectores'!$A$5:$J$47,2,FALSE),""))</x:f>
      </x:c>
      <x:c r="F284" s="40" t="str">
        <x:f>IF(D284="","",IFERROR(VLOOKUP(D284,'Base Sectores'!$A$5:$J$47,3,FALSE),""))</x:f>
      </x:c>
      <x:c r="G284" s="3" t="str">
        <x:f>IF(D284="","",IFERROR(VLOOKUP(D284,'Base Sectores'!$A$5:$J$47,4,FALSE),""))</x:f>
      </x:c>
      <x:c r="H284" s="3" t="str">
        <x:f>IF(D284="","",IFERROR(VLOOKUP(D284,'Base Sectores'!$A$5:$J$47,5,FALSE),""))</x:f>
      </x:c>
      <x:c r="I284" s="3" t="str">
        <x:f>IF(D284="","",IFERROR(VLOOKUP(D284,'Base Sectores'!$A$5:$J$47,6,FALSE),""))</x:f>
      </x:c>
      <x:c r="J284" s="3" t="str">
        <x:f>IF(D284="","",IFERROR(VLOOKUP(D284,'Base Sectores'!$A$5:$J$47,7,FALSE),""))</x:f>
      </x:c>
      <x:c r="K284" s="3" t="str">
        <x:f>IF(D284="","",IFERROR(VLOOKUP(D284,'Base Sectores'!$A$5:$J$47,9,FALSE),""))</x:f>
      </x:c>
      <x:c r="L284" s="6"/>
      <x:c r="M284" s="3" t="str">
        <x:f>IF(L284="","",IFERROR(VLOOKUP(L284,Configuracion!$D$4:$H$15,2,FALSE),""))</x:f>
      </x:c>
      <x:c r="N284" s="3" t="str">
        <x:f>IF(L284="","",IFERROR(VLOOKUP(L284,Configuracion!$D$4:$H$15,3,FALSE),""))</x:f>
      </x:c>
      <x:c r="O284" s="6"/>
      <x:c r="P284" s="3" t="str">
        <x:f>IF(L284="","",IFERROR(VLOOKUP(L284,Configuracion!$D$4:$H$15,4,FALSE),0))</x:f>
      </x:c>
      <x:c r="Q284" s="10"/>
      <x:c r="R284" s="10"/>
      <x:c r="S284" s="4" t="str">
        <x:f t="shared" si="41"/>
      </x:c>
      <x:c r="T284" s="6"/>
      <x:c r="U284" s="6"/>
      <x:c r="V284" s="6"/>
      <x:c r="W284" s="6"/>
      <x:c r="X284" s="6"/>
      <x:c r="Y284" s="6"/>
      <x:c r="Z284" s="6"/>
      <x:c r="AA284" s="6"/>
      <x:c r="AB284" s="6"/>
      <x:c r="AC284" s="10"/>
      <x:c r="AD284" s="10"/>
      <x:c r="AE284" s="4" t="str">
        <x:f t="shared" si="42"/>
      </x:c>
      <x:c r="AF284" s="4" t="str">
        <x:f t="shared" si="43"/>
      </x:c>
      <x:c r="AG284" s="4" t="str">
        <x:f t="shared" si="44"/>
      </x:c>
      <x:c r="AH284" s="11">
        <x:f t="shared" si="45"/>
        <x:v>0</x:v>
      </x:c>
      <x:c r="AI284" s="4" t="str">
        <x:f t="shared" si="46"/>
      </x:c>
      <x:c r="AJ284" s="4">
        <x:f t="shared" si="47"/>
        <x:v>0</x:v>
      </x:c>
      <x:c r="AK284" s="4">
        <x:f t="shared" si="48"/>
        <x:v>0</x:v>
      </x:c>
      <x:c r="AL284" s="11">
        <x:f t="shared" si="49"/>
        <x:v>0</x:v>
      </x:c>
      <x:c r="AM284" s="6"/>
      <x:c r="AN284" s="6"/>
    </x:row>
    <x:row r="285">
      <x:c r="A285" s="3" t="str">
        <x:f t="shared" si="40"/>
      </x:c>
      <x:c r="B285" s="9"/>
      <x:c r="C285" s="36"/>
      <x:c r="D285" s="6"/>
      <x:c r="E285" s="3" t="str">
        <x:f>IF(D285="","",IFERROR(VLOOKUP(D285,'Base Sectores'!$A$5:$J$47,2,FALSE),""))</x:f>
      </x:c>
      <x:c r="F285" s="40" t="str">
        <x:f>IF(D285="","",IFERROR(VLOOKUP(D285,'Base Sectores'!$A$5:$J$47,3,FALSE),""))</x:f>
      </x:c>
      <x:c r="G285" s="3" t="str">
        <x:f>IF(D285="","",IFERROR(VLOOKUP(D285,'Base Sectores'!$A$5:$J$47,4,FALSE),""))</x:f>
      </x:c>
      <x:c r="H285" s="3" t="str">
        <x:f>IF(D285="","",IFERROR(VLOOKUP(D285,'Base Sectores'!$A$5:$J$47,5,FALSE),""))</x:f>
      </x:c>
      <x:c r="I285" s="3" t="str">
        <x:f>IF(D285="","",IFERROR(VLOOKUP(D285,'Base Sectores'!$A$5:$J$47,6,FALSE),""))</x:f>
      </x:c>
      <x:c r="J285" s="3" t="str">
        <x:f>IF(D285="","",IFERROR(VLOOKUP(D285,'Base Sectores'!$A$5:$J$47,7,FALSE),""))</x:f>
      </x:c>
      <x:c r="K285" s="3" t="str">
        <x:f>IF(D285="","",IFERROR(VLOOKUP(D285,'Base Sectores'!$A$5:$J$47,9,FALSE),""))</x:f>
      </x:c>
      <x:c r="L285" s="6"/>
      <x:c r="M285" s="3" t="str">
        <x:f>IF(L285="","",IFERROR(VLOOKUP(L285,Configuracion!$D$4:$H$15,2,FALSE),""))</x:f>
      </x:c>
      <x:c r="N285" s="3" t="str">
        <x:f>IF(L285="","",IFERROR(VLOOKUP(L285,Configuracion!$D$4:$H$15,3,FALSE),""))</x:f>
      </x:c>
      <x:c r="O285" s="6"/>
      <x:c r="P285" s="3" t="str">
        <x:f>IF(L285="","",IFERROR(VLOOKUP(L285,Configuracion!$D$4:$H$15,4,FALSE),0))</x:f>
      </x:c>
      <x:c r="Q285" s="10"/>
      <x:c r="R285" s="10"/>
      <x:c r="S285" s="4" t="str">
        <x:f t="shared" si="41"/>
      </x:c>
      <x:c r="T285" s="6"/>
      <x:c r="U285" s="6"/>
      <x:c r="V285" s="6"/>
      <x:c r="W285" s="6"/>
      <x:c r="X285" s="6"/>
      <x:c r="Y285" s="6"/>
      <x:c r="Z285" s="6"/>
      <x:c r="AA285" s="6"/>
      <x:c r="AB285" s="6"/>
      <x:c r="AC285" s="10"/>
      <x:c r="AD285" s="10"/>
      <x:c r="AE285" s="4" t="str">
        <x:f t="shared" si="42"/>
      </x:c>
      <x:c r="AF285" s="4" t="str">
        <x:f t="shared" si="43"/>
      </x:c>
      <x:c r="AG285" s="4" t="str">
        <x:f t="shared" si="44"/>
      </x:c>
      <x:c r="AH285" s="11">
        <x:f t="shared" si="45"/>
        <x:v>0</x:v>
      </x:c>
      <x:c r="AI285" s="4" t="str">
        <x:f t="shared" si="46"/>
      </x:c>
      <x:c r="AJ285" s="4">
        <x:f t="shared" si="47"/>
        <x:v>0</x:v>
      </x:c>
      <x:c r="AK285" s="4">
        <x:f t="shared" si="48"/>
        <x:v>0</x:v>
      </x:c>
      <x:c r="AL285" s="11">
        <x:f t="shared" si="49"/>
        <x:v>0</x:v>
      </x:c>
      <x:c r="AM285" s="6"/>
      <x:c r="AN285" s="6"/>
    </x:row>
    <x:row r="286">
      <x:c r="A286" s="3" t="str">
        <x:f t="shared" si="40"/>
      </x:c>
      <x:c r="B286" s="9"/>
      <x:c r="C286" s="36"/>
      <x:c r="D286" s="6"/>
      <x:c r="E286" s="3" t="str">
        <x:f>IF(D286="","",IFERROR(VLOOKUP(D286,'Base Sectores'!$A$5:$J$47,2,FALSE),""))</x:f>
      </x:c>
      <x:c r="F286" s="40" t="str">
        <x:f>IF(D286="","",IFERROR(VLOOKUP(D286,'Base Sectores'!$A$5:$J$47,3,FALSE),""))</x:f>
      </x:c>
      <x:c r="G286" s="3" t="str">
        <x:f>IF(D286="","",IFERROR(VLOOKUP(D286,'Base Sectores'!$A$5:$J$47,4,FALSE),""))</x:f>
      </x:c>
      <x:c r="H286" s="3" t="str">
        <x:f>IF(D286="","",IFERROR(VLOOKUP(D286,'Base Sectores'!$A$5:$J$47,5,FALSE),""))</x:f>
      </x:c>
      <x:c r="I286" s="3" t="str">
        <x:f>IF(D286="","",IFERROR(VLOOKUP(D286,'Base Sectores'!$A$5:$J$47,6,FALSE),""))</x:f>
      </x:c>
      <x:c r="J286" s="3" t="str">
        <x:f>IF(D286="","",IFERROR(VLOOKUP(D286,'Base Sectores'!$A$5:$J$47,7,FALSE),""))</x:f>
      </x:c>
      <x:c r="K286" s="3" t="str">
        <x:f>IF(D286="","",IFERROR(VLOOKUP(D286,'Base Sectores'!$A$5:$J$47,9,FALSE),""))</x:f>
      </x:c>
      <x:c r="L286" s="6"/>
      <x:c r="M286" s="3" t="str">
        <x:f>IF(L286="","",IFERROR(VLOOKUP(L286,Configuracion!$D$4:$H$15,2,FALSE),""))</x:f>
      </x:c>
      <x:c r="N286" s="3" t="str">
        <x:f>IF(L286="","",IFERROR(VLOOKUP(L286,Configuracion!$D$4:$H$15,3,FALSE),""))</x:f>
      </x:c>
      <x:c r="O286" s="6"/>
      <x:c r="P286" s="3" t="str">
        <x:f>IF(L286="","",IFERROR(VLOOKUP(L286,Configuracion!$D$4:$H$15,4,FALSE),0))</x:f>
      </x:c>
      <x:c r="Q286" s="10"/>
      <x:c r="R286" s="10"/>
      <x:c r="S286" s="4" t="str">
        <x:f t="shared" si="41"/>
      </x:c>
      <x:c r="T286" s="6"/>
      <x:c r="U286" s="6"/>
      <x:c r="V286" s="6"/>
      <x:c r="W286" s="6"/>
      <x:c r="X286" s="6"/>
      <x:c r="Y286" s="6"/>
      <x:c r="Z286" s="6"/>
      <x:c r="AA286" s="6"/>
      <x:c r="AB286" s="6"/>
      <x:c r="AC286" s="10"/>
      <x:c r="AD286" s="10"/>
      <x:c r="AE286" s="4" t="str">
        <x:f t="shared" si="42"/>
      </x:c>
      <x:c r="AF286" s="4" t="str">
        <x:f t="shared" si="43"/>
      </x:c>
      <x:c r="AG286" s="4" t="str">
        <x:f t="shared" si="44"/>
      </x:c>
      <x:c r="AH286" s="11">
        <x:f t="shared" si="45"/>
        <x:v>0</x:v>
      </x:c>
      <x:c r="AI286" s="4" t="str">
        <x:f t="shared" si="46"/>
      </x:c>
      <x:c r="AJ286" s="4">
        <x:f t="shared" si="47"/>
        <x:v>0</x:v>
      </x:c>
      <x:c r="AK286" s="4">
        <x:f t="shared" si="48"/>
        <x:v>0</x:v>
      </x:c>
      <x:c r="AL286" s="11">
        <x:f t="shared" si="49"/>
        <x:v>0</x:v>
      </x:c>
      <x:c r="AM286" s="6"/>
      <x:c r="AN286" s="6"/>
    </x:row>
    <x:row r="287">
      <x:c r="A287" s="3" t="str">
        <x:f t="shared" si="40"/>
      </x:c>
      <x:c r="B287" s="9"/>
      <x:c r="C287" s="36"/>
      <x:c r="D287" s="6"/>
      <x:c r="E287" s="3" t="str">
        <x:f>IF(D287="","",IFERROR(VLOOKUP(D287,'Base Sectores'!$A$5:$J$47,2,FALSE),""))</x:f>
      </x:c>
      <x:c r="F287" s="40" t="str">
        <x:f>IF(D287="","",IFERROR(VLOOKUP(D287,'Base Sectores'!$A$5:$J$47,3,FALSE),""))</x:f>
      </x:c>
      <x:c r="G287" s="3" t="str">
        <x:f>IF(D287="","",IFERROR(VLOOKUP(D287,'Base Sectores'!$A$5:$J$47,4,FALSE),""))</x:f>
      </x:c>
      <x:c r="H287" s="3" t="str">
        <x:f>IF(D287="","",IFERROR(VLOOKUP(D287,'Base Sectores'!$A$5:$J$47,5,FALSE),""))</x:f>
      </x:c>
      <x:c r="I287" s="3" t="str">
        <x:f>IF(D287="","",IFERROR(VLOOKUP(D287,'Base Sectores'!$A$5:$J$47,6,FALSE),""))</x:f>
      </x:c>
      <x:c r="J287" s="3" t="str">
        <x:f>IF(D287="","",IFERROR(VLOOKUP(D287,'Base Sectores'!$A$5:$J$47,7,FALSE),""))</x:f>
      </x:c>
      <x:c r="K287" s="3" t="str">
        <x:f>IF(D287="","",IFERROR(VLOOKUP(D287,'Base Sectores'!$A$5:$J$47,9,FALSE),""))</x:f>
      </x:c>
      <x:c r="L287" s="6"/>
      <x:c r="M287" s="3" t="str">
        <x:f>IF(L287="","",IFERROR(VLOOKUP(L287,Configuracion!$D$4:$H$15,2,FALSE),""))</x:f>
      </x:c>
      <x:c r="N287" s="3" t="str">
        <x:f>IF(L287="","",IFERROR(VLOOKUP(L287,Configuracion!$D$4:$H$15,3,FALSE),""))</x:f>
      </x:c>
      <x:c r="O287" s="6"/>
      <x:c r="P287" s="3" t="str">
        <x:f>IF(L287="","",IFERROR(VLOOKUP(L287,Configuracion!$D$4:$H$15,4,FALSE),0))</x:f>
      </x:c>
      <x:c r="Q287" s="10"/>
      <x:c r="R287" s="10"/>
      <x:c r="S287" s="4" t="str">
        <x:f t="shared" si="41"/>
      </x:c>
      <x:c r="T287" s="6"/>
      <x:c r="U287" s="6"/>
      <x:c r="V287" s="6"/>
      <x:c r="W287" s="6"/>
      <x:c r="X287" s="6"/>
      <x:c r="Y287" s="6"/>
      <x:c r="Z287" s="6"/>
      <x:c r="AA287" s="6"/>
      <x:c r="AB287" s="6"/>
      <x:c r="AC287" s="10"/>
      <x:c r="AD287" s="10"/>
      <x:c r="AE287" s="4" t="str">
        <x:f t="shared" si="42"/>
      </x:c>
      <x:c r="AF287" s="4" t="str">
        <x:f t="shared" si="43"/>
      </x:c>
      <x:c r="AG287" s="4" t="str">
        <x:f t="shared" si="44"/>
      </x:c>
      <x:c r="AH287" s="11">
        <x:f t="shared" si="45"/>
        <x:v>0</x:v>
      </x:c>
      <x:c r="AI287" s="4" t="str">
        <x:f t="shared" si="46"/>
      </x:c>
      <x:c r="AJ287" s="4">
        <x:f t="shared" si="47"/>
        <x:v>0</x:v>
      </x:c>
      <x:c r="AK287" s="4">
        <x:f t="shared" si="48"/>
        <x:v>0</x:v>
      </x:c>
      <x:c r="AL287" s="11">
        <x:f t="shared" si="49"/>
        <x:v>0</x:v>
      </x:c>
      <x:c r="AM287" s="6"/>
      <x:c r="AN287" s="6"/>
    </x:row>
    <x:row r="288">
      <x:c r="A288" s="3" t="str">
        <x:f t="shared" si="40"/>
      </x:c>
      <x:c r="B288" s="9"/>
      <x:c r="C288" s="36"/>
      <x:c r="D288" s="6"/>
      <x:c r="E288" s="3" t="str">
        <x:f>IF(D288="","",IFERROR(VLOOKUP(D288,'Base Sectores'!$A$5:$J$47,2,FALSE),""))</x:f>
      </x:c>
      <x:c r="F288" s="40" t="str">
        <x:f>IF(D288="","",IFERROR(VLOOKUP(D288,'Base Sectores'!$A$5:$J$47,3,FALSE),""))</x:f>
      </x:c>
      <x:c r="G288" s="3" t="str">
        <x:f>IF(D288="","",IFERROR(VLOOKUP(D288,'Base Sectores'!$A$5:$J$47,4,FALSE),""))</x:f>
      </x:c>
      <x:c r="H288" s="3" t="str">
        <x:f>IF(D288="","",IFERROR(VLOOKUP(D288,'Base Sectores'!$A$5:$J$47,5,FALSE),""))</x:f>
      </x:c>
      <x:c r="I288" s="3" t="str">
        <x:f>IF(D288="","",IFERROR(VLOOKUP(D288,'Base Sectores'!$A$5:$J$47,6,FALSE),""))</x:f>
      </x:c>
      <x:c r="J288" s="3" t="str">
        <x:f>IF(D288="","",IFERROR(VLOOKUP(D288,'Base Sectores'!$A$5:$J$47,7,FALSE),""))</x:f>
      </x:c>
      <x:c r="K288" s="3" t="str">
        <x:f>IF(D288="","",IFERROR(VLOOKUP(D288,'Base Sectores'!$A$5:$J$47,9,FALSE),""))</x:f>
      </x:c>
      <x:c r="L288" s="6"/>
      <x:c r="M288" s="3" t="str">
        <x:f>IF(L288="","",IFERROR(VLOOKUP(L288,Configuracion!$D$4:$H$15,2,FALSE),""))</x:f>
      </x:c>
      <x:c r="N288" s="3" t="str">
        <x:f>IF(L288="","",IFERROR(VLOOKUP(L288,Configuracion!$D$4:$H$15,3,FALSE),""))</x:f>
      </x:c>
      <x:c r="O288" s="6"/>
      <x:c r="P288" s="3" t="str">
        <x:f>IF(L288="","",IFERROR(VLOOKUP(L288,Configuracion!$D$4:$H$15,4,FALSE),0))</x:f>
      </x:c>
      <x:c r="Q288" s="10"/>
      <x:c r="R288" s="10"/>
      <x:c r="S288" s="4" t="str">
        <x:f t="shared" si="41"/>
      </x:c>
      <x:c r="T288" s="6"/>
      <x:c r="U288" s="6"/>
      <x:c r="V288" s="6"/>
      <x:c r="W288" s="6"/>
      <x:c r="X288" s="6"/>
      <x:c r="Y288" s="6"/>
      <x:c r="Z288" s="6"/>
      <x:c r="AA288" s="6"/>
      <x:c r="AB288" s="6"/>
      <x:c r="AC288" s="10"/>
      <x:c r="AD288" s="10"/>
      <x:c r="AE288" s="4" t="str">
        <x:f t="shared" si="42"/>
      </x:c>
      <x:c r="AF288" s="4" t="str">
        <x:f t="shared" si="43"/>
      </x:c>
      <x:c r="AG288" s="4" t="str">
        <x:f t="shared" si="44"/>
      </x:c>
      <x:c r="AH288" s="11">
        <x:f t="shared" si="45"/>
        <x:v>0</x:v>
      </x:c>
      <x:c r="AI288" s="4" t="str">
        <x:f t="shared" si="46"/>
      </x:c>
      <x:c r="AJ288" s="4">
        <x:f t="shared" si="47"/>
        <x:v>0</x:v>
      </x:c>
      <x:c r="AK288" s="4">
        <x:f t="shared" si="48"/>
        <x:v>0</x:v>
      </x:c>
      <x:c r="AL288" s="11">
        <x:f t="shared" si="49"/>
        <x:v>0</x:v>
      </x:c>
      <x:c r="AM288" s="6"/>
      <x:c r="AN288" s="6"/>
    </x:row>
    <x:row r="289">
      <x:c r="A289" s="3" t="str">
        <x:f t="shared" si="40"/>
      </x:c>
      <x:c r="B289" s="9"/>
      <x:c r="C289" s="36"/>
      <x:c r="D289" s="6"/>
      <x:c r="E289" s="3" t="str">
        <x:f>IF(D289="","",IFERROR(VLOOKUP(D289,'Base Sectores'!$A$5:$J$47,2,FALSE),""))</x:f>
      </x:c>
      <x:c r="F289" s="40" t="str">
        <x:f>IF(D289="","",IFERROR(VLOOKUP(D289,'Base Sectores'!$A$5:$J$47,3,FALSE),""))</x:f>
      </x:c>
      <x:c r="G289" s="3" t="str">
        <x:f>IF(D289="","",IFERROR(VLOOKUP(D289,'Base Sectores'!$A$5:$J$47,4,FALSE),""))</x:f>
      </x:c>
      <x:c r="H289" s="3" t="str">
        <x:f>IF(D289="","",IFERROR(VLOOKUP(D289,'Base Sectores'!$A$5:$J$47,5,FALSE),""))</x:f>
      </x:c>
      <x:c r="I289" s="3" t="str">
        <x:f>IF(D289="","",IFERROR(VLOOKUP(D289,'Base Sectores'!$A$5:$J$47,6,FALSE),""))</x:f>
      </x:c>
      <x:c r="J289" s="3" t="str">
        <x:f>IF(D289="","",IFERROR(VLOOKUP(D289,'Base Sectores'!$A$5:$J$47,7,FALSE),""))</x:f>
      </x:c>
      <x:c r="K289" s="3" t="str">
        <x:f>IF(D289="","",IFERROR(VLOOKUP(D289,'Base Sectores'!$A$5:$J$47,9,FALSE),""))</x:f>
      </x:c>
      <x:c r="L289" s="6"/>
      <x:c r="M289" s="3" t="str">
        <x:f>IF(L289="","",IFERROR(VLOOKUP(L289,Configuracion!$D$4:$H$15,2,FALSE),""))</x:f>
      </x:c>
      <x:c r="N289" s="3" t="str">
        <x:f>IF(L289="","",IFERROR(VLOOKUP(L289,Configuracion!$D$4:$H$15,3,FALSE),""))</x:f>
      </x:c>
      <x:c r="O289" s="6"/>
      <x:c r="P289" s="3" t="str">
        <x:f>IF(L289="","",IFERROR(VLOOKUP(L289,Configuracion!$D$4:$H$15,4,FALSE),0))</x:f>
      </x:c>
      <x:c r="Q289" s="10"/>
      <x:c r="R289" s="10"/>
      <x:c r="S289" s="4" t="str">
        <x:f t="shared" si="41"/>
      </x:c>
      <x:c r="T289" s="6"/>
      <x:c r="U289" s="6"/>
      <x:c r="V289" s="6"/>
      <x:c r="W289" s="6"/>
      <x:c r="X289" s="6"/>
      <x:c r="Y289" s="6"/>
      <x:c r="Z289" s="6"/>
      <x:c r="AA289" s="6"/>
      <x:c r="AB289" s="6"/>
      <x:c r="AC289" s="10"/>
      <x:c r="AD289" s="10"/>
      <x:c r="AE289" s="4" t="str">
        <x:f t="shared" si="42"/>
      </x:c>
      <x:c r="AF289" s="4" t="str">
        <x:f t="shared" si="43"/>
      </x:c>
      <x:c r="AG289" s="4" t="str">
        <x:f t="shared" si="44"/>
      </x:c>
      <x:c r="AH289" s="11">
        <x:f t="shared" si="45"/>
        <x:v>0</x:v>
      </x:c>
      <x:c r="AI289" s="4" t="str">
        <x:f t="shared" si="46"/>
      </x:c>
      <x:c r="AJ289" s="4">
        <x:f t="shared" si="47"/>
        <x:v>0</x:v>
      </x:c>
      <x:c r="AK289" s="4">
        <x:f t="shared" si="48"/>
        <x:v>0</x:v>
      </x:c>
      <x:c r="AL289" s="11">
        <x:f t="shared" si="49"/>
        <x:v>0</x:v>
      </x:c>
      <x:c r="AM289" s="6"/>
      <x:c r="AN289" s="6"/>
    </x:row>
    <x:row r="290">
      <x:c r="A290" s="3" t="str">
        <x:f t="shared" si="40"/>
      </x:c>
      <x:c r="B290" s="9"/>
      <x:c r="C290" s="36"/>
      <x:c r="D290" s="6"/>
      <x:c r="E290" s="3" t="str">
        <x:f>IF(D290="","",IFERROR(VLOOKUP(D290,'Base Sectores'!$A$5:$J$47,2,FALSE),""))</x:f>
      </x:c>
      <x:c r="F290" s="40" t="str">
        <x:f>IF(D290="","",IFERROR(VLOOKUP(D290,'Base Sectores'!$A$5:$J$47,3,FALSE),""))</x:f>
      </x:c>
      <x:c r="G290" s="3" t="str">
        <x:f>IF(D290="","",IFERROR(VLOOKUP(D290,'Base Sectores'!$A$5:$J$47,4,FALSE),""))</x:f>
      </x:c>
      <x:c r="H290" s="3" t="str">
        <x:f>IF(D290="","",IFERROR(VLOOKUP(D290,'Base Sectores'!$A$5:$J$47,5,FALSE),""))</x:f>
      </x:c>
      <x:c r="I290" s="3" t="str">
        <x:f>IF(D290="","",IFERROR(VLOOKUP(D290,'Base Sectores'!$A$5:$J$47,6,FALSE),""))</x:f>
      </x:c>
      <x:c r="J290" s="3" t="str">
        <x:f>IF(D290="","",IFERROR(VLOOKUP(D290,'Base Sectores'!$A$5:$J$47,7,FALSE),""))</x:f>
      </x:c>
      <x:c r="K290" s="3" t="str">
        <x:f>IF(D290="","",IFERROR(VLOOKUP(D290,'Base Sectores'!$A$5:$J$47,9,FALSE),""))</x:f>
      </x:c>
      <x:c r="L290" s="6"/>
      <x:c r="M290" s="3" t="str">
        <x:f>IF(L290="","",IFERROR(VLOOKUP(L290,Configuracion!$D$4:$H$15,2,FALSE),""))</x:f>
      </x:c>
      <x:c r="N290" s="3" t="str">
        <x:f>IF(L290="","",IFERROR(VLOOKUP(L290,Configuracion!$D$4:$H$15,3,FALSE),""))</x:f>
      </x:c>
      <x:c r="O290" s="6"/>
      <x:c r="P290" s="3" t="str">
        <x:f>IF(L290="","",IFERROR(VLOOKUP(L290,Configuracion!$D$4:$H$15,4,FALSE),0))</x:f>
      </x:c>
      <x:c r="Q290" s="10"/>
      <x:c r="R290" s="10"/>
      <x:c r="S290" s="4" t="str">
        <x:f t="shared" si="41"/>
      </x:c>
      <x:c r="T290" s="6"/>
      <x:c r="U290" s="6"/>
      <x:c r="V290" s="6"/>
      <x:c r="W290" s="6"/>
      <x:c r="X290" s="6"/>
      <x:c r="Y290" s="6"/>
      <x:c r="Z290" s="6"/>
      <x:c r="AA290" s="6"/>
      <x:c r="AB290" s="6"/>
      <x:c r="AC290" s="10"/>
      <x:c r="AD290" s="10"/>
      <x:c r="AE290" s="4" t="str">
        <x:f t="shared" si="42"/>
      </x:c>
      <x:c r="AF290" s="4" t="str">
        <x:f t="shared" si="43"/>
      </x:c>
      <x:c r="AG290" s="4" t="str">
        <x:f t="shared" si="44"/>
      </x:c>
      <x:c r="AH290" s="11">
        <x:f t="shared" si="45"/>
        <x:v>0</x:v>
      </x:c>
      <x:c r="AI290" s="4" t="str">
        <x:f t="shared" si="46"/>
      </x:c>
      <x:c r="AJ290" s="4">
        <x:f t="shared" si="47"/>
        <x:v>0</x:v>
      </x:c>
      <x:c r="AK290" s="4">
        <x:f t="shared" si="48"/>
        <x:v>0</x:v>
      </x:c>
      <x:c r="AL290" s="11">
        <x:f t="shared" si="49"/>
        <x:v>0</x:v>
      </x:c>
      <x:c r="AM290" s="6"/>
      <x:c r="AN290" s="6"/>
    </x:row>
    <x:row r="291">
      <x:c r="A291" s="3" t="str">
        <x:f t="shared" si="40"/>
      </x:c>
      <x:c r="B291" s="9"/>
      <x:c r="C291" s="36"/>
      <x:c r="D291" s="6"/>
      <x:c r="E291" s="3" t="str">
        <x:f>IF(D291="","",IFERROR(VLOOKUP(D291,'Base Sectores'!$A$5:$J$47,2,FALSE),""))</x:f>
      </x:c>
      <x:c r="F291" s="40" t="str">
        <x:f>IF(D291="","",IFERROR(VLOOKUP(D291,'Base Sectores'!$A$5:$J$47,3,FALSE),""))</x:f>
      </x:c>
      <x:c r="G291" s="3" t="str">
        <x:f>IF(D291="","",IFERROR(VLOOKUP(D291,'Base Sectores'!$A$5:$J$47,4,FALSE),""))</x:f>
      </x:c>
      <x:c r="H291" s="3" t="str">
        <x:f>IF(D291="","",IFERROR(VLOOKUP(D291,'Base Sectores'!$A$5:$J$47,5,FALSE),""))</x:f>
      </x:c>
      <x:c r="I291" s="3" t="str">
        <x:f>IF(D291="","",IFERROR(VLOOKUP(D291,'Base Sectores'!$A$5:$J$47,6,FALSE),""))</x:f>
      </x:c>
      <x:c r="J291" s="3" t="str">
        <x:f>IF(D291="","",IFERROR(VLOOKUP(D291,'Base Sectores'!$A$5:$J$47,7,FALSE),""))</x:f>
      </x:c>
      <x:c r="K291" s="3" t="str">
        <x:f>IF(D291="","",IFERROR(VLOOKUP(D291,'Base Sectores'!$A$5:$J$47,9,FALSE),""))</x:f>
      </x:c>
      <x:c r="L291" s="6"/>
      <x:c r="M291" s="3" t="str">
        <x:f>IF(L291="","",IFERROR(VLOOKUP(L291,Configuracion!$D$4:$H$15,2,FALSE),""))</x:f>
      </x:c>
      <x:c r="N291" s="3" t="str">
        <x:f>IF(L291="","",IFERROR(VLOOKUP(L291,Configuracion!$D$4:$H$15,3,FALSE),""))</x:f>
      </x:c>
      <x:c r="O291" s="6"/>
      <x:c r="P291" s="3" t="str">
        <x:f>IF(L291="","",IFERROR(VLOOKUP(L291,Configuracion!$D$4:$H$15,4,FALSE),0))</x:f>
      </x:c>
      <x:c r="Q291" s="10"/>
      <x:c r="R291" s="10"/>
      <x:c r="S291" s="4" t="str">
        <x:f t="shared" si="41"/>
      </x:c>
      <x:c r="T291" s="6"/>
      <x:c r="U291" s="6"/>
      <x:c r="V291" s="6"/>
      <x:c r="W291" s="6"/>
      <x:c r="X291" s="6"/>
      <x:c r="Y291" s="6"/>
      <x:c r="Z291" s="6"/>
      <x:c r="AA291" s="6"/>
      <x:c r="AB291" s="6"/>
      <x:c r="AC291" s="10"/>
      <x:c r="AD291" s="10"/>
      <x:c r="AE291" s="4" t="str">
        <x:f t="shared" si="42"/>
      </x:c>
      <x:c r="AF291" s="4" t="str">
        <x:f t="shared" si="43"/>
      </x:c>
      <x:c r="AG291" s="4" t="str">
        <x:f t="shared" si="44"/>
      </x:c>
      <x:c r="AH291" s="11">
        <x:f t="shared" si="45"/>
        <x:v>0</x:v>
      </x:c>
      <x:c r="AI291" s="4" t="str">
        <x:f t="shared" si="46"/>
      </x:c>
      <x:c r="AJ291" s="4">
        <x:f t="shared" si="47"/>
        <x:v>0</x:v>
      </x:c>
      <x:c r="AK291" s="4">
        <x:f t="shared" si="48"/>
        <x:v>0</x:v>
      </x:c>
      <x:c r="AL291" s="11">
        <x:f t="shared" si="49"/>
        <x:v>0</x:v>
      </x:c>
      <x:c r="AM291" s="6"/>
      <x:c r="AN291" s="6"/>
    </x:row>
    <x:row r="292">
      <x:c r="A292" s="3" t="str">
        <x:f t="shared" si="40"/>
      </x:c>
      <x:c r="B292" s="9"/>
      <x:c r="C292" s="36"/>
      <x:c r="D292" s="6"/>
      <x:c r="E292" s="3" t="str">
        <x:f>IF(D292="","",IFERROR(VLOOKUP(D292,'Base Sectores'!$A$5:$J$47,2,FALSE),""))</x:f>
      </x:c>
      <x:c r="F292" s="40" t="str">
        <x:f>IF(D292="","",IFERROR(VLOOKUP(D292,'Base Sectores'!$A$5:$J$47,3,FALSE),""))</x:f>
      </x:c>
      <x:c r="G292" s="3" t="str">
        <x:f>IF(D292="","",IFERROR(VLOOKUP(D292,'Base Sectores'!$A$5:$J$47,4,FALSE),""))</x:f>
      </x:c>
      <x:c r="H292" s="3" t="str">
        <x:f>IF(D292="","",IFERROR(VLOOKUP(D292,'Base Sectores'!$A$5:$J$47,5,FALSE),""))</x:f>
      </x:c>
      <x:c r="I292" s="3" t="str">
        <x:f>IF(D292="","",IFERROR(VLOOKUP(D292,'Base Sectores'!$A$5:$J$47,6,FALSE),""))</x:f>
      </x:c>
      <x:c r="J292" s="3" t="str">
        <x:f>IF(D292="","",IFERROR(VLOOKUP(D292,'Base Sectores'!$A$5:$J$47,7,FALSE),""))</x:f>
      </x:c>
      <x:c r="K292" s="3" t="str">
        <x:f>IF(D292="","",IFERROR(VLOOKUP(D292,'Base Sectores'!$A$5:$J$47,9,FALSE),""))</x:f>
      </x:c>
      <x:c r="L292" s="6"/>
      <x:c r="M292" s="3" t="str">
        <x:f>IF(L292="","",IFERROR(VLOOKUP(L292,Configuracion!$D$4:$H$15,2,FALSE),""))</x:f>
      </x:c>
      <x:c r="N292" s="3" t="str">
        <x:f>IF(L292="","",IFERROR(VLOOKUP(L292,Configuracion!$D$4:$H$15,3,FALSE),""))</x:f>
      </x:c>
      <x:c r="O292" s="6"/>
      <x:c r="P292" s="3" t="str">
        <x:f>IF(L292="","",IFERROR(VLOOKUP(L292,Configuracion!$D$4:$H$15,4,FALSE),0))</x:f>
      </x:c>
      <x:c r="Q292" s="10"/>
      <x:c r="R292" s="10"/>
      <x:c r="S292" s="4" t="str">
        <x:f t="shared" si="41"/>
      </x:c>
      <x:c r="T292" s="6"/>
      <x:c r="U292" s="6"/>
      <x:c r="V292" s="6"/>
      <x:c r="W292" s="6"/>
      <x:c r="X292" s="6"/>
      <x:c r="Y292" s="6"/>
      <x:c r="Z292" s="6"/>
      <x:c r="AA292" s="6"/>
      <x:c r="AB292" s="6"/>
      <x:c r="AC292" s="10"/>
      <x:c r="AD292" s="10"/>
      <x:c r="AE292" s="4" t="str">
        <x:f t="shared" si="42"/>
      </x:c>
      <x:c r="AF292" s="4" t="str">
        <x:f t="shared" si="43"/>
      </x:c>
      <x:c r="AG292" s="4" t="str">
        <x:f t="shared" si="44"/>
      </x:c>
      <x:c r="AH292" s="11">
        <x:f t="shared" si="45"/>
        <x:v>0</x:v>
      </x:c>
      <x:c r="AI292" s="4" t="str">
        <x:f t="shared" si="46"/>
      </x:c>
      <x:c r="AJ292" s="4">
        <x:f t="shared" si="47"/>
        <x:v>0</x:v>
      </x:c>
      <x:c r="AK292" s="4">
        <x:f t="shared" si="48"/>
        <x:v>0</x:v>
      </x:c>
      <x:c r="AL292" s="11">
        <x:f t="shared" si="49"/>
        <x:v>0</x:v>
      </x:c>
      <x:c r="AM292" s="6"/>
      <x:c r="AN292" s="6"/>
    </x:row>
    <x:row r="293">
      <x:c r="A293" s="3" t="str">
        <x:f t="shared" si="40"/>
      </x:c>
      <x:c r="B293" s="9"/>
      <x:c r="C293" s="36"/>
      <x:c r="D293" s="6"/>
      <x:c r="E293" s="3" t="str">
        <x:f>IF(D293="","",IFERROR(VLOOKUP(D293,'Base Sectores'!$A$5:$J$47,2,FALSE),""))</x:f>
      </x:c>
      <x:c r="F293" s="40" t="str">
        <x:f>IF(D293="","",IFERROR(VLOOKUP(D293,'Base Sectores'!$A$5:$J$47,3,FALSE),""))</x:f>
      </x:c>
      <x:c r="G293" s="3" t="str">
        <x:f>IF(D293="","",IFERROR(VLOOKUP(D293,'Base Sectores'!$A$5:$J$47,4,FALSE),""))</x:f>
      </x:c>
      <x:c r="H293" s="3" t="str">
        <x:f>IF(D293="","",IFERROR(VLOOKUP(D293,'Base Sectores'!$A$5:$J$47,5,FALSE),""))</x:f>
      </x:c>
      <x:c r="I293" s="3" t="str">
        <x:f>IF(D293="","",IFERROR(VLOOKUP(D293,'Base Sectores'!$A$5:$J$47,6,FALSE),""))</x:f>
      </x:c>
      <x:c r="J293" s="3" t="str">
        <x:f>IF(D293="","",IFERROR(VLOOKUP(D293,'Base Sectores'!$A$5:$J$47,7,FALSE),""))</x:f>
      </x:c>
      <x:c r="K293" s="3" t="str">
        <x:f>IF(D293="","",IFERROR(VLOOKUP(D293,'Base Sectores'!$A$5:$J$47,9,FALSE),""))</x:f>
      </x:c>
      <x:c r="L293" s="6"/>
      <x:c r="M293" s="3" t="str">
        <x:f>IF(L293="","",IFERROR(VLOOKUP(L293,Configuracion!$D$4:$H$15,2,FALSE),""))</x:f>
      </x:c>
      <x:c r="N293" s="3" t="str">
        <x:f>IF(L293="","",IFERROR(VLOOKUP(L293,Configuracion!$D$4:$H$15,3,FALSE),""))</x:f>
      </x:c>
      <x:c r="O293" s="6"/>
      <x:c r="P293" s="3" t="str">
        <x:f>IF(L293="","",IFERROR(VLOOKUP(L293,Configuracion!$D$4:$H$15,4,FALSE),0))</x:f>
      </x:c>
      <x:c r="Q293" s="10"/>
      <x:c r="R293" s="10"/>
      <x:c r="S293" s="4" t="str">
        <x:f t="shared" si="41"/>
      </x:c>
      <x:c r="T293" s="6"/>
      <x:c r="U293" s="6"/>
      <x:c r="V293" s="6"/>
      <x:c r="W293" s="6"/>
      <x:c r="X293" s="6"/>
      <x:c r="Y293" s="6"/>
      <x:c r="Z293" s="6"/>
      <x:c r="AA293" s="6"/>
      <x:c r="AB293" s="6"/>
      <x:c r="AC293" s="10"/>
      <x:c r="AD293" s="10"/>
      <x:c r="AE293" s="4" t="str">
        <x:f t="shared" si="42"/>
      </x:c>
      <x:c r="AF293" s="4" t="str">
        <x:f t="shared" si="43"/>
      </x:c>
      <x:c r="AG293" s="4" t="str">
        <x:f t="shared" si="44"/>
      </x:c>
      <x:c r="AH293" s="11">
        <x:f t="shared" si="45"/>
        <x:v>0</x:v>
      </x:c>
      <x:c r="AI293" s="4" t="str">
        <x:f t="shared" si="46"/>
      </x:c>
      <x:c r="AJ293" s="4">
        <x:f t="shared" si="47"/>
        <x:v>0</x:v>
      </x:c>
      <x:c r="AK293" s="4">
        <x:f t="shared" si="48"/>
        <x:v>0</x:v>
      </x:c>
      <x:c r="AL293" s="11">
        <x:f t="shared" si="49"/>
        <x:v>0</x:v>
      </x:c>
      <x:c r="AM293" s="6"/>
      <x:c r="AN293" s="6"/>
    </x:row>
    <x:row r="294">
      <x:c r="A294" s="3" t="str">
        <x:f t="shared" si="40"/>
      </x:c>
      <x:c r="B294" s="9"/>
      <x:c r="C294" s="36"/>
      <x:c r="D294" s="6"/>
      <x:c r="E294" s="3" t="str">
        <x:f>IF(D294="","",IFERROR(VLOOKUP(D294,'Base Sectores'!$A$5:$J$47,2,FALSE),""))</x:f>
      </x:c>
      <x:c r="F294" s="40" t="str">
        <x:f>IF(D294="","",IFERROR(VLOOKUP(D294,'Base Sectores'!$A$5:$J$47,3,FALSE),""))</x:f>
      </x:c>
      <x:c r="G294" s="3" t="str">
        <x:f>IF(D294="","",IFERROR(VLOOKUP(D294,'Base Sectores'!$A$5:$J$47,4,FALSE),""))</x:f>
      </x:c>
      <x:c r="H294" s="3" t="str">
        <x:f>IF(D294="","",IFERROR(VLOOKUP(D294,'Base Sectores'!$A$5:$J$47,5,FALSE),""))</x:f>
      </x:c>
      <x:c r="I294" s="3" t="str">
        <x:f>IF(D294="","",IFERROR(VLOOKUP(D294,'Base Sectores'!$A$5:$J$47,6,FALSE),""))</x:f>
      </x:c>
      <x:c r="J294" s="3" t="str">
        <x:f>IF(D294="","",IFERROR(VLOOKUP(D294,'Base Sectores'!$A$5:$J$47,7,FALSE),""))</x:f>
      </x:c>
      <x:c r="K294" s="3" t="str">
        <x:f>IF(D294="","",IFERROR(VLOOKUP(D294,'Base Sectores'!$A$5:$J$47,9,FALSE),""))</x:f>
      </x:c>
      <x:c r="L294" s="6"/>
      <x:c r="M294" s="3" t="str">
        <x:f>IF(L294="","",IFERROR(VLOOKUP(L294,Configuracion!$D$4:$H$15,2,FALSE),""))</x:f>
      </x:c>
      <x:c r="N294" s="3" t="str">
        <x:f>IF(L294="","",IFERROR(VLOOKUP(L294,Configuracion!$D$4:$H$15,3,FALSE),""))</x:f>
      </x:c>
      <x:c r="O294" s="6"/>
      <x:c r="P294" s="3" t="str">
        <x:f>IF(L294="","",IFERROR(VLOOKUP(L294,Configuracion!$D$4:$H$15,4,FALSE),0))</x:f>
      </x:c>
      <x:c r="Q294" s="10"/>
      <x:c r="R294" s="10"/>
      <x:c r="S294" s="4" t="str">
        <x:f t="shared" si="41"/>
      </x:c>
      <x:c r="T294" s="6"/>
      <x:c r="U294" s="6"/>
      <x:c r="V294" s="6"/>
      <x:c r="W294" s="6"/>
      <x:c r="X294" s="6"/>
      <x:c r="Y294" s="6"/>
      <x:c r="Z294" s="6"/>
      <x:c r="AA294" s="6"/>
      <x:c r="AB294" s="6"/>
      <x:c r="AC294" s="10"/>
      <x:c r="AD294" s="10"/>
      <x:c r="AE294" s="4" t="str">
        <x:f t="shared" si="42"/>
      </x:c>
      <x:c r="AF294" s="4" t="str">
        <x:f t="shared" si="43"/>
      </x:c>
      <x:c r="AG294" s="4" t="str">
        <x:f t="shared" si="44"/>
      </x:c>
      <x:c r="AH294" s="11">
        <x:f t="shared" si="45"/>
        <x:v>0</x:v>
      </x:c>
      <x:c r="AI294" s="4" t="str">
        <x:f t="shared" si="46"/>
      </x:c>
      <x:c r="AJ294" s="4">
        <x:f t="shared" si="47"/>
        <x:v>0</x:v>
      </x:c>
      <x:c r="AK294" s="4">
        <x:f t="shared" si="48"/>
        <x:v>0</x:v>
      </x:c>
      <x:c r="AL294" s="11">
        <x:f t="shared" si="49"/>
        <x:v>0</x:v>
      </x:c>
      <x:c r="AM294" s="6"/>
      <x:c r="AN294" s="6"/>
    </x:row>
    <x:row r="295">
      <x:c r="A295" s="3" t="str">
        <x:f t="shared" si="40"/>
      </x:c>
      <x:c r="B295" s="9"/>
      <x:c r="C295" s="36"/>
      <x:c r="D295" s="6"/>
      <x:c r="E295" s="3" t="str">
        <x:f>IF(D295="","",IFERROR(VLOOKUP(D295,'Base Sectores'!$A$5:$J$47,2,FALSE),""))</x:f>
      </x:c>
      <x:c r="F295" s="40" t="str">
        <x:f>IF(D295="","",IFERROR(VLOOKUP(D295,'Base Sectores'!$A$5:$J$47,3,FALSE),""))</x:f>
      </x:c>
      <x:c r="G295" s="3" t="str">
        <x:f>IF(D295="","",IFERROR(VLOOKUP(D295,'Base Sectores'!$A$5:$J$47,4,FALSE),""))</x:f>
      </x:c>
      <x:c r="H295" s="3" t="str">
        <x:f>IF(D295="","",IFERROR(VLOOKUP(D295,'Base Sectores'!$A$5:$J$47,5,FALSE),""))</x:f>
      </x:c>
      <x:c r="I295" s="3" t="str">
        <x:f>IF(D295="","",IFERROR(VLOOKUP(D295,'Base Sectores'!$A$5:$J$47,6,FALSE),""))</x:f>
      </x:c>
      <x:c r="J295" s="3" t="str">
        <x:f>IF(D295="","",IFERROR(VLOOKUP(D295,'Base Sectores'!$A$5:$J$47,7,FALSE),""))</x:f>
      </x:c>
      <x:c r="K295" s="3" t="str">
        <x:f>IF(D295="","",IFERROR(VLOOKUP(D295,'Base Sectores'!$A$5:$J$47,9,FALSE),""))</x:f>
      </x:c>
      <x:c r="L295" s="6"/>
      <x:c r="M295" s="3" t="str">
        <x:f>IF(L295="","",IFERROR(VLOOKUP(L295,Configuracion!$D$4:$H$15,2,FALSE),""))</x:f>
      </x:c>
      <x:c r="N295" s="3" t="str">
        <x:f>IF(L295="","",IFERROR(VLOOKUP(L295,Configuracion!$D$4:$H$15,3,FALSE),""))</x:f>
      </x:c>
      <x:c r="O295" s="6"/>
      <x:c r="P295" s="3" t="str">
        <x:f>IF(L295="","",IFERROR(VLOOKUP(L295,Configuracion!$D$4:$H$15,4,FALSE),0))</x:f>
      </x:c>
      <x:c r="Q295" s="10"/>
      <x:c r="R295" s="10"/>
      <x:c r="S295" s="4" t="str">
        <x:f t="shared" si="41"/>
      </x:c>
      <x:c r="T295" s="6"/>
      <x:c r="U295" s="6"/>
      <x:c r="V295" s="6"/>
      <x:c r="W295" s="6"/>
      <x:c r="X295" s="6"/>
      <x:c r="Y295" s="6"/>
      <x:c r="Z295" s="6"/>
      <x:c r="AA295" s="6"/>
      <x:c r="AB295" s="6"/>
      <x:c r="AC295" s="10"/>
      <x:c r="AD295" s="10"/>
      <x:c r="AE295" s="4" t="str">
        <x:f t="shared" si="42"/>
      </x:c>
      <x:c r="AF295" s="4" t="str">
        <x:f t="shared" si="43"/>
      </x:c>
      <x:c r="AG295" s="4" t="str">
        <x:f t="shared" si="44"/>
      </x:c>
      <x:c r="AH295" s="11">
        <x:f t="shared" si="45"/>
        <x:v>0</x:v>
      </x:c>
      <x:c r="AI295" s="4" t="str">
        <x:f t="shared" si="46"/>
      </x:c>
      <x:c r="AJ295" s="4">
        <x:f t="shared" si="47"/>
        <x:v>0</x:v>
      </x:c>
      <x:c r="AK295" s="4">
        <x:f t="shared" si="48"/>
        <x:v>0</x:v>
      </x:c>
      <x:c r="AL295" s="11">
        <x:f t="shared" si="49"/>
        <x:v>0</x:v>
      </x:c>
      <x:c r="AM295" s="6"/>
      <x:c r="AN295" s="6"/>
    </x:row>
    <x:row r="296">
      <x:c r="A296" s="3" t="str">
        <x:f t="shared" si="40"/>
      </x:c>
      <x:c r="B296" s="9"/>
      <x:c r="C296" s="36"/>
      <x:c r="D296" s="6"/>
      <x:c r="E296" s="3" t="str">
        <x:f>IF(D296="","",IFERROR(VLOOKUP(D296,'Base Sectores'!$A$5:$J$47,2,FALSE),""))</x:f>
      </x:c>
      <x:c r="F296" s="40" t="str">
        <x:f>IF(D296="","",IFERROR(VLOOKUP(D296,'Base Sectores'!$A$5:$J$47,3,FALSE),""))</x:f>
      </x:c>
      <x:c r="G296" s="3" t="str">
        <x:f>IF(D296="","",IFERROR(VLOOKUP(D296,'Base Sectores'!$A$5:$J$47,4,FALSE),""))</x:f>
      </x:c>
      <x:c r="H296" s="3" t="str">
        <x:f>IF(D296="","",IFERROR(VLOOKUP(D296,'Base Sectores'!$A$5:$J$47,5,FALSE),""))</x:f>
      </x:c>
      <x:c r="I296" s="3" t="str">
        <x:f>IF(D296="","",IFERROR(VLOOKUP(D296,'Base Sectores'!$A$5:$J$47,6,FALSE),""))</x:f>
      </x:c>
      <x:c r="J296" s="3" t="str">
        <x:f>IF(D296="","",IFERROR(VLOOKUP(D296,'Base Sectores'!$A$5:$J$47,7,FALSE),""))</x:f>
      </x:c>
      <x:c r="K296" s="3" t="str">
        <x:f>IF(D296="","",IFERROR(VLOOKUP(D296,'Base Sectores'!$A$5:$J$47,9,FALSE),""))</x:f>
      </x:c>
      <x:c r="L296" s="6"/>
      <x:c r="M296" s="3" t="str">
        <x:f>IF(L296="","",IFERROR(VLOOKUP(L296,Configuracion!$D$4:$H$15,2,FALSE),""))</x:f>
      </x:c>
      <x:c r="N296" s="3" t="str">
        <x:f>IF(L296="","",IFERROR(VLOOKUP(L296,Configuracion!$D$4:$H$15,3,FALSE),""))</x:f>
      </x:c>
      <x:c r="O296" s="6"/>
      <x:c r="P296" s="3" t="str">
        <x:f>IF(L296="","",IFERROR(VLOOKUP(L296,Configuracion!$D$4:$H$15,4,FALSE),0))</x:f>
      </x:c>
      <x:c r="Q296" s="10"/>
      <x:c r="R296" s="10"/>
      <x:c r="S296" s="4" t="str">
        <x:f t="shared" si="41"/>
      </x:c>
      <x:c r="T296" s="6"/>
      <x:c r="U296" s="6"/>
      <x:c r="V296" s="6"/>
      <x:c r="W296" s="6"/>
      <x:c r="X296" s="6"/>
      <x:c r="Y296" s="6"/>
      <x:c r="Z296" s="6"/>
      <x:c r="AA296" s="6"/>
      <x:c r="AB296" s="6"/>
      <x:c r="AC296" s="10"/>
      <x:c r="AD296" s="10"/>
      <x:c r="AE296" s="4" t="str">
        <x:f t="shared" si="42"/>
      </x:c>
      <x:c r="AF296" s="4" t="str">
        <x:f t="shared" si="43"/>
      </x:c>
      <x:c r="AG296" s="4" t="str">
        <x:f t="shared" si="44"/>
      </x:c>
      <x:c r="AH296" s="11">
        <x:f t="shared" si="45"/>
        <x:v>0</x:v>
      </x:c>
      <x:c r="AI296" s="4" t="str">
        <x:f t="shared" si="46"/>
      </x:c>
      <x:c r="AJ296" s="4">
        <x:f t="shared" si="47"/>
        <x:v>0</x:v>
      </x:c>
      <x:c r="AK296" s="4">
        <x:f t="shared" si="48"/>
        <x:v>0</x:v>
      </x:c>
      <x:c r="AL296" s="11">
        <x:f t="shared" si="49"/>
        <x:v>0</x:v>
      </x:c>
      <x:c r="AM296" s="6"/>
      <x:c r="AN296" s="6"/>
    </x:row>
    <x:row r="297">
      <x:c r="A297" s="3" t="str">
        <x:f t="shared" si="40"/>
      </x:c>
      <x:c r="B297" s="9"/>
      <x:c r="C297" s="36"/>
      <x:c r="D297" s="6"/>
      <x:c r="E297" s="3" t="str">
        <x:f>IF(D297="","",IFERROR(VLOOKUP(D297,'Base Sectores'!$A$5:$J$47,2,FALSE),""))</x:f>
      </x:c>
      <x:c r="F297" s="40" t="str">
        <x:f>IF(D297="","",IFERROR(VLOOKUP(D297,'Base Sectores'!$A$5:$J$47,3,FALSE),""))</x:f>
      </x:c>
      <x:c r="G297" s="3" t="str">
        <x:f>IF(D297="","",IFERROR(VLOOKUP(D297,'Base Sectores'!$A$5:$J$47,4,FALSE),""))</x:f>
      </x:c>
      <x:c r="H297" s="3" t="str">
        <x:f>IF(D297="","",IFERROR(VLOOKUP(D297,'Base Sectores'!$A$5:$J$47,5,FALSE),""))</x:f>
      </x:c>
      <x:c r="I297" s="3" t="str">
        <x:f>IF(D297="","",IFERROR(VLOOKUP(D297,'Base Sectores'!$A$5:$J$47,6,FALSE),""))</x:f>
      </x:c>
      <x:c r="J297" s="3" t="str">
        <x:f>IF(D297="","",IFERROR(VLOOKUP(D297,'Base Sectores'!$A$5:$J$47,7,FALSE),""))</x:f>
      </x:c>
      <x:c r="K297" s="3" t="str">
        <x:f>IF(D297="","",IFERROR(VLOOKUP(D297,'Base Sectores'!$A$5:$J$47,9,FALSE),""))</x:f>
      </x:c>
      <x:c r="L297" s="6"/>
      <x:c r="M297" s="3" t="str">
        <x:f>IF(L297="","",IFERROR(VLOOKUP(L297,Configuracion!$D$4:$H$15,2,FALSE),""))</x:f>
      </x:c>
      <x:c r="N297" s="3" t="str">
        <x:f>IF(L297="","",IFERROR(VLOOKUP(L297,Configuracion!$D$4:$H$15,3,FALSE),""))</x:f>
      </x:c>
      <x:c r="O297" s="6"/>
      <x:c r="P297" s="3" t="str">
        <x:f>IF(L297="","",IFERROR(VLOOKUP(L297,Configuracion!$D$4:$H$15,4,FALSE),0))</x:f>
      </x:c>
      <x:c r="Q297" s="10"/>
      <x:c r="R297" s="10"/>
      <x:c r="S297" s="4" t="str">
        <x:f t="shared" si="41"/>
      </x:c>
      <x:c r="T297" s="6"/>
      <x:c r="U297" s="6"/>
      <x:c r="V297" s="6"/>
      <x:c r="W297" s="6"/>
      <x:c r="X297" s="6"/>
      <x:c r="Y297" s="6"/>
      <x:c r="Z297" s="6"/>
      <x:c r="AA297" s="6"/>
      <x:c r="AB297" s="6"/>
      <x:c r="AC297" s="10"/>
      <x:c r="AD297" s="10"/>
      <x:c r="AE297" s="4" t="str">
        <x:f t="shared" si="42"/>
      </x:c>
      <x:c r="AF297" s="4" t="str">
        <x:f t="shared" si="43"/>
      </x:c>
      <x:c r="AG297" s="4" t="str">
        <x:f t="shared" si="44"/>
      </x:c>
      <x:c r="AH297" s="11">
        <x:f t="shared" si="45"/>
        <x:v>0</x:v>
      </x:c>
      <x:c r="AI297" s="4" t="str">
        <x:f t="shared" si="46"/>
      </x:c>
      <x:c r="AJ297" s="4">
        <x:f t="shared" si="47"/>
        <x:v>0</x:v>
      </x:c>
      <x:c r="AK297" s="4">
        <x:f t="shared" si="48"/>
        <x:v>0</x:v>
      </x:c>
      <x:c r="AL297" s="11">
        <x:f t="shared" si="49"/>
        <x:v>0</x:v>
      </x:c>
      <x:c r="AM297" s="6"/>
      <x:c r="AN297" s="6"/>
    </x:row>
    <x:row r="298">
      <x:c r="A298" s="3" t="str">
        <x:f t="shared" si="40"/>
      </x:c>
      <x:c r="B298" s="9"/>
      <x:c r="C298" s="36"/>
      <x:c r="D298" s="6"/>
      <x:c r="E298" s="3" t="str">
        <x:f>IF(D298="","",IFERROR(VLOOKUP(D298,'Base Sectores'!$A$5:$J$47,2,FALSE),""))</x:f>
      </x:c>
      <x:c r="F298" s="40" t="str">
        <x:f>IF(D298="","",IFERROR(VLOOKUP(D298,'Base Sectores'!$A$5:$J$47,3,FALSE),""))</x:f>
      </x:c>
      <x:c r="G298" s="3" t="str">
        <x:f>IF(D298="","",IFERROR(VLOOKUP(D298,'Base Sectores'!$A$5:$J$47,4,FALSE),""))</x:f>
      </x:c>
      <x:c r="H298" s="3" t="str">
        <x:f>IF(D298="","",IFERROR(VLOOKUP(D298,'Base Sectores'!$A$5:$J$47,5,FALSE),""))</x:f>
      </x:c>
      <x:c r="I298" s="3" t="str">
        <x:f>IF(D298="","",IFERROR(VLOOKUP(D298,'Base Sectores'!$A$5:$J$47,6,FALSE),""))</x:f>
      </x:c>
      <x:c r="J298" s="3" t="str">
        <x:f>IF(D298="","",IFERROR(VLOOKUP(D298,'Base Sectores'!$A$5:$J$47,7,FALSE),""))</x:f>
      </x:c>
      <x:c r="K298" s="3" t="str">
        <x:f>IF(D298="","",IFERROR(VLOOKUP(D298,'Base Sectores'!$A$5:$J$47,9,FALSE),""))</x:f>
      </x:c>
      <x:c r="L298" s="6"/>
      <x:c r="M298" s="3" t="str">
        <x:f>IF(L298="","",IFERROR(VLOOKUP(L298,Configuracion!$D$4:$H$15,2,FALSE),""))</x:f>
      </x:c>
      <x:c r="N298" s="3" t="str">
        <x:f>IF(L298="","",IFERROR(VLOOKUP(L298,Configuracion!$D$4:$H$15,3,FALSE),""))</x:f>
      </x:c>
      <x:c r="O298" s="6"/>
      <x:c r="P298" s="3" t="str">
        <x:f>IF(L298="","",IFERROR(VLOOKUP(L298,Configuracion!$D$4:$H$15,4,FALSE),0))</x:f>
      </x:c>
      <x:c r="Q298" s="10"/>
      <x:c r="R298" s="10"/>
      <x:c r="S298" s="4" t="str">
        <x:f t="shared" si="41"/>
      </x:c>
      <x:c r="T298" s="6"/>
      <x:c r="U298" s="6"/>
      <x:c r="V298" s="6"/>
      <x:c r="W298" s="6"/>
      <x:c r="X298" s="6"/>
      <x:c r="Y298" s="6"/>
      <x:c r="Z298" s="6"/>
      <x:c r="AA298" s="6"/>
      <x:c r="AB298" s="6"/>
      <x:c r="AC298" s="10"/>
      <x:c r="AD298" s="10"/>
      <x:c r="AE298" s="4" t="str">
        <x:f t="shared" si="42"/>
      </x:c>
      <x:c r="AF298" s="4" t="str">
        <x:f t="shared" si="43"/>
      </x:c>
      <x:c r="AG298" s="4" t="str">
        <x:f t="shared" si="44"/>
      </x:c>
      <x:c r="AH298" s="11">
        <x:f t="shared" si="45"/>
        <x:v>0</x:v>
      </x:c>
      <x:c r="AI298" s="4" t="str">
        <x:f t="shared" si="46"/>
      </x:c>
      <x:c r="AJ298" s="4">
        <x:f t="shared" si="47"/>
        <x:v>0</x:v>
      </x:c>
      <x:c r="AK298" s="4">
        <x:f t="shared" si="48"/>
        <x:v>0</x:v>
      </x:c>
      <x:c r="AL298" s="11">
        <x:f t="shared" si="49"/>
        <x:v>0</x:v>
      </x:c>
      <x:c r="AM298" s="6"/>
      <x:c r="AN298" s="6"/>
    </x:row>
    <x:row r="299">
      <x:c r="A299" s="3" t="str">
        <x:f t="shared" si="40"/>
      </x:c>
      <x:c r="B299" s="9"/>
      <x:c r="C299" s="36"/>
      <x:c r="D299" s="6"/>
      <x:c r="E299" s="3" t="str">
        <x:f>IF(D299="","",IFERROR(VLOOKUP(D299,'Base Sectores'!$A$5:$J$47,2,FALSE),""))</x:f>
      </x:c>
      <x:c r="F299" s="40" t="str">
        <x:f>IF(D299="","",IFERROR(VLOOKUP(D299,'Base Sectores'!$A$5:$J$47,3,FALSE),""))</x:f>
      </x:c>
      <x:c r="G299" s="3" t="str">
        <x:f>IF(D299="","",IFERROR(VLOOKUP(D299,'Base Sectores'!$A$5:$J$47,4,FALSE),""))</x:f>
      </x:c>
      <x:c r="H299" s="3" t="str">
        <x:f>IF(D299="","",IFERROR(VLOOKUP(D299,'Base Sectores'!$A$5:$J$47,5,FALSE),""))</x:f>
      </x:c>
      <x:c r="I299" s="3" t="str">
        <x:f>IF(D299="","",IFERROR(VLOOKUP(D299,'Base Sectores'!$A$5:$J$47,6,FALSE),""))</x:f>
      </x:c>
      <x:c r="J299" s="3" t="str">
        <x:f>IF(D299="","",IFERROR(VLOOKUP(D299,'Base Sectores'!$A$5:$J$47,7,FALSE),""))</x:f>
      </x:c>
      <x:c r="K299" s="3" t="str">
        <x:f>IF(D299="","",IFERROR(VLOOKUP(D299,'Base Sectores'!$A$5:$J$47,9,FALSE),""))</x:f>
      </x:c>
      <x:c r="L299" s="6"/>
      <x:c r="M299" s="3" t="str">
        <x:f>IF(L299="","",IFERROR(VLOOKUP(L299,Configuracion!$D$4:$H$15,2,FALSE),""))</x:f>
      </x:c>
      <x:c r="N299" s="3" t="str">
        <x:f>IF(L299="","",IFERROR(VLOOKUP(L299,Configuracion!$D$4:$H$15,3,FALSE),""))</x:f>
      </x:c>
      <x:c r="O299" s="6"/>
      <x:c r="P299" s="3" t="str">
        <x:f>IF(L299="","",IFERROR(VLOOKUP(L299,Configuracion!$D$4:$H$15,4,FALSE),0))</x:f>
      </x:c>
      <x:c r="Q299" s="10"/>
      <x:c r="R299" s="10"/>
      <x:c r="S299" s="4" t="str">
        <x:f t="shared" si="41"/>
      </x:c>
      <x:c r="T299" s="6"/>
      <x:c r="U299" s="6"/>
      <x:c r="V299" s="6"/>
      <x:c r="W299" s="6"/>
      <x:c r="X299" s="6"/>
      <x:c r="Y299" s="6"/>
      <x:c r="Z299" s="6"/>
      <x:c r="AA299" s="6"/>
      <x:c r="AB299" s="6"/>
      <x:c r="AC299" s="10"/>
      <x:c r="AD299" s="10"/>
      <x:c r="AE299" s="4" t="str">
        <x:f t="shared" si="42"/>
      </x:c>
      <x:c r="AF299" s="4" t="str">
        <x:f t="shared" si="43"/>
      </x:c>
      <x:c r="AG299" s="4" t="str">
        <x:f t="shared" si="44"/>
      </x:c>
      <x:c r="AH299" s="11">
        <x:f t="shared" si="45"/>
        <x:v>0</x:v>
      </x:c>
      <x:c r="AI299" s="4" t="str">
        <x:f t="shared" si="46"/>
      </x:c>
      <x:c r="AJ299" s="4">
        <x:f t="shared" si="47"/>
        <x:v>0</x:v>
      </x:c>
      <x:c r="AK299" s="4">
        <x:f t="shared" si="48"/>
        <x:v>0</x:v>
      </x:c>
      <x:c r="AL299" s="11">
        <x:f t="shared" si="49"/>
        <x:v>0</x:v>
      </x:c>
      <x:c r="AM299" s="6"/>
      <x:c r="AN299" s="6"/>
    </x:row>
    <x:row r="300">
      <x:c r="A300" s="3" t="str">
        <x:f t="shared" si="40"/>
      </x:c>
      <x:c r="B300" s="9"/>
      <x:c r="C300" s="36"/>
      <x:c r="D300" s="6"/>
      <x:c r="E300" s="3" t="str">
        <x:f>IF(D300="","",IFERROR(VLOOKUP(D300,'Base Sectores'!$A$5:$J$47,2,FALSE),""))</x:f>
      </x:c>
      <x:c r="F300" s="40" t="str">
        <x:f>IF(D300="","",IFERROR(VLOOKUP(D300,'Base Sectores'!$A$5:$J$47,3,FALSE),""))</x:f>
      </x:c>
      <x:c r="G300" s="3" t="str">
        <x:f>IF(D300="","",IFERROR(VLOOKUP(D300,'Base Sectores'!$A$5:$J$47,4,FALSE),""))</x:f>
      </x:c>
      <x:c r="H300" s="3" t="str">
        <x:f>IF(D300="","",IFERROR(VLOOKUP(D300,'Base Sectores'!$A$5:$J$47,5,FALSE),""))</x:f>
      </x:c>
      <x:c r="I300" s="3" t="str">
        <x:f>IF(D300="","",IFERROR(VLOOKUP(D300,'Base Sectores'!$A$5:$J$47,6,FALSE),""))</x:f>
      </x:c>
      <x:c r="J300" s="3" t="str">
        <x:f>IF(D300="","",IFERROR(VLOOKUP(D300,'Base Sectores'!$A$5:$J$47,7,FALSE),""))</x:f>
      </x:c>
      <x:c r="K300" s="3" t="str">
        <x:f>IF(D300="","",IFERROR(VLOOKUP(D300,'Base Sectores'!$A$5:$J$47,9,FALSE),""))</x:f>
      </x:c>
      <x:c r="L300" s="6"/>
      <x:c r="M300" s="3" t="str">
        <x:f>IF(L300="","",IFERROR(VLOOKUP(L300,Configuracion!$D$4:$H$15,2,FALSE),""))</x:f>
      </x:c>
      <x:c r="N300" s="3" t="str">
        <x:f>IF(L300="","",IFERROR(VLOOKUP(L300,Configuracion!$D$4:$H$15,3,FALSE),""))</x:f>
      </x:c>
      <x:c r="O300" s="6"/>
      <x:c r="P300" s="3" t="str">
        <x:f>IF(L300="","",IFERROR(VLOOKUP(L300,Configuracion!$D$4:$H$15,4,FALSE),0))</x:f>
      </x:c>
      <x:c r="Q300" s="10"/>
      <x:c r="R300" s="10"/>
      <x:c r="S300" s="4" t="str">
        <x:f t="shared" si="41"/>
      </x:c>
      <x:c r="T300" s="6"/>
      <x:c r="U300" s="6"/>
      <x:c r="V300" s="6"/>
      <x:c r="W300" s="6"/>
      <x:c r="X300" s="6"/>
      <x:c r="Y300" s="6"/>
      <x:c r="Z300" s="6"/>
      <x:c r="AA300" s="6"/>
      <x:c r="AB300" s="6"/>
      <x:c r="AC300" s="10"/>
      <x:c r="AD300" s="10"/>
      <x:c r="AE300" s="4" t="str">
        <x:f t="shared" si="42"/>
      </x:c>
      <x:c r="AF300" s="4" t="str">
        <x:f t="shared" si="43"/>
      </x:c>
      <x:c r="AG300" s="4" t="str">
        <x:f t="shared" si="44"/>
      </x:c>
      <x:c r="AH300" s="11">
        <x:f t="shared" si="45"/>
        <x:v>0</x:v>
      </x:c>
      <x:c r="AI300" s="4" t="str">
        <x:f t="shared" si="46"/>
      </x:c>
      <x:c r="AJ300" s="4">
        <x:f t="shared" si="47"/>
        <x:v>0</x:v>
      </x:c>
      <x:c r="AK300" s="4">
        <x:f t="shared" si="48"/>
        <x:v>0</x:v>
      </x:c>
      <x:c r="AL300" s="11">
        <x:f t="shared" si="49"/>
        <x:v>0</x:v>
      </x:c>
      <x:c r="AM300" s="6"/>
      <x:c r="AN300" s="6"/>
    </x:row>
    <x:row r="301">
      <x:c r="A301" s="3" t="str">
        <x:f t="shared" si="40"/>
      </x:c>
      <x:c r="B301" s="9"/>
      <x:c r="C301" s="36"/>
      <x:c r="D301" s="6"/>
      <x:c r="E301" s="3" t="str">
        <x:f>IF(D301="","",IFERROR(VLOOKUP(D301,'Base Sectores'!$A$5:$J$47,2,FALSE),""))</x:f>
      </x:c>
      <x:c r="F301" s="40" t="str">
        <x:f>IF(D301="","",IFERROR(VLOOKUP(D301,'Base Sectores'!$A$5:$J$47,3,FALSE),""))</x:f>
      </x:c>
      <x:c r="G301" s="3" t="str">
        <x:f>IF(D301="","",IFERROR(VLOOKUP(D301,'Base Sectores'!$A$5:$J$47,4,FALSE),""))</x:f>
      </x:c>
      <x:c r="H301" s="3" t="str">
        <x:f>IF(D301="","",IFERROR(VLOOKUP(D301,'Base Sectores'!$A$5:$J$47,5,FALSE),""))</x:f>
      </x:c>
      <x:c r="I301" s="3" t="str">
        <x:f>IF(D301="","",IFERROR(VLOOKUP(D301,'Base Sectores'!$A$5:$J$47,6,FALSE),""))</x:f>
      </x:c>
      <x:c r="J301" s="3" t="str">
        <x:f>IF(D301="","",IFERROR(VLOOKUP(D301,'Base Sectores'!$A$5:$J$47,7,FALSE),""))</x:f>
      </x:c>
      <x:c r="K301" s="3" t="str">
        <x:f>IF(D301="","",IFERROR(VLOOKUP(D301,'Base Sectores'!$A$5:$J$47,9,FALSE),""))</x:f>
      </x:c>
      <x:c r="L301" s="6"/>
      <x:c r="M301" s="3" t="str">
        <x:f>IF(L301="","",IFERROR(VLOOKUP(L301,Configuracion!$D$4:$H$15,2,FALSE),""))</x:f>
      </x:c>
      <x:c r="N301" s="3" t="str">
        <x:f>IF(L301="","",IFERROR(VLOOKUP(L301,Configuracion!$D$4:$H$15,3,FALSE),""))</x:f>
      </x:c>
      <x:c r="O301" s="6"/>
      <x:c r="P301" s="3" t="str">
        <x:f>IF(L301="","",IFERROR(VLOOKUP(L301,Configuracion!$D$4:$H$15,4,FALSE),0))</x:f>
      </x:c>
      <x:c r="Q301" s="10"/>
      <x:c r="R301" s="10"/>
      <x:c r="S301" s="4" t="str">
        <x:f t="shared" si="41"/>
      </x:c>
      <x:c r="T301" s="6"/>
      <x:c r="U301" s="6"/>
      <x:c r="V301" s="6"/>
      <x:c r="W301" s="6"/>
      <x:c r="X301" s="6"/>
      <x:c r="Y301" s="6"/>
      <x:c r="Z301" s="6"/>
      <x:c r="AA301" s="6"/>
      <x:c r="AB301" s="6"/>
      <x:c r="AC301" s="10"/>
      <x:c r="AD301" s="10"/>
      <x:c r="AE301" s="4" t="str">
        <x:f t="shared" si="42"/>
      </x:c>
      <x:c r="AF301" s="4" t="str">
        <x:f t="shared" si="43"/>
      </x:c>
      <x:c r="AG301" s="4" t="str">
        <x:f t="shared" si="44"/>
      </x:c>
      <x:c r="AH301" s="11">
        <x:f t="shared" si="45"/>
        <x:v>0</x:v>
      </x:c>
      <x:c r="AI301" s="4" t="str">
        <x:f t="shared" si="46"/>
      </x:c>
      <x:c r="AJ301" s="4">
        <x:f t="shared" si="47"/>
        <x:v>0</x:v>
      </x:c>
      <x:c r="AK301" s="4">
        <x:f t="shared" si="48"/>
        <x:v>0</x:v>
      </x:c>
      <x:c r="AL301" s="11">
        <x:f t="shared" si="49"/>
        <x:v>0</x:v>
      </x:c>
      <x:c r="AM301" s="6"/>
      <x:c r="AN301" s="6"/>
    </x:row>
    <x:row r="302">
      <x:c r="A302" s="3" t="str">
        <x:f t="shared" si="40"/>
      </x:c>
      <x:c r="B302" s="9"/>
      <x:c r="C302" s="36"/>
      <x:c r="D302" s="6"/>
      <x:c r="E302" s="3" t="str">
        <x:f>IF(D302="","",IFERROR(VLOOKUP(D302,'Base Sectores'!$A$5:$J$47,2,FALSE),""))</x:f>
      </x:c>
      <x:c r="F302" s="40" t="str">
        <x:f>IF(D302="","",IFERROR(VLOOKUP(D302,'Base Sectores'!$A$5:$J$47,3,FALSE),""))</x:f>
      </x:c>
      <x:c r="G302" s="3" t="str">
        <x:f>IF(D302="","",IFERROR(VLOOKUP(D302,'Base Sectores'!$A$5:$J$47,4,FALSE),""))</x:f>
      </x:c>
      <x:c r="H302" s="3" t="str">
        <x:f>IF(D302="","",IFERROR(VLOOKUP(D302,'Base Sectores'!$A$5:$J$47,5,FALSE),""))</x:f>
      </x:c>
      <x:c r="I302" s="3" t="str">
        <x:f>IF(D302="","",IFERROR(VLOOKUP(D302,'Base Sectores'!$A$5:$J$47,6,FALSE),""))</x:f>
      </x:c>
      <x:c r="J302" s="3" t="str">
        <x:f>IF(D302="","",IFERROR(VLOOKUP(D302,'Base Sectores'!$A$5:$J$47,7,FALSE),""))</x:f>
      </x:c>
      <x:c r="K302" s="3" t="str">
        <x:f>IF(D302="","",IFERROR(VLOOKUP(D302,'Base Sectores'!$A$5:$J$47,9,FALSE),""))</x:f>
      </x:c>
      <x:c r="L302" s="6"/>
      <x:c r="M302" s="3" t="str">
        <x:f>IF(L302="","",IFERROR(VLOOKUP(L302,Configuracion!$D$4:$H$15,2,FALSE),""))</x:f>
      </x:c>
      <x:c r="N302" s="3" t="str">
        <x:f>IF(L302="","",IFERROR(VLOOKUP(L302,Configuracion!$D$4:$H$15,3,FALSE),""))</x:f>
      </x:c>
      <x:c r="O302" s="6"/>
      <x:c r="P302" s="3" t="str">
        <x:f>IF(L302="","",IFERROR(VLOOKUP(L302,Configuracion!$D$4:$H$15,4,FALSE),0))</x:f>
      </x:c>
      <x:c r="Q302" s="10"/>
      <x:c r="R302" s="10"/>
      <x:c r="S302" s="4" t="str">
        <x:f t="shared" si="41"/>
      </x:c>
      <x:c r="T302" s="6"/>
      <x:c r="U302" s="6"/>
      <x:c r="V302" s="6"/>
      <x:c r="W302" s="6"/>
      <x:c r="X302" s="6"/>
      <x:c r="Y302" s="6"/>
      <x:c r="Z302" s="6"/>
      <x:c r="AA302" s="6"/>
      <x:c r="AB302" s="6"/>
      <x:c r="AC302" s="10"/>
      <x:c r="AD302" s="10"/>
      <x:c r="AE302" s="4" t="str">
        <x:f t="shared" si="42"/>
      </x:c>
      <x:c r="AF302" s="4" t="str">
        <x:f t="shared" si="43"/>
      </x:c>
      <x:c r="AG302" s="4" t="str">
        <x:f t="shared" si="44"/>
      </x:c>
      <x:c r="AH302" s="11">
        <x:f t="shared" si="45"/>
        <x:v>0</x:v>
      </x:c>
      <x:c r="AI302" s="4" t="str">
        <x:f t="shared" si="46"/>
      </x:c>
      <x:c r="AJ302" s="4">
        <x:f t="shared" si="47"/>
        <x:v>0</x:v>
      </x:c>
      <x:c r="AK302" s="4">
        <x:f t="shared" si="48"/>
        <x:v>0</x:v>
      </x:c>
      <x:c r="AL302" s="11">
        <x:f t="shared" si="49"/>
        <x:v>0</x:v>
      </x:c>
      <x:c r="AM302" s="6"/>
      <x:c r="AN302" s="6"/>
    </x:row>
    <x:row r="303">
      <x:c r="A303" s="3" t="str">
        <x:f t="shared" si="40"/>
      </x:c>
      <x:c r="B303" s="9"/>
      <x:c r="C303" s="36"/>
      <x:c r="D303" s="6"/>
      <x:c r="E303" s="3" t="str">
        <x:f>IF(D303="","",IFERROR(VLOOKUP(D303,'Base Sectores'!$A$5:$J$47,2,FALSE),""))</x:f>
      </x:c>
      <x:c r="F303" s="40" t="str">
        <x:f>IF(D303="","",IFERROR(VLOOKUP(D303,'Base Sectores'!$A$5:$J$47,3,FALSE),""))</x:f>
      </x:c>
      <x:c r="G303" s="3" t="str">
        <x:f>IF(D303="","",IFERROR(VLOOKUP(D303,'Base Sectores'!$A$5:$J$47,4,FALSE),""))</x:f>
      </x:c>
      <x:c r="H303" s="3" t="str">
        <x:f>IF(D303="","",IFERROR(VLOOKUP(D303,'Base Sectores'!$A$5:$J$47,5,FALSE),""))</x:f>
      </x:c>
      <x:c r="I303" s="3" t="str">
        <x:f>IF(D303="","",IFERROR(VLOOKUP(D303,'Base Sectores'!$A$5:$J$47,6,FALSE),""))</x:f>
      </x:c>
      <x:c r="J303" s="3" t="str">
        <x:f>IF(D303="","",IFERROR(VLOOKUP(D303,'Base Sectores'!$A$5:$J$47,7,FALSE),""))</x:f>
      </x:c>
      <x:c r="K303" s="3" t="str">
        <x:f>IF(D303="","",IFERROR(VLOOKUP(D303,'Base Sectores'!$A$5:$J$47,9,FALSE),""))</x:f>
      </x:c>
      <x:c r="L303" s="6"/>
      <x:c r="M303" s="3" t="str">
        <x:f>IF(L303="","",IFERROR(VLOOKUP(L303,Configuracion!$D$4:$H$15,2,FALSE),""))</x:f>
      </x:c>
      <x:c r="N303" s="3" t="str">
        <x:f>IF(L303="","",IFERROR(VLOOKUP(L303,Configuracion!$D$4:$H$15,3,FALSE),""))</x:f>
      </x:c>
      <x:c r="O303" s="6"/>
      <x:c r="P303" s="3" t="str">
        <x:f>IF(L303="","",IFERROR(VLOOKUP(L303,Configuracion!$D$4:$H$15,4,FALSE),0))</x:f>
      </x:c>
      <x:c r="Q303" s="10"/>
      <x:c r="R303" s="10"/>
      <x:c r="S303" s="4" t="str">
        <x:f t="shared" si="41"/>
      </x:c>
      <x:c r="T303" s="6"/>
      <x:c r="U303" s="6"/>
      <x:c r="V303" s="6"/>
      <x:c r="W303" s="6"/>
      <x:c r="X303" s="6"/>
      <x:c r="Y303" s="6"/>
      <x:c r="Z303" s="6"/>
      <x:c r="AA303" s="6"/>
      <x:c r="AB303" s="6"/>
      <x:c r="AC303" s="10"/>
      <x:c r="AD303" s="10"/>
      <x:c r="AE303" s="4" t="str">
        <x:f t="shared" si="42"/>
      </x:c>
      <x:c r="AF303" s="4" t="str">
        <x:f t="shared" si="43"/>
      </x:c>
      <x:c r="AG303" s="4" t="str">
        <x:f t="shared" si="44"/>
      </x:c>
      <x:c r="AH303" s="11">
        <x:f t="shared" si="45"/>
        <x:v>0</x:v>
      </x:c>
      <x:c r="AI303" s="4" t="str">
        <x:f t="shared" si="46"/>
      </x:c>
      <x:c r="AJ303" s="4">
        <x:f t="shared" si="47"/>
        <x:v>0</x:v>
      </x:c>
      <x:c r="AK303" s="4">
        <x:f t="shared" si="48"/>
        <x:v>0</x:v>
      </x:c>
      <x:c r="AL303" s="11">
        <x:f t="shared" si="49"/>
        <x:v>0</x:v>
      </x:c>
      <x:c r="AM303" s="6"/>
      <x:c r="AN303" s="6"/>
    </x:row>
    <x:row r="304">
      <x:c r="A304" s="3" t="str">
        <x:f t="shared" si="40"/>
      </x:c>
      <x:c r="B304" s="9"/>
      <x:c r="C304" s="36"/>
      <x:c r="D304" s="6"/>
      <x:c r="E304" s="3" t="str">
        <x:f>IF(D304="","",IFERROR(VLOOKUP(D304,'Base Sectores'!$A$5:$J$47,2,FALSE),""))</x:f>
      </x:c>
      <x:c r="F304" s="40" t="str">
        <x:f>IF(D304="","",IFERROR(VLOOKUP(D304,'Base Sectores'!$A$5:$J$47,3,FALSE),""))</x:f>
      </x:c>
      <x:c r="G304" s="3" t="str">
        <x:f>IF(D304="","",IFERROR(VLOOKUP(D304,'Base Sectores'!$A$5:$J$47,4,FALSE),""))</x:f>
      </x:c>
      <x:c r="H304" s="3" t="str">
        <x:f>IF(D304="","",IFERROR(VLOOKUP(D304,'Base Sectores'!$A$5:$J$47,5,FALSE),""))</x:f>
      </x:c>
      <x:c r="I304" s="3" t="str">
        <x:f>IF(D304="","",IFERROR(VLOOKUP(D304,'Base Sectores'!$A$5:$J$47,6,FALSE),""))</x:f>
      </x:c>
      <x:c r="J304" s="3" t="str">
        <x:f>IF(D304="","",IFERROR(VLOOKUP(D304,'Base Sectores'!$A$5:$J$47,7,FALSE),""))</x:f>
      </x:c>
      <x:c r="K304" s="3" t="str">
        <x:f>IF(D304="","",IFERROR(VLOOKUP(D304,'Base Sectores'!$A$5:$J$47,9,FALSE),""))</x:f>
      </x:c>
      <x:c r="L304" s="6"/>
      <x:c r="M304" s="3" t="str">
        <x:f>IF(L304="","",IFERROR(VLOOKUP(L304,Configuracion!$D$4:$H$15,2,FALSE),""))</x:f>
      </x:c>
      <x:c r="N304" s="3" t="str">
        <x:f>IF(L304="","",IFERROR(VLOOKUP(L304,Configuracion!$D$4:$H$15,3,FALSE),""))</x:f>
      </x:c>
      <x:c r="O304" s="6"/>
      <x:c r="P304" s="3" t="str">
        <x:f>IF(L304="","",IFERROR(VLOOKUP(L304,Configuracion!$D$4:$H$15,4,FALSE),0))</x:f>
      </x:c>
      <x:c r="Q304" s="10"/>
      <x:c r="R304" s="10"/>
      <x:c r="S304" s="4" t="str">
        <x:f t="shared" si="41"/>
      </x:c>
      <x:c r="T304" s="6"/>
      <x:c r="U304" s="6"/>
      <x:c r="V304" s="6"/>
      <x:c r="W304" s="6"/>
      <x:c r="X304" s="6"/>
      <x:c r="Y304" s="6"/>
      <x:c r="Z304" s="6"/>
      <x:c r="AA304" s="6"/>
      <x:c r="AB304" s="6"/>
      <x:c r="AC304" s="10"/>
      <x:c r="AD304" s="10"/>
      <x:c r="AE304" s="4" t="str">
        <x:f t="shared" si="42"/>
      </x:c>
      <x:c r="AF304" s="4" t="str">
        <x:f t="shared" si="43"/>
      </x:c>
      <x:c r="AG304" s="4" t="str">
        <x:f t="shared" si="44"/>
      </x:c>
      <x:c r="AH304" s="11">
        <x:f t="shared" si="45"/>
        <x:v>0</x:v>
      </x:c>
      <x:c r="AI304" s="4" t="str">
        <x:f t="shared" si="46"/>
      </x:c>
      <x:c r="AJ304" s="4">
        <x:f t="shared" si="47"/>
        <x:v>0</x:v>
      </x:c>
      <x:c r="AK304" s="4">
        <x:f t="shared" si="48"/>
        <x:v>0</x:v>
      </x:c>
      <x:c r="AL304" s="11">
        <x:f t="shared" si="49"/>
        <x:v>0</x:v>
      </x:c>
      <x:c r="AM304" s="6"/>
      <x:c r="AN304" s="6"/>
    </x:row>
  </x:sheetData>
  <x:mergeCells>
    <x:mergeCell ref="A1:AN1"/>
    <x:mergeCell ref="A2:AN2"/>
  </x:mergeCells>
  <x:conditionalFormatting sqref="Z5:Z304">
    <x:cfRule type="expression" dxfId="5" priority="1">
      <x:formula>Z5="No"</x:formula>
    </x:cfRule>
  </x:conditionalFormatting>
  <x:conditionalFormatting sqref="AA5:AA304">
    <x:cfRule type="expression" dxfId="4" priority="2">
      <x:formula>AA5="Terminada"</x:formula>
    </x:cfRule>
  </x:conditionalFormatting>
  <x:conditionalFormatting sqref="AH5:AH304">
    <x:cfRule type="colorScale" priority="4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conditionalFormatting sqref="AI5:AI304">
    <x:cfRule type="expression" dxfId="3" priority="3">
      <x:formula>AI5&gt;0.25</x:formula>
    </x:cfRule>
  </x:conditionalFormatting>
  <x:conditionalFormatting sqref="AL5:AL304">
    <x:cfRule type="colorScale" priority="5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dataValidations count="7">
    <x:dataValidation type="list" sqref="C5:C304">
      <x:formula1>"1,2,3,4,5,6,7,8,9,10,11,12"</x:formula1>
    </x:dataValidation>
    <x:dataValidation type="list" sqref="D5:D304">
      <x:formula1>_xlfn._LONGTEXT("SEC001-N25-N30,SEC002-N30-N29,SEC003-N29-N22,SEC004-N22-N24,SEC005-N24-N25,SEC006-N29-N28,SEC007-N28-N21,SEC008-N20-N21,SEC009-N21-N22,SEC010-N28-N27,SEC011-N27-N19,SEC012-N19-N20,SEC013-N27-N26,SEC014-N26-N18,SEC015-N18-N19,SEC016-N13-N23,SEC017-N23-N24,","SEC018-N20-N12,SEC019-N12-N13,SEC020-N18-N17,SEC021-N17-N11,SEC022-N11-N12,SEC023-N17-N15,SEC024-N16-N15,SEC025-N15-N10,SEC026-N10-N9,SEC027-N9-N11,SEC028-N16-N14,SEC029-N14-N8,SEC030-N8-N10,SEC031-N7-N11,SEC032-N9-N6,SEC033-N6-N5,SEC034-N5-N7,SEC035-N8-N","4,SEC036-N4-N6,SEC037-N3-N7,SEC038-N5-N2,SEC039-N2-N3,SEC040-N4-N1,SEC041-N1-N2,SEC042-N2-N32,SEC043-N23-N31")</x:formula1>
    </x:dataValidation>
    <x:dataValidation type="list" sqref="L5:L304">
      <x:formula1>"AG-REP,AG-EXC,AG-FON,AG-CAM,AG-TUB,AG-PAQ,AG-COMP,AG-C060,AG-C030,AG-CON,AG-ESP,AG-PRU"</x:formula1>
    </x:dataValidation>
    <x:dataValidation type="list" sqref="T5:T304">
      <x:formula1>"C-01,C-02,C-03,C-04,C-05,C-06,C-07,C-08,C-09,C-10"</x:formula1>
    </x:dataValidation>
    <x:dataValidation type="list" sqref="Z5:Z304">
      <x:formula1>"Sí,No"</x:formula1>
    </x:dataValidation>
    <x:dataValidation type="list" sqref="AA5:AA304">
      <x:formula1>"Planificada,En ejecución,Terminada,Reprogramada,Detenida,Cancelada,No iniciada"</x:formula1>
    </x:dataValidation>
    <x:dataValidation type="list" sqref="AM5:AM304">
      <x:formula1>",Material,Equipo,Personal,Interferencia,Inspección / OSSE,Rendimiento,Replanteo / plano,Clima,Acceso / frente,Seguridad,Otro"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8.75" defaultRowHeight="13.899999618530273"/>
  <x:cols>
    <x:col min="1" max="1" width="12" customWidth="1"/>
    <x:col min="2" max="2" width="17" customWidth="1"/>
    <x:col min="3" max="3" width="16" customWidth="1"/>
    <x:col min="4" max="7" width="11" customWidth="1"/>
    <x:col min="8" max="8" width="12" customWidth="1"/>
    <x:col min="9" max="9" width="18" customWidth="1"/>
    <x:col min="10" max="10" width="21" customWidth="1"/>
    <x:col min="11" max="11" width="34" customWidth="1"/>
  </x:cols>
  <x:sheetData>
    <x:row r="1" ht="19.149999618530273">
      <x:c r="A1" s="47" t="s">
        <x:v>333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14.449999809265137">
      <x:c r="A2" s="48" t="s">
        <x:v>334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4" ht="27.600000381469727">
      <x:c r="A4" s="46" t="s">
        <x:v>295</x:v>
      </x:c>
      <x:c r="B4" s="46" t="s">
        <x:v>335</x:v>
      </x:c>
      <x:c r="C4" s="46" t="s">
        <x:v>336</x:v>
      </x:c>
      <x:c r="D4" s="46" t="s">
        <x:v>302</x:v>
      </x:c>
      <x:c r="E4" s="46" t="s">
        <x:v>313</x:v>
      </x:c>
      <x:c r="F4" s="46" t="s">
        <x:v>314</x:v>
      </x:c>
      <x:c r="G4" s="46" t="s">
        <x:v>315</x:v>
      </x:c>
      <x:c r="H4" s="46" t="s">
        <x:v>337</x:v>
      </x:c>
      <x:c r="I4" s="46" t="s">
        <x:v>338</x:v>
      </x:c>
      <x:c r="J4" s="46" t="s">
        <x:v>339</x:v>
      </x:c>
      <x:c r="K4" s="46" t="s">
        <x:v>340</x:v>
      </x:c>
    </x:row>
    <x:row r="5">
      <x:c r="A5" s="9">
        <x:v>46268</x:v>
      </x:c>
      <x:c r="B5" s="3" t="n">
        <x:f>IF(A5="","",COUNTIF(Programacion!$B$5:$B$304,A5))</x:f>
        <x:v>2</x:v>
      </x:c>
      <x:c r="C5" s="3" t="n">
        <x:f>IF(A5="","",COUNTIFS(Programacion!$B$5:$B$304,A5,Programacion!$AA$5:$AA$304,"Terminada"))</x:f>
        <x:v>2</x:v>
      </x:c>
      <x:c r="D5" s="4" t="n">
        <x:f>IF(A5="","",SUMIFS(Programacion!$S$5:$S$304,Programacion!$B$5:$B$304,A5))</x:f>
        <x:v>2.916666666666667</x:v>
      </x:c>
      <x:c r="E5" s="4" t="n">
        <x:f>IF(A5="","",SUMIFS(Programacion!$AE$5:$AE$304,Programacion!$B$5:$B$304,A5))</x:f>
        <x:v>2.916666666666667</x:v>
      </x:c>
      <x:c r="F5" s="4" t="n">
        <x:f>IF(A5="","",SUMIFS(Programacion!$AF$5:$AF$304,Programacion!$B$5:$B$304,A5))</x:f>
        <x:v>8.75</x:v>
      </x:c>
      <x:c r="G5" s="4" t="n">
        <x:f>IF(A5="","",SUMIFS(Programacion!$AG$5:$AG$304,Programacion!$B$5:$B$304,A5))</x:f>
        <x:v>8.75</x:v>
      </x:c>
      <x:c r="H5" s="4" t="n">
        <x:f t="shared" ref="H5:H36" si="0">IF(A5="","",G5-F5)</x:f>
        <x:v>0</x:v>
      </x:c>
      <x:c r="I5" s="11" t="n">
        <x:f t="shared" ref="I5:I36" si="1">IFERROR(C5/B5,0)</x:f>
        <x:v>1</x:v>
      </x:c>
      <x:c r="J5" s="3" t="n">
        <x:f>IF(A5="","",COUNTIFS(Programacion!$B$5:$B$304,A5,Programacion!$Z$5:$Z$304,"No"))</x:f>
        <x:v>0</x:v>
      </x:c>
      <x:c r="K5" s="6"/>
    </x:row>
    <x:row r="6">
      <x:c r="A6" s="9"/>
      <x:c r="B6" s="3" t="str">
        <x:f>IF(A6="","",COUNTIF(Programacion!$B$5:$B$304,A6))</x:f>
      </x:c>
      <x:c r="C6" s="3" t="str">
        <x:f>IF(A6="","",COUNTIFS(Programacion!$B$5:$B$304,A6,Programacion!$AA$5:$AA$304,"Terminada"))</x:f>
      </x:c>
      <x:c r="D6" s="4" t="str">
        <x:f>IF(A6="","",SUMIFS(Programacion!$S$5:$S$304,Programacion!$B$5:$B$304,A6))</x:f>
      </x:c>
      <x:c r="E6" s="4" t="str">
        <x:f>IF(A6="","",SUMIFS(Programacion!$AE$5:$AE$304,Programacion!$B$5:$B$304,A6))</x:f>
      </x:c>
      <x:c r="F6" s="4" t="str">
        <x:f>IF(A6="","",SUMIFS(Programacion!$AF$5:$AF$304,Programacion!$B$5:$B$304,A6))</x:f>
      </x:c>
      <x:c r="G6" s="4" t="str">
        <x:f>IF(A6="","",SUMIFS(Programacion!$AG$5:$AG$304,Programacion!$B$5:$B$304,A6))</x:f>
      </x:c>
      <x:c r="H6" s="4" t="str">
        <x:f t="shared" si="0"/>
      </x:c>
      <x:c r="I6" s="11">
        <x:f t="shared" si="1"/>
        <x:v>0</x:v>
      </x:c>
      <x:c r="J6" s="3" t="str">
        <x:f>IF(A6="","",COUNTIFS(Programacion!$B$5:$B$304,A6,Programacion!$Z$5:$Z$304,"No"))</x:f>
      </x:c>
      <x:c r="K6" s="6"/>
    </x:row>
    <x:row r="7">
      <x:c r="A7" s="9"/>
      <x:c r="B7" s="3" t="str">
        <x:f>IF(A7="","",COUNTIF(Programacion!$B$5:$B$304,A7))</x:f>
      </x:c>
      <x:c r="C7" s="3" t="str">
        <x:f>IF(A7="","",COUNTIFS(Programacion!$B$5:$B$304,A7,Programacion!$AA$5:$AA$304,"Terminada"))</x:f>
      </x:c>
      <x:c r="D7" s="4" t="str">
        <x:f>IF(A7="","",SUMIFS(Programacion!$S$5:$S$304,Programacion!$B$5:$B$304,A7))</x:f>
      </x:c>
      <x:c r="E7" s="4" t="str">
        <x:f>IF(A7="","",SUMIFS(Programacion!$AE$5:$AE$304,Programacion!$B$5:$B$304,A7))</x:f>
      </x:c>
      <x:c r="F7" s="4" t="str">
        <x:f>IF(A7="","",SUMIFS(Programacion!$AF$5:$AF$304,Programacion!$B$5:$B$304,A7))</x:f>
      </x:c>
      <x:c r="G7" s="4" t="str">
        <x:f>IF(A7="","",SUMIFS(Programacion!$AG$5:$AG$304,Programacion!$B$5:$B$304,A7))</x:f>
      </x:c>
      <x:c r="H7" s="4" t="str">
        <x:f t="shared" si="0"/>
      </x:c>
      <x:c r="I7" s="11">
        <x:f t="shared" si="1"/>
        <x:v>0</x:v>
      </x:c>
      <x:c r="J7" s="3" t="str">
        <x:f>IF(A7="","",COUNTIFS(Programacion!$B$5:$B$304,A7,Programacion!$Z$5:$Z$304,"No"))</x:f>
      </x:c>
      <x:c r="K7" s="6"/>
    </x:row>
    <x:row r="8">
      <x:c r="A8" s="9"/>
      <x:c r="B8" s="3" t="str">
        <x:f>IF(A8="","",COUNTIF(Programacion!$B$5:$B$304,A8))</x:f>
      </x:c>
      <x:c r="C8" s="3" t="str">
        <x:f>IF(A8="","",COUNTIFS(Programacion!$B$5:$B$304,A8,Programacion!$AA$5:$AA$304,"Terminada"))</x:f>
      </x:c>
      <x:c r="D8" s="4" t="str">
        <x:f>IF(A8="","",SUMIFS(Programacion!$S$5:$S$304,Programacion!$B$5:$B$304,A8))</x:f>
      </x:c>
      <x:c r="E8" s="4" t="str">
        <x:f>IF(A8="","",SUMIFS(Programacion!$AE$5:$AE$304,Programacion!$B$5:$B$304,A8))</x:f>
      </x:c>
      <x:c r="F8" s="4" t="str">
        <x:f>IF(A8="","",SUMIFS(Programacion!$AF$5:$AF$304,Programacion!$B$5:$B$304,A8))</x:f>
      </x:c>
      <x:c r="G8" s="4" t="str">
        <x:f>IF(A8="","",SUMIFS(Programacion!$AG$5:$AG$304,Programacion!$B$5:$B$304,A8))</x:f>
      </x:c>
      <x:c r="H8" s="4" t="str">
        <x:f t="shared" si="0"/>
      </x:c>
      <x:c r="I8" s="11">
        <x:f t="shared" si="1"/>
        <x:v>0</x:v>
      </x:c>
      <x:c r="J8" s="3" t="str">
        <x:f>IF(A8="","",COUNTIFS(Programacion!$B$5:$B$304,A8,Programacion!$Z$5:$Z$304,"No"))</x:f>
      </x:c>
      <x:c r="K8" s="6"/>
    </x:row>
    <x:row r="9">
      <x:c r="A9" s="9"/>
      <x:c r="B9" s="3" t="str">
        <x:f>IF(A9="","",COUNTIF(Programacion!$B$5:$B$304,A9))</x:f>
      </x:c>
      <x:c r="C9" s="3" t="str">
        <x:f>IF(A9="","",COUNTIFS(Programacion!$B$5:$B$304,A9,Programacion!$AA$5:$AA$304,"Terminada"))</x:f>
      </x:c>
      <x:c r="D9" s="4" t="str">
        <x:f>IF(A9="","",SUMIFS(Programacion!$S$5:$S$304,Programacion!$B$5:$B$304,A9))</x:f>
      </x:c>
      <x:c r="E9" s="4" t="str">
        <x:f>IF(A9="","",SUMIFS(Programacion!$AE$5:$AE$304,Programacion!$B$5:$B$304,A9))</x:f>
      </x:c>
      <x:c r="F9" s="4" t="str">
        <x:f>IF(A9="","",SUMIFS(Programacion!$AF$5:$AF$304,Programacion!$B$5:$B$304,A9))</x:f>
      </x:c>
      <x:c r="G9" s="4" t="str">
        <x:f>IF(A9="","",SUMIFS(Programacion!$AG$5:$AG$304,Programacion!$B$5:$B$304,A9))</x:f>
      </x:c>
      <x:c r="H9" s="4" t="str">
        <x:f t="shared" si="0"/>
      </x:c>
      <x:c r="I9" s="11">
        <x:f t="shared" si="1"/>
        <x:v>0</x:v>
      </x:c>
      <x:c r="J9" s="3" t="str">
        <x:f>IF(A9="","",COUNTIFS(Programacion!$B$5:$B$304,A9,Programacion!$Z$5:$Z$304,"No"))</x:f>
      </x:c>
      <x:c r="K9" s="6"/>
    </x:row>
    <x:row r="10">
      <x:c r="A10" s="9"/>
      <x:c r="B10" s="3" t="str">
        <x:f>IF(A10="","",COUNTIF(Programacion!$B$5:$B$304,A10))</x:f>
      </x:c>
      <x:c r="C10" s="3" t="str">
        <x:f>IF(A10="","",COUNTIFS(Programacion!$B$5:$B$304,A10,Programacion!$AA$5:$AA$304,"Terminada"))</x:f>
      </x:c>
      <x:c r="D10" s="4" t="str">
        <x:f>IF(A10="","",SUMIFS(Programacion!$S$5:$S$304,Programacion!$B$5:$B$304,A10))</x:f>
      </x:c>
      <x:c r="E10" s="4" t="str">
        <x:f>IF(A10="","",SUMIFS(Programacion!$AE$5:$AE$304,Programacion!$B$5:$B$304,A10))</x:f>
      </x:c>
      <x:c r="F10" s="4" t="str">
        <x:f>IF(A10="","",SUMIFS(Programacion!$AF$5:$AF$304,Programacion!$B$5:$B$304,A10))</x:f>
      </x:c>
      <x:c r="G10" s="4" t="str">
        <x:f>IF(A10="","",SUMIFS(Programacion!$AG$5:$AG$304,Programacion!$B$5:$B$304,A10))</x:f>
      </x:c>
      <x:c r="H10" s="4" t="str">
        <x:f t="shared" si="0"/>
      </x:c>
      <x:c r="I10" s="11">
        <x:f t="shared" si="1"/>
        <x:v>0</x:v>
      </x:c>
      <x:c r="J10" s="3" t="str">
        <x:f>IF(A10="","",COUNTIFS(Programacion!$B$5:$B$304,A10,Programacion!$Z$5:$Z$304,"No"))</x:f>
      </x:c>
      <x:c r="K10" s="6"/>
    </x:row>
    <x:row r="11">
      <x:c r="A11" s="9"/>
      <x:c r="B11" s="3" t="str">
        <x:f>IF(A11="","",COUNTIF(Programacion!$B$5:$B$304,A11))</x:f>
      </x:c>
      <x:c r="C11" s="3" t="str">
        <x:f>IF(A11="","",COUNTIFS(Programacion!$B$5:$B$304,A11,Programacion!$AA$5:$AA$304,"Terminada"))</x:f>
      </x:c>
      <x:c r="D11" s="4" t="str">
        <x:f>IF(A11="","",SUMIFS(Programacion!$S$5:$S$304,Programacion!$B$5:$B$304,A11))</x:f>
      </x:c>
      <x:c r="E11" s="4" t="str">
        <x:f>IF(A11="","",SUMIFS(Programacion!$AE$5:$AE$304,Programacion!$B$5:$B$304,A11))</x:f>
      </x:c>
      <x:c r="F11" s="4" t="str">
        <x:f>IF(A11="","",SUMIFS(Programacion!$AF$5:$AF$304,Programacion!$B$5:$B$304,A11))</x:f>
      </x:c>
      <x:c r="G11" s="4" t="str">
        <x:f>IF(A11="","",SUMIFS(Programacion!$AG$5:$AG$304,Programacion!$B$5:$B$304,A11))</x:f>
      </x:c>
      <x:c r="H11" s="4" t="str">
        <x:f t="shared" si="0"/>
      </x:c>
      <x:c r="I11" s="11">
        <x:f t="shared" si="1"/>
        <x:v>0</x:v>
      </x:c>
      <x:c r="J11" s="3" t="str">
        <x:f>IF(A11="","",COUNTIFS(Programacion!$B$5:$B$304,A11,Programacion!$Z$5:$Z$304,"No"))</x:f>
      </x:c>
      <x:c r="K11" s="6"/>
    </x:row>
    <x:row r="12">
      <x:c r="A12" s="9"/>
      <x:c r="B12" s="3" t="str">
        <x:f>IF(A12="","",COUNTIF(Programacion!$B$5:$B$304,A12))</x:f>
      </x:c>
      <x:c r="C12" s="3" t="str">
        <x:f>IF(A12="","",COUNTIFS(Programacion!$B$5:$B$304,A12,Programacion!$AA$5:$AA$304,"Terminada"))</x:f>
      </x:c>
      <x:c r="D12" s="4" t="str">
        <x:f>IF(A12="","",SUMIFS(Programacion!$S$5:$S$304,Programacion!$B$5:$B$304,A12))</x:f>
      </x:c>
      <x:c r="E12" s="4" t="str">
        <x:f>IF(A12="","",SUMIFS(Programacion!$AE$5:$AE$304,Programacion!$B$5:$B$304,A12))</x:f>
      </x:c>
      <x:c r="F12" s="4" t="str">
        <x:f>IF(A12="","",SUMIFS(Programacion!$AF$5:$AF$304,Programacion!$B$5:$B$304,A12))</x:f>
      </x:c>
      <x:c r="G12" s="4" t="str">
        <x:f>IF(A12="","",SUMIFS(Programacion!$AG$5:$AG$304,Programacion!$B$5:$B$304,A12))</x:f>
      </x:c>
      <x:c r="H12" s="4" t="str">
        <x:f t="shared" si="0"/>
      </x:c>
      <x:c r="I12" s="11">
        <x:f t="shared" si="1"/>
        <x:v>0</x:v>
      </x:c>
      <x:c r="J12" s="3" t="str">
        <x:f>IF(A12="","",COUNTIFS(Programacion!$B$5:$B$304,A12,Programacion!$Z$5:$Z$304,"No"))</x:f>
      </x:c>
      <x:c r="K12" s="6"/>
    </x:row>
    <x:row r="13">
      <x:c r="A13" s="9"/>
      <x:c r="B13" s="3" t="str">
        <x:f>IF(A13="","",COUNTIF(Programacion!$B$5:$B$304,A13))</x:f>
      </x:c>
      <x:c r="C13" s="3" t="str">
        <x:f>IF(A13="","",COUNTIFS(Programacion!$B$5:$B$304,A13,Programacion!$AA$5:$AA$304,"Terminada"))</x:f>
      </x:c>
      <x:c r="D13" s="4" t="str">
        <x:f>IF(A13="","",SUMIFS(Programacion!$S$5:$S$304,Programacion!$B$5:$B$304,A13))</x:f>
      </x:c>
      <x:c r="E13" s="4" t="str">
        <x:f>IF(A13="","",SUMIFS(Programacion!$AE$5:$AE$304,Programacion!$B$5:$B$304,A13))</x:f>
      </x:c>
      <x:c r="F13" s="4" t="str">
        <x:f>IF(A13="","",SUMIFS(Programacion!$AF$5:$AF$304,Programacion!$B$5:$B$304,A13))</x:f>
      </x:c>
      <x:c r="G13" s="4" t="str">
        <x:f>IF(A13="","",SUMIFS(Programacion!$AG$5:$AG$304,Programacion!$B$5:$B$304,A13))</x:f>
      </x:c>
      <x:c r="H13" s="4" t="str">
        <x:f t="shared" si="0"/>
      </x:c>
      <x:c r="I13" s="11">
        <x:f t="shared" si="1"/>
        <x:v>0</x:v>
      </x:c>
      <x:c r="J13" s="3" t="str">
        <x:f>IF(A13="","",COUNTIFS(Programacion!$B$5:$B$304,A13,Programacion!$Z$5:$Z$304,"No"))</x:f>
      </x:c>
      <x:c r="K13" s="6"/>
    </x:row>
    <x:row r="14">
      <x:c r="A14" s="9"/>
      <x:c r="B14" s="3" t="str">
        <x:f>IF(A14="","",COUNTIF(Programacion!$B$5:$B$304,A14))</x:f>
      </x:c>
      <x:c r="C14" s="3" t="str">
        <x:f>IF(A14="","",COUNTIFS(Programacion!$B$5:$B$304,A14,Programacion!$AA$5:$AA$304,"Terminada"))</x:f>
      </x:c>
      <x:c r="D14" s="4" t="str">
        <x:f>IF(A14="","",SUMIFS(Programacion!$S$5:$S$304,Programacion!$B$5:$B$304,A14))</x:f>
      </x:c>
      <x:c r="E14" s="4" t="str">
        <x:f>IF(A14="","",SUMIFS(Programacion!$AE$5:$AE$304,Programacion!$B$5:$B$304,A14))</x:f>
      </x:c>
      <x:c r="F14" s="4" t="str">
        <x:f>IF(A14="","",SUMIFS(Programacion!$AF$5:$AF$304,Programacion!$B$5:$B$304,A14))</x:f>
      </x:c>
      <x:c r="G14" s="4" t="str">
        <x:f>IF(A14="","",SUMIFS(Programacion!$AG$5:$AG$304,Programacion!$B$5:$B$304,A14))</x:f>
      </x:c>
      <x:c r="H14" s="4" t="str">
        <x:f t="shared" si="0"/>
      </x:c>
      <x:c r="I14" s="11">
        <x:f t="shared" si="1"/>
        <x:v>0</x:v>
      </x:c>
      <x:c r="J14" s="3" t="str">
        <x:f>IF(A14="","",COUNTIFS(Programacion!$B$5:$B$304,A14,Programacion!$Z$5:$Z$304,"No"))</x:f>
      </x:c>
      <x:c r="K14" s="6"/>
    </x:row>
    <x:row r="15">
      <x:c r="A15" s="9"/>
      <x:c r="B15" s="3" t="str">
        <x:f>IF(A15="","",COUNTIF(Programacion!$B$5:$B$304,A15))</x:f>
      </x:c>
      <x:c r="C15" s="3" t="str">
        <x:f>IF(A15="","",COUNTIFS(Programacion!$B$5:$B$304,A15,Programacion!$AA$5:$AA$304,"Terminada"))</x:f>
      </x:c>
      <x:c r="D15" s="4" t="str">
        <x:f>IF(A15="","",SUMIFS(Programacion!$S$5:$S$304,Programacion!$B$5:$B$304,A15))</x:f>
      </x:c>
      <x:c r="E15" s="4" t="str">
        <x:f>IF(A15="","",SUMIFS(Programacion!$AE$5:$AE$304,Programacion!$B$5:$B$304,A15))</x:f>
      </x:c>
      <x:c r="F15" s="4" t="str">
        <x:f>IF(A15="","",SUMIFS(Programacion!$AF$5:$AF$304,Programacion!$B$5:$B$304,A15))</x:f>
      </x:c>
      <x:c r="G15" s="4" t="str">
        <x:f>IF(A15="","",SUMIFS(Programacion!$AG$5:$AG$304,Programacion!$B$5:$B$304,A15))</x:f>
      </x:c>
      <x:c r="H15" s="4" t="str">
        <x:f t="shared" si="0"/>
      </x:c>
      <x:c r="I15" s="11">
        <x:f t="shared" si="1"/>
        <x:v>0</x:v>
      </x:c>
      <x:c r="J15" s="3" t="str">
        <x:f>IF(A15="","",COUNTIFS(Programacion!$B$5:$B$304,A15,Programacion!$Z$5:$Z$304,"No"))</x:f>
      </x:c>
      <x:c r="K15" s="6"/>
    </x:row>
    <x:row r="16">
      <x:c r="A16" s="9"/>
      <x:c r="B16" s="3" t="str">
        <x:f>IF(A16="","",COUNTIF(Programacion!$B$5:$B$304,A16))</x:f>
      </x:c>
      <x:c r="C16" s="3" t="str">
        <x:f>IF(A16="","",COUNTIFS(Programacion!$B$5:$B$304,A16,Programacion!$AA$5:$AA$304,"Terminada"))</x:f>
      </x:c>
      <x:c r="D16" s="4" t="str">
        <x:f>IF(A16="","",SUMIFS(Programacion!$S$5:$S$304,Programacion!$B$5:$B$304,A16))</x:f>
      </x:c>
      <x:c r="E16" s="4" t="str">
        <x:f>IF(A16="","",SUMIFS(Programacion!$AE$5:$AE$304,Programacion!$B$5:$B$304,A16))</x:f>
      </x:c>
      <x:c r="F16" s="4" t="str">
        <x:f>IF(A16="","",SUMIFS(Programacion!$AF$5:$AF$304,Programacion!$B$5:$B$304,A16))</x:f>
      </x:c>
      <x:c r="G16" s="4" t="str">
        <x:f>IF(A16="","",SUMIFS(Programacion!$AG$5:$AG$304,Programacion!$B$5:$B$304,A16))</x:f>
      </x:c>
      <x:c r="H16" s="4" t="str">
        <x:f t="shared" si="0"/>
      </x:c>
      <x:c r="I16" s="11">
        <x:f t="shared" si="1"/>
        <x:v>0</x:v>
      </x:c>
      <x:c r="J16" s="3" t="str">
        <x:f>IF(A16="","",COUNTIFS(Programacion!$B$5:$B$304,A16,Programacion!$Z$5:$Z$304,"No"))</x:f>
      </x:c>
      <x:c r="K16" s="6"/>
    </x:row>
    <x:row r="17">
      <x:c r="A17" s="9"/>
      <x:c r="B17" s="3" t="str">
        <x:f>IF(A17="","",COUNTIF(Programacion!$B$5:$B$304,A17))</x:f>
      </x:c>
      <x:c r="C17" s="3" t="str">
        <x:f>IF(A17="","",COUNTIFS(Programacion!$B$5:$B$304,A17,Programacion!$AA$5:$AA$304,"Terminada"))</x:f>
      </x:c>
      <x:c r="D17" s="4" t="str">
        <x:f>IF(A17="","",SUMIFS(Programacion!$S$5:$S$304,Programacion!$B$5:$B$304,A17))</x:f>
      </x:c>
      <x:c r="E17" s="4" t="str">
        <x:f>IF(A17="","",SUMIFS(Programacion!$AE$5:$AE$304,Programacion!$B$5:$B$304,A17))</x:f>
      </x:c>
      <x:c r="F17" s="4" t="str">
        <x:f>IF(A17="","",SUMIFS(Programacion!$AF$5:$AF$304,Programacion!$B$5:$B$304,A17))</x:f>
      </x:c>
      <x:c r="G17" s="4" t="str">
        <x:f>IF(A17="","",SUMIFS(Programacion!$AG$5:$AG$304,Programacion!$B$5:$B$304,A17))</x:f>
      </x:c>
      <x:c r="H17" s="4" t="str">
        <x:f t="shared" si="0"/>
      </x:c>
      <x:c r="I17" s="11">
        <x:f t="shared" si="1"/>
        <x:v>0</x:v>
      </x:c>
      <x:c r="J17" s="3" t="str">
        <x:f>IF(A17="","",COUNTIFS(Programacion!$B$5:$B$304,A17,Programacion!$Z$5:$Z$304,"No"))</x:f>
      </x:c>
      <x:c r="K17" s="6"/>
    </x:row>
    <x:row r="18">
      <x:c r="A18" s="9"/>
      <x:c r="B18" s="3" t="str">
        <x:f>IF(A18="","",COUNTIF(Programacion!$B$5:$B$304,A18))</x:f>
      </x:c>
      <x:c r="C18" s="3" t="str">
        <x:f>IF(A18="","",COUNTIFS(Programacion!$B$5:$B$304,A18,Programacion!$AA$5:$AA$304,"Terminada"))</x:f>
      </x:c>
      <x:c r="D18" s="4" t="str">
        <x:f>IF(A18="","",SUMIFS(Programacion!$S$5:$S$304,Programacion!$B$5:$B$304,A18))</x:f>
      </x:c>
      <x:c r="E18" s="4" t="str">
        <x:f>IF(A18="","",SUMIFS(Programacion!$AE$5:$AE$304,Programacion!$B$5:$B$304,A18))</x:f>
      </x:c>
      <x:c r="F18" s="4" t="str">
        <x:f>IF(A18="","",SUMIFS(Programacion!$AF$5:$AF$304,Programacion!$B$5:$B$304,A18))</x:f>
      </x:c>
      <x:c r="G18" s="4" t="str">
        <x:f>IF(A18="","",SUMIFS(Programacion!$AG$5:$AG$304,Programacion!$B$5:$B$304,A18))</x:f>
      </x:c>
      <x:c r="H18" s="4" t="str">
        <x:f t="shared" si="0"/>
      </x:c>
      <x:c r="I18" s="11">
        <x:f t="shared" si="1"/>
        <x:v>0</x:v>
      </x:c>
      <x:c r="J18" s="3" t="str">
        <x:f>IF(A18="","",COUNTIFS(Programacion!$B$5:$B$304,A18,Programacion!$Z$5:$Z$304,"No"))</x:f>
      </x:c>
      <x:c r="K18" s="6"/>
    </x:row>
    <x:row r="19">
      <x:c r="A19" s="9"/>
      <x:c r="B19" s="3" t="str">
        <x:f>IF(A19="","",COUNTIF(Programacion!$B$5:$B$304,A19))</x:f>
      </x:c>
      <x:c r="C19" s="3" t="str">
        <x:f>IF(A19="","",COUNTIFS(Programacion!$B$5:$B$304,A19,Programacion!$AA$5:$AA$304,"Terminada"))</x:f>
      </x:c>
      <x:c r="D19" s="4" t="str">
        <x:f>IF(A19="","",SUMIFS(Programacion!$S$5:$S$304,Programacion!$B$5:$B$304,A19))</x:f>
      </x:c>
      <x:c r="E19" s="4" t="str">
        <x:f>IF(A19="","",SUMIFS(Programacion!$AE$5:$AE$304,Programacion!$B$5:$B$304,A19))</x:f>
      </x:c>
      <x:c r="F19" s="4" t="str">
        <x:f>IF(A19="","",SUMIFS(Programacion!$AF$5:$AF$304,Programacion!$B$5:$B$304,A19))</x:f>
      </x:c>
      <x:c r="G19" s="4" t="str">
        <x:f>IF(A19="","",SUMIFS(Programacion!$AG$5:$AG$304,Programacion!$B$5:$B$304,A19))</x:f>
      </x:c>
      <x:c r="H19" s="4" t="str">
        <x:f t="shared" si="0"/>
      </x:c>
      <x:c r="I19" s="11">
        <x:f t="shared" si="1"/>
        <x:v>0</x:v>
      </x:c>
      <x:c r="J19" s="3" t="str">
        <x:f>IF(A19="","",COUNTIFS(Programacion!$B$5:$B$304,A19,Programacion!$Z$5:$Z$304,"No"))</x:f>
      </x:c>
      <x:c r="K19" s="6"/>
    </x:row>
    <x:row r="20">
      <x:c r="A20" s="9"/>
      <x:c r="B20" s="3" t="str">
        <x:f>IF(A20="","",COUNTIF(Programacion!$B$5:$B$304,A20))</x:f>
      </x:c>
      <x:c r="C20" s="3" t="str">
        <x:f>IF(A20="","",COUNTIFS(Programacion!$B$5:$B$304,A20,Programacion!$AA$5:$AA$304,"Terminada"))</x:f>
      </x:c>
      <x:c r="D20" s="4" t="str">
        <x:f>IF(A20="","",SUMIFS(Programacion!$S$5:$S$304,Programacion!$B$5:$B$304,A20))</x:f>
      </x:c>
      <x:c r="E20" s="4" t="str">
        <x:f>IF(A20="","",SUMIFS(Programacion!$AE$5:$AE$304,Programacion!$B$5:$B$304,A20))</x:f>
      </x:c>
      <x:c r="F20" s="4" t="str">
        <x:f>IF(A20="","",SUMIFS(Programacion!$AF$5:$AF$304,Programacion!$B$5:$B$304,A20))</x:f>
      </x:c>
      <x:c r="G20" s="4" t="str">
        <x:f>IF(A20="","",SUMIFS(Programacion!$AG$5:$AG$304,Programacion!$B$5:$B$304,A20))</x:f>
      </x:c>
      <x:c r="H20" s="4" t="str">
        <x:f t="shared" si="0"/>
      </x:c>
      <x:c r="I20" s="11">
        <x:f t="shared" si="1"/>
        <x:v>0</x:v>
      </x:c>
      <x:c r="J20" s="3" t="str">
        <x:f>IF(A20="","",COUNTIFS(Programacion!$B$5:$B$304,A20,Programacion!$Z$5:$Z$304,"No"))</x:f>
      </x:c>
      <x:c r="K20" s="6"/>
    </x:row>
    <x:row r="21">
      <x:c r="A21" s="9"/>
      <x:c r="B21" s="3" t="str">
        <x:f>IF(A21="","",COUNTIF(Programacion!$B$5:$B$304,A21))</x:f>
      </x:c>
      <x:c r="C21" s="3" t="str">
        <x:f>IF(A21="","",COUNTIFS(Programacion!$B$5:$B$304,A21,Programacion!$AA$5:$AA$304,"Terminada"))</x:f>
      </x:c>
      <x:c r="D21" s="4" t="str">
        <x:f>IF(A21="","",SUMIFS(Programacion!$S$5:$S$304,Programacion!$B$5:$B$304,A21))</x:f>
      </x:c>
      <x:c r="E21" s="4" t="str">
        <x:f>IF(A21="","",SUMIFS(Programacion!$AE$5:$AE$304,Programacion!$B$5:$B$304,A21))</x:f>
      </x:c>
      <x:c r="F21" s="4" t="str">
        <x:f>IF(A21="","",SUMIFS(Programacion!$AF$5:$AF$304,Programacion!$B$5:$B$304,A21))</x:f>
      </x:c>
      <x:c r="G21" s="4" t="str">
        <x:f>IF(A21="","",SUMIFS(Programacion!$AG$5:$AG$304,Programacion!$B$5:$B$304,A21))</x:f>
      </x:c>
      <x:c r="H21" s="4" t="str">
        <x:f t="shared" si="0"/>
      </x:c>
      <x:c r="I21" s="11">
        <x:f t="shared" si="1"/>
        <x:v>0</x:v>
      </x:c>
      <x:c r="J21" s="3" t="str">
        <x:f>IF(A21="","",COUNTIFS(Programacion!$B$5:$B$304,A21,Programacion!$Z$5:$Z$304,"No"))</x:f>
      </x:c>
      <x:c r="K21" s="6"/>
    </x:row>
    <x:row r="22">
      <x:c r="A22" s="9"/>
      <x:c r="B22" s="3" t="str">
        <x:f>IF(A22="","",COUNTIF(Programacion!$B$5:$B$304,A22))</x:f>
      </x:c>
      <x:c r="C22" s="3" t="str">
        <x:f>IF(A22="","",COUNTIFS(Programacion!$B$5:$B$304,A22,Programacion!$AA$5:$AA$304,"Terminada"))</x:f>
      </x:c>
      <x:c r="D22" s="4" t="str">
        <x:f>IF(A22="","",SUMIFS(Programacion!$S$5:$S$304,Programacion!$B$5:$B$304,A22))</x:f>
      </x:c>
      <x:c r="E22" s="4" t="str">
        <x:f>IF(A22="","",SUMIFS(Programacion!$AE$5:$AE$304,Programacion!$B$5:$B$304,A22))</x:f>
      </x:c>
      <x:c r="F22" s="4" t="str">
        <x:f>IF(A22="","",SUMIFS(Programacion!$AF$5:$AF$304,Programacion!$B$5:$B$304,A22))</x:f>
      </x:c>
      <x:c r="G22" s="4" t="str">
        <x:f>IF(A22="","",SUMIFS(Programacion!$AG$5:$AG$304,Programacion!$B$5:$B$304,A22))</x:f>
      </x:c>
      <x:c r="H22" s="4" t="str">
        <x:f t="shared" si="0"/>
      </x:c>
      <x:c r="I22" s="11">
        <x:f t="shared" si="1"/>
        <x:v>0</x:v>
      </x:c>
      <x:c r="J22" s="3" t="str">
        <x:f>IF(A22="","",COUNTIFS(Programacion!$B$5:$B$304,A22,Programacion!$Z$5:$Z$304,"No"))</x:f>
      </x:c>
      <x:c r="K22" s="6"/>
    </x:row>
    <x:row r="23">
      <x:c r="A23" s="9"/>
      <x:c r="B23" s="3" t="str">
        <x:f>IF(A23="","",COUNTIF(Programacion!$B$5:$B$304,A23))</x:f>
      </x:c>
      <x:c r="C23" s="3" t="str">
        <x:f>IF(A23="","",COUNTIFS(Programacion!$B$5:$B$304,A23,Programacion!$AA$5:$AA$304,"Terminada"))</x:f>
      </x:c>
      <x:c r="D23" s="4" t="str">
        <x:f>IF(A23="","",SUMIFS(Programacion!$S$5:$S$304,Programacion!$B$5:$B$304,A23))</x:f>
      </x:c>
      <x:c r="E23" s="4" t="str">
        <x:f>IF(A23="","",SUMIFS(Programacion!$AE$5:$AE$304,Programacion!$B$5:$B$304,A23))</x:f>
      </x:c>
      <x:c r="F23" s="4" t="str">
        <x:f>IF(A23="","",SUMIFS(Programacion!$AF$5:$AF$304,Programacion!$B$5:$B$304,A23))</x:f>
      </x:c>
      <x:c r="G23" s="4" t="str">
        <x:f>IF(A23="","",SUMIFS(Programacion!$AG$5:$AG$304,Programacion!$B$5:$B$304,A23))</x:f>
      </x:c>
      <x:c r="H23" s="4" t="str">
        <x:f t="shared" si="0"/>
      </x:c>
      <x:c r="I23" s="11">
        <x:f t="shared" si="1"/>
        <x:v>0</x:v>
      </x:c>
      <x:c r="J23" s="3" t="str">
        <x:f>IF(A23="","",COUNTIFS(Programacion!$B$5:$B$304,A23,Programacion!$Z$5:$Z$304,"No"))</x:f>
      </x:c>
      <x:c r="K23" s="6"/>
    </x:row>
    <x:row r="24">
      <x:c r="A24" s="9"/>
      <x:c r="B24" s="3" t="str">
        <x:f>IF(A24="","",COUNTIF(Programacion!$B$5:$B$304,A24))</x:f>
      </x:c>
      <x:c r="C24" s="3" t="str">
        <x:f>IF(A24="","",COUNTIFS(Programacion!$B$5:$B$304,A24,Programacion!$AA$5:$AA$304,"Terminada"))</x:f>
      </x:c>
      <x:c r="D24" s="4" t="str">
        <x:f>IF(A24="","",SUMIFS(Programacion!$S$5:$S$304,Programacion!$B$5:$B$304,A24))</x:f>
      </x:c>
      <x:c r="E24" s="4" t="str">
        <x:f>IF(A24="","",SUMIFS(Programacion!$AE$5:$AE$304,Programacion!$B$5:$B$304,A24))</x:f>
      </x:c>
      <x:c r="F24" s="4" t="str">
        <x:f>IF(A24="","",SUMIFS(Programacion!$AF$5:$AF$304,Programacion!$B$5:$B$304,A24))</x:f>
      </x:c>
      <x:c r="G24" s="4" t="str">
        <x:f>IF(A24="","",SUMIFS(Programacion!$AG$5:$AG$304,Programacion!$B$5:$B$304,A24))</x:f>
      </x:c>
      <x:c r="H24" s="4" t="str">
        <x:f t="shared" si="0"/>
      </x:c>
      <x:c r="I24" s="11">
        <x:f t="shared" si="1"/>
        <x:v>0</x:v>
      </x:c>
      <x:c r="J24" s="3" t="str">
        <x:f>IF(A24="","",COUNTIFS(Programacion!$B$5:$B$304,A24,Programacion!$Z$5:$Z$304,"No"))</x:f>
      </x:c>
      <x:c r="K24" s="6"/>
    </x:row>
    <x:row r="25">
      <x:c r="A25" s="9"/>
      <x:c r="B25" s="3" t="str">
        <x:f>IF(A25="","",COUNTIF(Programacion!$B$5:$B$304,A25))</x:f>
      </x:c>
      <x:c r="C25" s="3" t="str">
        <x:f>IF(A25="","",COUNTIFS(Programacion!$B$5:$B$304,A25,Programacion!$AA$5:$AA$304,"Terminada"))</x:f>
      </x:c>
      <x:c r="D25" s="4" t="str">
        <x:f>IF(A25="","",SUMIFS(Programacion!$S$5:$S$304,Programacion!$B$5:$B$304,A25))</x:f>
      </x:c>
      <x:c r="E25" s="4" t="str">
        <x:f>IF(A25="","",SUMIFS(Programacion!$AE$5:$AE$304,Programacion!$B$5:$B$304,A25))</x:f>
      </x:c>
      <x:c r="F25" s="4" t="str">
        <x:f>IF(A25="","",SUMIFS(Programacion!$AF$5:$AF$304,Programacion!$B$5:$B$304,A25))</x:f>
      </x:c>
      <x:c r="G25" s="4" t="str">
        <x:f>IF(A25="","",SUMIFS(Programacion!$AG$5:$AG$304,Programacion!$B$5:$B$304,A25))</x:f>
      </x:c>
      <x:c r="H25" s="4" t="str">
        <x:f t="shared" si="0"/>
      </x:c>
      <x:c r="I25" s="11">
        <x:f t="shared" si="1"/>
        <x:v>0</x:v>
      </x:c>
      <x:c r="J25" s="3" t="str">
        <x:f>IF(A25="","",COUNTIFS(Programacion!$B$5:$B$304,A25,Programacion!$Z$5:$Z$304,"No"))</x:f>
      </x:c>
      <x:c r="K25" s="6"/>
    </x:row>
    <x:row r="26">
      <x:c r="A26" s="9"/>
      <x:c r="B26" s="3" t="str">
        <x:f>IF(A26="","",COUNTIF(Programacion!$B$5:$B$304,A26))</x:f>
      </x:c>
      <x:c r="C26" s="3" t="str">
        <x:f>IF(A26="","",COUNTIFS(Programacion!$B$5:$B$304,A26,Programacion!$AA$5:$AA$304,"Terminada"))</x:f>
      </x:c>
      <x:c r="D26" s="4" t="str">
        <x:f>IF(A26="","",SUMIFS(Programacion!$S$5:$S$304,Programacion!$B$5:$B$304,A26))</x:f>
      </x:c>
      <x:c r="E26" s="4" t="str">
        <x:f>IF(A26="","",SUMIFS(Programacion!$AE$5:$AE$304,Programacion!$B$5:$B$304,A26))</x:f>
      </x:c>
      <x:c r="F26" s="4" t="str">
        <x:f>IF(A26="","",SUMIFS(Programacion!$AF$5:$AF$304,Programacion!$B$5:$B$304,A26))</x:f>
      </x:c>
      <x:c r="G26" s="4" t="str">
        <x:f>IF(A26="","",SUMIFS(Programacion!$AG$5:$AG$304,Programacion!$B$5:$B$304,A26))</x:f>
      </x:c>
      <x:c r="H26" s="4" t="str">
        <x:f t="shared" si="0"/>
      </x:c>
      <x:c r="I26" s="11">
        <x:f t="shared" si="1"/>
        <x:v>0</x:v>
      </x:c>
      <x:c r="J26" s="3" t="str">
        <x:f>IF(A26="","",COUNTIFS(Programacion!$B$5:$B$304,A26,Programacion!$Z$5:$Z$304,"No"))</x:f>
      </x:c>
      <x:c r="K26" s="6"/>
    </x:row>
    <x:row r="27">
      <x:c r="A27" s="9"/>
      <x:c r="B27" s="3" t="str">
        <x:f>IF(A27="","",COUNTIF(Programacion!$B$5:$B$304,A27))</x:f>
      </x:c>
      <x:c r="C27" s="3" t="str">
        <x:f>IF(A27="","",COUNTIFS(Programacion!$B$5:$B$304,A27,Programacion!$AA$5:$AA$304,"Terminada"))</x:f>
      </x:c>
      <x:c r="D27" s="4" t="str">
        <x:f>IF(A27="","",SUMIFS(Programacion!$S$5:$S$304,Programacion!$B$5:$B$304,A27))</x:f>
      </x:c>
      <x:c r="E27" s="4" t="str">
        <x:f>IF(A27="","",SUMIFS(Programacion!$AE$5:$AE$304,Programacion!$B$5:$B$304,A27))</x:f>
      </x:c>
      <x:c r="F27" s="4" t="str">
        <x:f>IF(A27="","",SUMIFS(Programacion!$AF$5:$AF$304,Programacion!$B$5:$B$304,A27))</x:f>
      </x:c>
      <x:c r="G27" s="4" t="str">
        <x:f>IF(A27="","",SUMIFS(Programacion!$AG$5:$AG$304,Programacion!$B$5:$B$304,A27))</x:f>
      </x:c>
      <x:c r="H27" s="4" t="str">
        <x:f t="shared" si="0"/>
      </x:c>
      <x:c r="I27" s="11">
        <x:f t="shared" si="1"/>
        <x:v>0</x:v>
      </x:c>
      <x:c r="J27" s="3" t="str">
        <x:f>IF(A27="","",COUNTIFS(Programacion!$B$5:$B$304,A27,Programacion!$Z$5:$Z$304,"No"))</x:f>
      </x:c>
      <x:c r="K27" s="6"/>
    </x:row>
    <x:row r="28">
      <x:c r="A28" s="9"/>
      <x:c r="B28" s="3" t="str">
        <x:f>IF(A28="","",COUNTIF(Programacion!$B$5:$B$304,A28))</x:f>
      </x:c>
      <x:c r="C28" s="3" t="str">
        <x:f>IF(A28="","",COUNTIFS(Programacion!$B$5:$B$304,A28,Programacion!$AA$5:$AA$304,"Terminada"))</x:f>
      </x:c>
      <x:c r="D28" s="4" t="str">
        <x:f>IF(A28="","",SUMIFS(Programacion!$S$5:$S$304,Programacion!$B$5:$B$304,A28))</x:f>
      </x:c>
      <x:c r="E28" s="4" t="str">
        <x:f>IF(A28="","",SUMIFS(Programacion!$AE$5:$AE$304,Programacion!$B$5:$B$304,A28))</x:f>
      </x:c>
      <x:c r="F28" s="4" t="str">
        <x:f>IF(A28="","",SUMIFS(Programacion!$AF$5:$AF$304,Programacion!$B$5:$B$304,A28))</x:f>
      </x:c>
      <x:c r="G28" s="4" t="str">
        <x:f>IF(A28="","",SUMIFS(Programacion!$AG$5:$AG$304,Programacion!$B$5:$B$304,A28))</x:f>
      </x:c>
      <x:c r="H28" s="4" t="str">
        <x:f t="shared" si="0"/>
      </x:c>
      <x:c r="I28" s="11">
        <x:f t="shared" si="1"/>
        <x:v>0</x:v>
      </x:c>
      <x:c r="J28" s="3" t="str">
        <x:f>IF(A28="","",COUNTIFS(Programacion!$B$5:$B$304,A28,Programacion!$Z$5:$Z$304,"No"))</x:f>
      </x:c>
      <x:c r="K28" s="6"/>
    </x:row>
    <x:row r="29">
      <x:c r="A29" s="9"/>
      <x:c r="B29" s="3" t="str">
        <x:f>IF(A29="","",COUNTIF(Programacion!$B$5:$B$304,A29))</x:f>
      </x:c>
      <x:c r="C29" s="3" t="str">
        <x:f>IF(A29="","",COUNTIFS(Programacion!$B$5:$B$304,A29,Programacion!$AA$5:$AA$304,"Terminada"))</x:f>
      </x:c>
      <x:c r="D29" s="4" t="str">
        <x:f>IF(A29="","",SUMIFS(Programacion!$S$5:$S$304,Programacion!$B$5:$B$304,A29))</x:f>
      </x:c>
      <x:c r="E29" s="4" t="str">
        <x:f>IF(A29="","",SUMIFS(Programacion!$AE$5:$AE$304,Programacion!$B$5:$B$304,A29))</x:f>
      </x:c>
      <x:c r="F29" s="4" t="str">
        <x:f>IF(A29="","",SUMIFS(Programacion!$AF$5:$AF$304,Programacion!$B$5:$B$304,A29))</x:f>
      </x:c>
      <x:c r="G29" s="4" t="str">
        <x:f>IF(A29="","",SUMIFS(Programacion!$AG$5:$AG$304,Programacion!$B$5:$B$304,A29))</x:f>
      </x:c>
      <x:c r="H29" s="4" t="str">
        <x:f t="shared" si="0"/>
      </x:c>
      <x:c r="I29" s="11">
        <x:f t="shared" si="1"/>
        <x:v>0</x:v>
      </x:c>
      <x:c r="J29" s="3" t="str">
        <x:f>IF(A29="","",COUNTIFS(Programacion!$B$5:$B$304,A29,Programacion!$Z$5:$Z$304,"No"))</x:f>
      </x:c>
      <x:c r="K29" s="6"/>
    </x:row>
    <x:row r="30">
      <x:c r="A30" s="9"/>
      <x:c r="B30" s="3" t="str">
        <x:f>IF(A30="","",COUNTIF(Programacion!$B$5:$B$304,A30))</x:f>
      </x:c>
      <x:c r="C30" s="3" t="str">
        <x:f>IF(A30="","",COUNTIFS(Programacion!$B$5:$B$304,A30,Programacion!$AA$5:$AA$304,"Terminada"))</x:f>
      </x:c>
      <x:c r="D30" s="4" t="str">
        <x:f>IF(A30="","",SUMIFS(Programacion!$S$5:$S$304,Programacion!$B$5:$B$304,A30))</x:f>
      </x:c>
      <x:c r="E30" s="4" t="str">
        <x:f>IF(A30="","",SUMIFS(Programacion!$AE$5:$AE$304,Programacion!$B$5:$B$304,A30))</x:f>
      </x:c>
      <x:c r="F30" s="4" t="str">
        <x:f>IF(A30="","",SUMIFS(Programacion!$AF$5:$AF$304,Programacion!$B$5:$B$304,A30))</x:f>
      </x:c>
      <x:c r="G30" s="4" t="str">
        <x:f>IF(A30="","",SUMIFS(Programacion!$AG$5:$AG$304,Programacion!$B$5:$B$304,A30))</x:f>
      </x:c>
      <x:c r="H30" s="4" t="str">
        <x:f t="shared" si="0"/>
      </x:c>
      <x:c r="I30" s="11">
        <x:f t="shared" si="1"/>
        <x:v>0</x:v>
      </x:c>
      <x:c r="J30" s="3" t="str">
        <x:f>IF(A30="","",COUNTIFS(Programacion!$B$5:$B$304,A30,Programacion!$Z$5:$Z$304,"No"))</x:f>
      </x:c>
      <x:c r="K30" s="6"/>
    </x:row>
    <x:row r="31">
      <x:c r="A31" s="9"/>
      <x:c r="B31" s="3" t="str">
        <x:f>IF(A31="","",COUNTIF(Programacion!$B$5:$B$304,A31))</x:f>
      </x:c>
      <x:c r="C31" s="3" t="str">
        <x:f>IF(A31="","",COUNTIFS(Programacion!$B$5:$B$304,A31,Programacion!$AA$5:$AA$304,"Terminada"))</x:f>
      </x:c>
      <x:c r="D31" s="4" t="str">
        <x:f>IF(A31="","",SUMIFS(Programacion!$S$5:$S$304,Programacion!$B$5:$B$304,A31))</x:f>
      </x:c>
      <x:c r="E31" s="4" t="str">
        <x:f>IF(A31="","",SUMIFS(Programacion!$AE$5:$AE$304,Programacion!$B$5:$B$304,A31))</x:f>
      </x:c>
      <x:c r="F31" s="4" t="str">
        <x:f>IF(A31="","",SUMIFS(Programacion!$AF$5:$AF$304,Programacion!$B$5:$B$304,A31))</x:f>
      </x:c>
      <x:c r="G31" s="4" t="str">
        <x:f>IF(A31="","",SUMIFS(Programacion!$AG$5:$AG$304,Programacion!$B$5:$B$304,A31))</x:f>
      </x:c>
      <x:c r="H31" s="4" t="str">
        <x:f t="shared" si="0"/>
      </x:c>
      <x:c r="I31" s="11">
        <x:f t="shared" si="1"/>
        <x:v>0</x:v>
      </x:c>
      <x:c r="J31" s="3" t="str">
        <x:f>IF(A31="","",COUNTIFS(Programacion!$B$5:$B$304,A31,Programacion!$Z$5:$Z$304,"No"))</x:f>
      </x:c>
      <x:c r="K31" s="6"/>
    </x:row>
    <x:row r="32">
      <x:c r="A32" s="9"/>
      <x:c r="B32" s="3" t="str">
        <x:f>IF(A32="","",COUNTIF(Programacion!$B$5:$B$304,A32))</x:f>
      </x:c>
      <x:c r="C32" s="3" t="str">
        <x:f>IF(A32="","",COUNTIFS(Programacion!$B$5:$B$304,A32,Programacion!$AA$5:$AA$304,"Terminada"))</x:f>
      </x:c>
      <x:c r="D32" s="4" t="str">
        <x:f>IF(A32="","",SUMIFS(Programacion!$S$5:$S$304,Programacion!$B$5:$B$304,A32))</x:f>
      </x:c>
      <x:c r="E32" s="4" t="str">
        <x:f>IF(A32="","",SUMIFS(Programacion!$AE$5:$AE$304,Programacion!$B$5:$B$304,A32))</x:f>
      </x:c>
      <x:c r="F32" s="4" t="str">
        <x:f>IF(A32="","",SUMIFS(Programacion!$AF$5:$AF$304,Programacion!$B$5:$B$304,A32))</x:f>
      </x:c>
      <x:c r="G32" s="4" t="str">
        <x:f>IF(A32="","",SUMIFS(Programacion!$AG$5:$AG$304,Programacion!$B$5:$B$304,A32))</x:f>
      </x:c>
      <x:c r="H32" s="4" t="str">
        <x:f t="shared" si="0"/>
      </x:c>
      <x:c r="I32" s="11">
        <x:f t="shared" si="1"/>
        <x:v>0</x:v>
      </x:c>
      <x:c r="J32" s="3" t="str">
        <x:f>IF(A32="","",COUNTIFS(Programacion!$B$5:$B$304,A32,Programacion!$Z$5:$Z$304,"No"))</x:f>
      </x:c>
      <x:c r="K32" s="6"/>
    </x:row>
    <x:row r="33">
      <x:c r="A33" s="9"/>
      <x:c r="B33" s="3" t="str">
        <x:f>IF(A33="","",COUNTIF(Programacion!$B$5:$B$304,A33))</x:f>
      </x:c>
      <x:c r="C33" s="3" t="str">
        <x:f>IF(A33="","",COUNTIFS(Programacion!$B$5:$B$304,A33,Programacion!$AA$5:$AA$304,"Terminada"))</x:f>
      </x:c>
      <x:c r="D33" s="4" t="str">
        <x:f>IF(A33="","",SUMIFS(Programacion!$S$5:$S$304,Programacion!$B$5:$B$304,A33))</x:f>
      </x:c>
      <x:c r="E33" s="4" t="str">
        <x:f>IF(A33="","",SUMIFS(Programacion!$AE$5:$AE$304,Programacion!$B$5:$B$304,A33))</x:f>
      </x:c>
      <x:c r="F33" s="4" t="str">
        <x:f>IF(A33="","",SUMIFS(Programacion!$AF$5:$AF$304,Programacion!$B$5:$B$304,A33))</x:f>
      </x:c>
      <x:c r="G33" s="4" t="str">
        <x:f>IF(A33="","",SUMIFS(Programacion!$AG$5:$AG$304,Programacion!$B$5:$B$304,A33))</x:f>
      </x:c>
      <x:c r="H33" s="4" t="str">
        <x:f t="shared" si="0"/>
      </x:c>
      <x:c r="I33" s="11">
        <x:f t="shared" si="1"/>
        <x:v>0</x:v>
      </x:c>
      <x:c r="J33" s="3" t="str">
        <x:f>IF(A33="","",COUNTIFS(Programacion!$B$5:$B$304,A33,Programacion!$Z$5:$Z$304,"No"))</x:f>
      </x:c>
      <x:c r="K33" s="6"/>
    </x:row>
    <x:row r="34">
      <x:c r="A34" s="9"/>
      <x:c r="B34" s="3" t="str">
        <x:f>IF(A34="","",COUNTIF(Programacion!$B$5:$B$304,A34))</x:f>
      </x:c>
      <x:c r="C34" s="3" t="str">
        <x:f>IF(A34="","",COUNTIFS(Programacion!$B$5:$B$304,A34,Programacion!$AA$5:$AA$304,"Terminada"))</x:f>
      </x:c>
      <x:c r="D34" s="4" t="str">
        <x:f>IF(A34="","",SUMIFS(Programacion!$S$5:$S$304,Programacion!$B$5:$B$304,A34))</x:f>
      </x:c>
      <x:c r="E34" s="4" t="str">
        <x:f>IF(A34="","",SUMIFS(Programacion!$AE$5:$AE$304,Programacion!$B$5:$B$304,A34))</x:f>
      </x:c>
      <x:c r="F34" s="4" t="str">
        <x:f>IF(A34="","",SUMIFS(Programacion!$AF$5:$AF$304,Programacion!$B$5:$B$304,A34))</x:f>
      </x:c>
      <x:c r="G34" s="4" t="str">
        <x:f>IF(A34="","",SUMIFS(Programacion!$AG$5:$AG$304,Programacion!$B$5:$B$304,A34))</x:f>
      </x:c>
      <x:c r="H34" s="4" t="str">
        <x:f t="shared" si="0"/>
      </x:c>
      <x:c r="I34" s="11">
        <x:f t="shared" si="1"/>
        <x:v>0</x:v>
      </x:c>
      <x:c r="J34" s="3" t="str">
        <x:f>IF(A34="","",COUNTIFS(Programacion!$B$5:$B$304,A34,Programacion!$Z$5:$Z$304,"No"))</x:f>
      </x:c>
      <x:c r="K34" s="6"/>
    </x:row>
    <x:row r="35">
      <x:c r="A35" s="9"/>
      <x:c r="B35" s="3" t="str">
        <x:f>IF(A35="","",COUNTIF(Programacion!$B$5:$B$304,A35))</x:f>
      </x:c>
      <x:c r="C35" s="3" t="str">
        <x:f>IF(A35="","",COUNTIFS(Programacion!$B$5:$B$304,A35,Programacion!$AA$5:$AA$304,"Terminada"))</x:f>
      </x:c>
      <x:c r="D35" s="4" t="str">
        <x:f>IF(A35="","",SUMIFS(Programacion!$S$5:$S$304,Programacion!$B$5:$B$304,A35))</x:f>
      </x:c>
      <x:c r="E35" s="4" t="str">
        <x:f>IF(A35="","",SUMIFS(Programacion!$AE$5:$AE$304,Programacion!$B$5:$B$304,A35))</x:f>
      </x:c>
      <x:c r="F35" s="4" t="str">
        <x:f>IF(A35="","",SUMIFS(Programacion!$AF$5:$AF$304,Programacion!$B$5:$B$304,A35))</x:f>
      </x:c>
      <x:c r="G35" s="4" t="str">
        <x:f>IF(A35="","",SUMIFS(Programacion!$AG$5:$AG$304,Programacion!$B$5:$B$304,A35))</x:f>
      </x:c>
      <x:c r="H35" s="4" t="str">
        <x:f t="shared" si="0"/>
      </x:c>
      <x:c r="I35" s="11">
        <x:f t="shared" si="1"/>
        <x:v>0</x:v>
      </x:c>
      <x:c r="J35" s="3" t="str">
        <x:f>IF(A35="","",COUNTIFS(Programacion!$B$5:$B$304,A35,Programacion!$Z$5:$Z$304,"No"))</x:f>
      </x:c>
      <x:c r="K35" s="6"/>
    </x:row>
    <x:row r="36">
      <x:c r="A36" s="9"/>
      <x:c r="B36" s="3" t="str">
        <x:f>IF(A36="","",COUNTIF(Programacion!$B$5:$B$304,A36))</x:f>
      </x:c>
      <x:c r="C36" s="3" t="str">
        <x:f>IF(A36="","",COUNTIFS(Programacion!$B$5:$B$304,A36,Programacion!$AA$5:$AA$304,"Terminada"))</x:f>
      </x:c>
      <x:c r="D36" s="4" t="str">
        <x:f>IF(A36="","",SUMIFS(Programacion!$S$5:$S$304,Programacion!$B$5:$B$304,A36))</x:f>
      </x:c>
      <x:c r="E36" s="4" t="str">
        <x:f>IF(A36="","",SUMIFS(Programacion!$AE$5:$AE$304,Programacion!$B$5:$B$304,A36))</x:f>
      </x:c>
      <x:c r="F36" s="4" t="str">
        <x:f>IF(A36="","",SUMIFS(Programacion!$AF$5:$AF$304,Programacion!$B$5:$B$304,A36))</x:f>
      </x:c>
      <x:c r="G36" s="4" t="str">
        <x:f>IF(A36="","",SUMIFS(Programacion!$AG$5:$AG$304,Programacion!$B$5:$B$304,A36))</x:f>
      </x:c>
      <x:c r="H36" s="4" t="str">
        <x:f t="shared" si="0"/>
      </x:c>
      <x:c r="I36" s="11">
        <x:f t="shared" si="1"/>
        <x:v>0</x:v>
      </x:c>
      <x:c r="J36" s="3" t="str">
        <x:f>IF(A36="","",COUNTIFS(Programacion!$B$5:$B$304,A36,Programacion!$Z$5:$Z$304,"No"))</x:f>
      </x:c>
      <x:c r="K36" s="6"/>
    </x:row>
    <x:row r="37">
      <x:c r="A37" s="9"/>
      <x:c r="B37" s="3" t="str">
        <x:f>IF(A37="","",COUNTIF(Programacion!$B$5:$B$304,A37))</x:f>
      </x:c>
      <x:c r="C37" s="3" t="str">
        <x:f>IF(A37="","",COUNTIFS(Programacion!$B$5:$B$304,A37,Programacion!$AA$5:$AA$304,"Terminada"))</x:f>
      </x:c>
      <x:c r="D37" s="4" t="str">
        <x:f>IF(A37="","",SUMIFS(Programacion!$S$5:$S$304,Programacion!$B$5:$B$304,A37))</x:f>
      </x:c>
      <x:c r="E37" s="4" t="str">
        <x:f>IF(A37="","",SUMIFS(Programacion!$AE$5:$AE$304,Programacion!$B$5:$B$304,A37))</x:f>
      </x:c>
      <x:c r="F37" s="4" t="str">
        <x:f>IF(A37="","",SUMIFS(Programacion!$AF$5:$AF$304,Programacion!$B$5:$B$304,A37))</x:f>
      </x:c>
      <x:c r="G37" s="4" t="str">
        <x:f>IF(A37="","",SUMIFS(Programacion!$AG$5:$AG$304,Programacion!$B$5:$B$304,A37))</x:f>
      </x:c>
      <x:c r="H37" s="4" t="str">
        <x:f t="shared" ref="H37:H64" si="2">IF(A37="","",G37-F37)</x:f>
      </x:c>
      <x:c r="I37" s="11" t="n">
        <x:f t="shared" ref="I37:I64" si="3">IFERROR(C37/B37,0)</x:f>
        <x:v>0</x:v>
      </x:c>
      <x:c r="J37" s="3" t="str">
        <x:f>IF(A37="","",COUNTIFS(Programacion!$B$5:$B$304,A37,Programacion!$Z$5:$Z$304,"No"))</x:f>
      </x:c>
      <x:c r="K37" s="6"/>
    </x:row>
    <x:row r="38">
      <x:c r="A38" s="9"/>
      <x:c r="B38" s="3" t="str">
        <x:f>IF(A38="","",COUNTIF(Programacion!$B$5:$B$304,A38))</x:f>
      </x:c>
      <x:c r="C38" s="3" t="str">
        <x:f>IF(A38="","",COUNTIFS(Programacion!$B$5:$B$304,A38,Programacion!$AA$5:$AA$304,"Terminada"))</x:f>
      </x:c>
      <x:c r="D38" s="4" t="str">
        <x:f>IF(A38="","",SUMIFS(Programacion!$S$5:$S$304,Programacion!$B$5:$B$304,A38))</x:f>
      </x:c>
      <x:c r="E38" s="4" t="str">
        <x:f>IF(A38="","",SUMIFS(Programacion!$AE$5:$AE$304,Programacion!$B$5:$B$304,A38))</x:f>
      </x:c>
      <x:c r="F38" s="4" t="str">
        <x:f>IF(A38="","",SUMIFS(Programacion!$AF$5:$AF$304,Programacion!$B$5:$B$304,A38))</x:f>
      </x:c>
      <x:c r="G38" s="4" t="str">
        <x:f>IF(A38="","",SUMIFS(Programacion!$AG$5:$AG$304,Programacion!$B$5:$B$304,A38))</x:f>
      </x:c>
      <x:c r="H38" s="4" t="str">
        <x:f t="shared" si="2"/>
      </x:c>
      <x:c r="I38" s="11">
        <x:f t="shared" si="3"/>
        <x:v>0</x:v>
      </x:c>
      <x:c r="J38" s="3" t="str">
        <x:f>IF(A38="","",COUNTIFS(Programacion!$B$5:$B$304,A38,Programacion!$Z$5:$Z$304,"No"))</x:f>
      </x:c>
      <x:c r="K38" s="6"/>
    </x:row>
    <x:row r="39">
      <x:c r="A39" s="9"/>
      <x:c r="B39" s="3" t="str">
        <x:f>IF(A39="","",COUNTIF(Programacion!$B$5:$B$304,A39))</x:f>
      </x:c>
      <x:c r="C39" s="3" t="str">
        <x:f>IF(A39="","",COUNTIFS(Programacion!$B$5:$B$304,A39,Programacion!$AA$5:$AA$304,"Terminada"))</x:f>
      </x:c>
      <x:c r="D39" s="4" t="str">
        <x:f>IF(A39="","",SUMIFS(Programacion!$S$5:$S$304,Programacion!$B$5:$B$304,A39))</x:f>
      </x:c>
      <x:c r="E39" s="4" t="str">
        <x:f>IF(A39="","",SUMIFS(Programacion!$AE$5:$AE$304,Programacion!$B$5:$B$304,A39))</x:f>
      </x:c>
      <x:c r="F39" s="4" t="str">
        <x:f>IF(A39="","",SUMIFS(Programacion!$AF$5:$AF$304,Programacion!$B$5:$B$304,A39))</x:f>
      </x:c>
      <x:c r="G39" s="4" t="str">
        <x:f>IF(A39="","",SUMIFS(Programacion!$AG$5:$AG$304,Programacion!$B$5:$B$304,A39))</x:f>
      </x:c>
      <x:c r="H39" s="4" t="str">
        <x:f t="shared" si="2"/>
      </x:c>
      <x:c r="I39" s="11">
        <x:f t="shared" si="3"/>
        <x:v>0</x:v>
      </x:c>
      <x:c r="J39" s="3" t="str">
        <x:f>IF(A39="","",COUNTIFS(Programacion!$B$5:$B$304,A39,Programacion!$Z$5:$Z$304,"No"))</x:f>
      </x:c>
      <x:c r="K39" s="6"/>
    </x:row>
    <x:row r="40">
      <x:c r="A40" s="9"/>
      <x:c r="B40" s="3" t="str">
        <x:f>IF(A40="","",COUNTIF(Programacion!$B$5:$B$304,A40))</x:f>
      </x:c>
      <x:c r="C40" s="3" t="str">
        <x:f>IF(A40="","",COUNTIFS(Programacion!$B$5:$B$304,A40,Programacion!$AA$5:$AA$304,"Terminada"))</x:f>
      </x:c>
      <x:c r="D40" s="4" t="str">
        <x:f>IF(A40="","",SUMIFS(Programacion!$S$5:$S$304,Programacion!$B$5:$B$304,A40))</x:f>
      </x:c>
      <x:c r="E40" s="4" t="str">
        <x:f>IF(A40="","",SUMIFS(Programacion!$AE$5:$AE$304,Programacion!$B$5:$B$304,A40))</x:f>
      </x:c>
      <x:c r="F40" s="4" t="str">
        <x:f>IF(A40="","",SUMIFS(Programacion!$AF$5:$AF$304,Programacion!$B$5:$B$304,A40))</x:f>
      </x:c>
      <x:c r="G40" s="4" t="str">
        <x:f>IF(A40="","",SUMIFS(Programacion!$AG$5:$AG$304,Programacion!$B$5:$B$304,A40))</x:f>
      </x:c>
      <x:c r="H40" s="4" t="str">
        <x:f t="shared" si="2"/>
      </x:c>
      <x:c r="I40" s="11">
        <x:f t="shared" si="3"/>
        <x:v>0</x:v>
      </x:c>
      <x:c r="J40" s="3" t="str">
        <x:f>IF(A40="","",COUNTIFS(Programacion!$B$5:$B$304,A40,Programacion!$Z$5:$Z$304,"No"))</x:f>
      </x:c>
      <x:c r="K40" s="6"/>
    </x:row>
    <x:row r="41">
      <x:c r="A41" s="9"/>
      <x:c r="B41" s="3" t="str">
        <x:f>IF(A41="","",COUNTIF(Programacion!$B$5:$B$304,A41))</x:f>
      </x:c>
      <x:c r="C41" s="3" t="str">
        <x:f>IF(A41="","",COUNTIFS(Programacion!$B$5:$B$304,A41,Programacion!$AA$5:$AA$304,"Terminada"))</x:f>
      </x:c>
      <x:c r="D41" s="4" t="str">
        <x:f>IF(A41="","",SUMIFS(Programacion!$S$5:$S$304,Programacion!$B$5:$B$304,A41))</x:f>
      </x:c>
      <x:c r="E41" s="4" t="str">
        <x:f>IF(A41="","",SUMIFS(Programacion!$AE$5:$AE$304,Programacion!$B$5:$B$304,A41))</x:f>
      </x:c>
      <x:c r="F41" s="4" t="str">
        <x:f>IF(A41="","",SUMIFS(Programacion!$AF$5:$AF$304,Programacion!$B$5:$B$304,A41))</x:f>
      </x:c>
      <x:c r="G41" s="4" t="str">
        <x:f>IF(A41="","",SUMIFS(Programacion!$AG$5:$AG$304,Programacion!$B$5:$B$304,A41))</x:f>
      </x:c>
      <x:c r="H41" s="4" t="str">
        <x:f t="shared" si="2"/>
      </x:c>
      <x:c r="I41" s="11">
        <x:f t="shared" si="3"/>
        <x:v>0</x:v>
      </x:c>
      <x:c r="J41" s="3" t="str">
        <x:f>IF(A41="","",COUNTIFS(Programacion!$B$5:$B$304,A41,Programacion!$Z$5:$Z$304,"No"))</x:f>
      </x:c>
      <x:c r="K41" s="6"/>
    </x:row>
    <x:row r="42">
      <x:c r="A42" s="9"/>
      <x:c r="B42" s="3" t="str">
        <x:f>IF(A42="","",COUNTIF(Programacion!$B$5:$B$304,A42))</x:f>
      </x:c>
      <x:c r="C42" s="3" t="str">
        <x:f>IF(A42="","",COUNTIFS(Programacion!$B$5:$B$304,A42,Programacion!$AA$5:$AA$304,"Terminada"))</x:f>
      </x:c>
      <x:c r="D42" s="4" t="str">
        <x:f>IF(A42="","",SUMIFS(Programacion!$S$5:$S$304,Programacion!$B$5:$B$304,A42))</x:f>
      </x:c>
      <x:c r="E42" s="4" t="str">
        <x:f>IF(A42="","",SUMIFS(Programacion!$AE$5:$AE$304,Programacion!$B$5:$B$304,A42))</x:f>
      </x:c>
      <x:c r="F42" s="4" t="str">
        <x:f>IF(A42="","",SUMIFS(Programacion!$AF$5:$AF$304,Programacion!$B$5:$B$304,A42))</x:f>
      </x:c>
      <x:c r="G42" s="4" t="str">
        <x:f>IF(A42="","",SUMIFS(Programacion!$AG$5:$AG$304,Programacion!$B$5:$B$304,A42))</x:f>
      </x:c>
      <x:c r="H42" s="4" t="str">
        <x:f t="shared" si="2"/>
      </x:c>
      <x:c r="I42" s="11">
        <x:f t="shared" si="3"/>
        <x:v>0</x:v>
      </x:c>
      <x:c r="J42" s="3" t="str">
        <x:f>IF(A42="","",COUNTIFS(Programacion!$B$5:$B$304,A42,Programacion!$Z$5:$Z$304,"No"))</x:f>
      </x:c>
      <x:c r="K42" s="6"/>
    </x:row>
    <x:row r="43">
      <x:c r="A43" s="9"/>
      <x:c r="B43" s="3" t="str">
        <x:f>IF(A43="","",COUNTIF(Programacion!$B$5:$B$304,A43))</x:f>
      </x:c>
      <x:c r="C43" s="3" t="str">
        <x:f>IF(A43="","",COUNTIFS(Programacion!$B$5:$B$304,A43,Programacion!$AA$5:$AA$304,"Terminada"))</x:f>
      </x:c>
      <x:c r="D43" s="4" t="str">
        <x:f>IF(A43="","",SUMIFS(Programacion!$S$5:$S$304,Programacion!$B$5:$B$304,A43))</x:f>
      </x:c>
      <x:c r="E43" s="4" t="str">
        <x:f>IF(A43="","",SUMIFS(Programacion!$AE$5:$AE$304,Programacion!$B$5:$B$304,A43))</x:f>
      </x:c>
      <x:c r="F43" s="4" t="str">
        <x:f>IF(A43="","",SUMIFS(Programacion!$AF$5:$AF$304,Programacion!$B$5:$B$304,A43))</x:f>
      </x:c>
      <x:c r="G43" s="4" t="str">
        <x:f>IF(A43="","",SUMIFS(Programacion!$AG$5:$AG$304,Programacion!$B$5:$B$304,A43))</x:f>
      </x:c>
      <x:c r="H43" s="4" t="str">
        <x:f t="shared" si="2"/>
      </x:c>
      <x:c r="I43" s="11">
        <x:f t="shared" si="3"/>
        <x:v>0</x:v>
      </x:c>
      <x:c r="J43" s="3" t="str">
        <x:f>IF(A43="","",COUNTIFS(Programacion!$B$5:$B$304,A43,Programacion!$Z$5:$Z$304,"No"))</x:f>
      </x:c>
      <x:c r="K43" s="6"/>
    </x:row>
    <x:row r="44">
      <x:c r="A44" s="9"/>
      <x:c r="B44" s="3" t="str">
        <x:f>IF(A44="","",COUNTIF(Programacion!$B$5:$B$304,A44))</x:f>
      </x:c>
      <x:c r="C44" s="3" t="str">
        <x:f>IF(A44="","",COUNTIFS(Programacion!$B$5:$B$304,A44,Programacion!$AA$5:$AA$304,"Terminada"))</x:f>
      </x:c>
      <x:c r="D44" s="4" t="str">
        <x:f>IF(A44="","",SUMIFS(Programacion!$S$5:$S$304,Programacion!$B$5:$B$304,A44))</x:f>
      </x:c>
      <x:c r="E44" s="4" t="str">
        <x:f>IF(A44="","",SUMIFS(Programacion!$AE$5:$AE$304,Programacion!$B$5:$B$304,A44))</x:f>
      </x:c>
      <x:c r="F44" s="4" t="str">
        <x:f>IF(A44="","",SUMIFS(Programacion!$AF$5:$AF$304,Programacion!$B$5:$B$304,A44))</x:f>
      </x:c>
      <x:c r="G44" s="4" t="str">
        <x:f>IF(A44="","",SUMIFS(Programacion!$AG$5:$AG$304,Programacion!$B$5:$B$304,A44))</x:f>
      </x:c>
      <x:c r="H44" s="4" t="str">
        <x:f t="shared" si="2"/>
      </x:c>
      <x:c r="I44" s="11">
        <x:f t="shared" si="3"/>
        <x:v>0</x:v>
      </x:c>
      <x:c r="J44" s="3" t="str">
        <x:f>IF(A44="","",COUNTIFS(Programacion!$B$5:$B$304,A44,Programacion!$Z$5:$Z$304,"No"))</x:f>
      </x:c>
      <x:c r="K44" s="6"/>
    </x:row>
    <x:row r="45">
      <x:c r="A45" s="9"/>
      <x:c r="B45" s="3" t="str">
        <x:f>IF(A45="","",COUNTIF(Programacion!$B$5:$B$304,A45))</x:f>
      </x:c>
      <x:c r="C45" s="3" t="str">
        <x:f>IF(A45="","",COUNTIFS(Programacion!$B$5:$B$304,A45,Programacion!$AA$5:$AA$304,"Terminada"))</x:f>
      </x:c>
      <x:c r="D45" s="4" t="str">
        <x:f>IF(A45="","",SUMIFS(Programacion!$S$5:$S$304,Programacion!$B$5:$B$304,A45))</x:f>
      </x:c>
      <x:c r="E45" s="4" t="str">
        <x:f>IF(A45="","",SUMIFS(Programacion!$AE$5:$AE$304,Programacion!$B$5:$B$304,A45))</x:f>
      </x:c>
      <x:c r="F45" s="4" t="str">
        <x:f>IF(A45="","",SUMIFS(Programacion!$AF$5:$AF$304,Programacion!$B$5:$B$304,A45))</x:f>
      </x:c>
      <x:c r="G45" s="4" t="str">
        <x:f>IF(A45="","",SUMIFS(Programacion!$AG$5:$AG$304,Programacion!$B$5:$B$304,A45))</x:f>
      </x:c>
      <x:c r="H45" s="4" t="str">
        <x:f t="shared" si="2"/>
      </x:c>
      <x:c r="I45" s="11">
        <x:f t="shared" si="3"/>
        <x:v>0</x:v>
      </x:c>
      <x:c r="J45" s="3" t="str">
        <x:f>IF(A45="","",COUNTIFS(Programacion!$B$5:$B$304,A45,Programacion!$Z$5:$Z$304,"No"))</x:f>
      </x:c>
      <x:c r="K45" s="6"/>
    </x:row>
    <x:row r="46">
      <x:c r="A46" s="9"/>
      <x:c r="B46" s="3" t="str">
        <x:f>IF(A46="","",COUNTIF(Programacion!$B$5:$B$304,A46))</x:f>
      </x:c>
      <x:c r="C46" s="3" t="str">
        <x:f>IF(A46="","",COUNTIFS(Programacion!$B$5:$B$304,A46,Programacion!$AA$5:$AA$304,"Terminada"))</x:f>
      </x:c>
      <x:c r="D46" s="4" t="str">
        <x:f>IF(A46="","",SUMIFS(Programacion!$S$5:$S$304,Programacion!$B$5:$B$304,A46))</x:f>
      </x:c>
      <x:c r="E46" s="4" t="str">
        <x:f>IF(A46="","",SUMIFS(Programacion!$AE$5:$AE$304,Programacion!$B$5:$B$304,A46))</x:f>
      </x:c>
      <x:c r="F46" s="4" t="str">
        <x:f>IF(A46="","",SUMIFS(Programacion!$AF$5:$AF$304,Programacion!$B$5:$B$304,A46))</x:f>
      </x:c>
      <x:c r="G46" s="4" t="str">
        <x:f>IF(A46="","",SUMIFS(Programacion!$AG$5:$AG$304,Programacion!$B$5:$B$304,A46))</x:f>
      </x:c>
      <x:c r="H46" s="4" t="str">
        <x:f t="shared" si="2"/>
      </x:c>
      <x:c r="I46" s="11">
        <x:f t="shared" si="3"/>
        <x:v>0</x:v>
      </x:c>
      <x:c r="J46" s="3" t="str">
        <x:f>IF(A46="","",COUNTIFS(Programacion!$B$5:$B$304,A46,Programacion!$Z$5:$Z$304,"No"))</x:f>
      </x:c>
      <x:c r="K46" s="6"/>
    </x:row>
    <x:row r="47">
      <x:c r="A47" s="9"/>
      <x:c r="B47" s="3" t="str">
        <x:f>IF(A47="","",COUNTIF(Programacion!$B$5:$B$304,A47))</x:f>
      </x:c>
      <x:c r="C47" s="3" t="str">
        <x:f>IF(A47="","",COUNTIFS(Programacion!$B$5:$B$304,A47,Programacion!$AA$5:$AA$304,"Terminada"))</x:f>
      </x:c>
      <x:c r="D47" s="4" t="str">
        <x:f>IF(A47="","",SUMIFS(Programacion!$S$5:$S$304,Programacion!$B$5:$B$304,A47))</x:f>
      </x:c>
      <x:c r="E47" s="4" t="str">
        <x:f>IF(A47="","",SUMIFS(Programacion!$AE$5:$AE$304,Programacion!$B$5:$B$304,A47))</x:f>
      </x:c>
      <x:c r="F47" s="4" t="str">
        <x:f>IF(A47="","",SUMIFS(Programacion!$AF$5:$AF$304,Programacion!$B$5:$B$304,A47))</x:f>
      </x:c>
      <x:c r="G47" s="4" t="str">
        <x:f>IF(A47="","",SUMIFS(Programacion!$AG$5:$AG$304,Programacion!$B$5:$B$304,A47))</x:f>
      </x:c>
      <x:c r="H47" s="4" t="str">
        <x:f t="shared" si="2"/>
      </x:c>
      <x:c r="I47" s="11">
        <x:f t="shared" si="3"/>
        <x:v>0</x:v>
      </x:c>
      <x:c r="J47" s="3" t="str">
        <x:f>IF(A47="","",COUNTIFS(Programacion!$B$5:$B$304,A47,Programacion!$Z$5:$Z$304,"No"))</x:f>
      </x:c>
      <x:c r="K47" s="6"/>
    </x:row>
    <x:row r="48">
      <x:c r="A48" s="9"/>
      <x:c r="B48" s="3" t="str">
        <x:f>IF(A48="","",COUNTIF(Programacion!$B$5:$B$304,A48))</x:f>
      </x:c>
      <x:c r="C48" s="3" t="str">
        <x:f>IF(A48="","",COUNTIFS(Programacion!$B$5:$B$304,A48,Programacion!$AA$5:$AA$304,"Terminada"))</x:f>
      </x:c>
      <x:c r="D48" s="4" t="str">
        <x:f>IF(A48="","",SUMIFS(Programacion!$S$5:$S$304,Programacion!$B$5:$B$304,A48))</x:f>
      </x:c>
      <x:c r="E48" s="4" t="str">
        <x:f>IF(A48="","",SUMIFS(Programacion!$AE$5:$AE$304,Programacion!$B$5:$B$304,A48))</x:f>
      </x:c>
      <x:c r="F48" s="4" t="str">
        <x:f>IF(A48="","",SUMIFS(Programacion!$AF$5:$AF$304,Programacion!$B$5:$B$304,A48))</x:f>
      </x:c>
      <x:c r="G48" s="4" t="str">
        <x:f>IF(A48="","",SUMIFS(Programacion!$AG$5:$AG$304,Programacion!$B$5:$B$304,A48))</x:f>
      </x:c>
      <x:c r="H48" s="4" t="str">
        <x:f t="shared" si="2"/>
      </x:c>
      <x:c r="I48" s="11">
        <x:f t="shared" si="3"/>
        <x:v>0</x:v>
      </x:c>
      <x:c r="J48" s="3" t="str">
        <x:f>IF(A48="","",COUNTIFS(Programacion!$B$5:$B$304,A48,Programacion!$Z$5:$Z$304,"No"))</x:f>
      </x:c>
      <x:c r="K48" s="6"/>
    </x:row>
    <x:row r="49">
      <x:c r="A49" s="9"/>
      <x:c r="B49" s="3" t="str">
        <x:f>IF(A49="","",COUNTIF(Programacion!$B$5:$B$304,A49))</x:f>
      </x:c>
      <x:c r="C49" s="3" t="str">
        <x:f>IF(A49="","",COUNTIFS(Programacion!$B$5:$B$304,A49,Programacion!$AA$5:$AA$304,"Terminada"))</x:f>
      </x:c>
      <x:c r="D49" s="4" t="str">
        <x:f>IF(A49="","",SUMIFS(Programacion!$S$5:$S$304,Programacion!$B$5:$B$304,A49))</x:f>
      </x:c>
      <x:c r="E49" s="4" t="str">
        <x:f>IF(A49="","",SUMIFS(Programacion!$AE$5:$AE$304,Programacion!$B$5:$B$304,A49))</x:f>
      </x:c>
      <x:c r="F49" s="4" t="str">
        <x:f>IF(A49="","",SUMIFS(Programacion!$AF$5:$AF$304,Programacion!$B$5:$B$304,A49))</x:f>
      </x:c>
      <x:c r="G49" s="4" t="str">
        <x:f>IF(A49="","",SUMIFS(Programacion!$AG$5:$AG$304,Programacion!$B$5:$B$304,A49))</x:f>
      </x:c>
      <x:c r="H49" s="4" t="str">
        <x:f t="shared" si="2"/>
      </x:c>
      <x:c r="I49" s="11">
        <x:f t="shared" si="3"/>
        <x:v>0</x:v>
      </x:c>
      <x:c r="J49" s="3" t="str">
        <x:f>IF(A49="","",COUNTIFS(Programacion!$B$5:$B$304,A49,Programacion!$Z$5:$Z$304,"No"))</x:f>
      </x:c>
      <x:c r="K49" s="6"/>
    </x:row>
    <x:row r="50">
      <x:c r="A50" s="9"/>
      <x:c r="B50" s="3" t="str">
        <x:f>IF(A50="","",COUNTIF(Programacion!$B$5:$B$304,A50))</x:f>
      </x:c>
      <x:c r="C50" s="3" t="str">
        <x:f>IF(A50="","",COUNTIFS(Programacion!$B$5:$B$304,A50,Programacion!$AA$5:$AA$304,"Terminada"))</x:f>
      </x:c>
      <x:c r="D50" s="4" t="str">
        <x:f>IF(A50="","",SUMIFS(Programacion!$S$5:$S$304,Programacion!$B$5:$B$304,A50))</x:f>
      </x:c>
      <x:c r="E50" s="4" t="str">
        <x:f>IF(A50="","",SUMIFS(Programacion!$AE$5:$AE$304,Programacion!$B$5:$B$304,A50))</x:f>
      </x:c>
      <x:c r="F50" s="4" t="str">
        <x:f>IF(A50="","",SUMIFS(Programacion!$AF$5:$AF$304,Programacion!$B$5:$B$304,A50))</x:f>
      </x:c>
      <x:c r="G50" s="4" t="str">
        <x:f>IF(A50="","",SUMIFS(Programacion!$AG$5:$AG$304,Programacion!$B$5:$B$304,A50))</x:f>
      </x:c>
      <x:c r="H50" s="4" t="str">
        <x:f t="shared" si="2"/>
      </x:c>
      <x:c r="I50" s="11">
        <x:f t="shared" si="3"/>
        <x:v>0</x:v>
      </x:c>
      <x:c r="J50" s="3" t="str">
        <x:f>IF(A50="","",COUNTIFS(Programacion!$B$5:$B$304,A50,Programacion!$Z$5:$Z$304,"No"))</x:f>
      </x:c>
      <x:c r="K50" s="6"/>
    </x:row>
    <x:row r="51">
      <x:c r="A51" s="9"/>
      <x:c r="B51" s="3" t="str">
        <x:f>IF(A51="","",COUNTIF(Programacion!$B$5:$B$304,A51))</x:f>
      </x:c>
      <x:c r="C51" s="3" t="str">
        <x:f>IF(A51="","",COUNTIFS(Programacion!$B$5:$B$304,A51,Programacion!$AA$5:$AA$304,"Terminada"))</x:f>
      </x:c>
      <x:c r="D51" s="4" t="str">
        <x:f>IF(A51="","",SUMIFS(Programacion!$S$5:$S$304,Programacion!$B$5:$B$304,A51))</x:f>
      </x:c>
      <x:c r="E51" s="4" t="str">
        <x:f>IF(A51="","",SUMIFS(Programacion!$AE$5:$AE$304,Programacion!$B$5:$B$304,A51))</x:f>
      </x:c>
      <x:c r="F51" s="4" t="str">
        <x:f>IF(A51="","",SUMIFS(Programacion!$AF$5:$AF$304,Programacion!$B$5:$B$304,A51))</x:f>
      </x:c>
      <x:c r="G51" s="4" t="str">
        <x:f>IF(A51="","",SUMIFS(Programacion!$AG$5:$AG$304,Programacion!$B$5:$B$304,A51))</x:f>
      </x:c>
      <x:c r="H51" s="4" t="str">
        <x:f t="shared" si="2"/>
      </x:c>
      <x:c r="I51" s="11">
        <x:f t="shared" si="3"/>
        <x:v>0</x:v>
      </x:c>
      <x:c r="J51" s="3" t="str">
        <x:f>IF(A51="","",COUNTIFS(Programacion!$B$5:$B$304,A51,Programacion!$Z$5:$Z$304,"No"))</x:f>
      </x:c>
      <x:c r="K51" s="6"/>
    </x:row>
    <x:row r="52">
      <x:c r="A52" s="9"/>
      <x:c r="B52" s="3" t="str">
        <x:f>IF(A52="","",COUNTIF(Programacion!$B$5:$B$304,A52))</x:f>
      </x:c>
      <x:c r="C52" s="3" t="str">
        <x:f>IF(A52="","",COUNTIFS(Programacion!$B$5:$B$304,A52,Programacion!$AA$5:$AA$304,"Terminada"))</x:f>
      </x:c>
      <x:c r="D52" s="4" t="str">
        <x:f>IF(A52="","",SUMIFS(Programacion!$S$5:$S$304,Programacion!$B$5:$B$304,A52))</x:f>
      </x:c>
      <x:c r="E52" s="4" t="str">
        <x:f>IF(A52="","",SUMIFS(Programacion!$AE$5:$AE$304,Programacion!$B$5:$B$304,A52))</x:f>
      </x:c>
      <x:c r="F52" s="4" t="str">
        <x:f>IF(A52="","",SUMIFS(Programacion!$AF$5:$AF$304,Programacion!$B$5:$B$304,A52))</x:f>
      </x:c>
      <x:c r="G52" s="4" t="str">
        <x:f>IF(A52="","",SUMIFS(Programacion!$AG$5:$AG$304,Programacion!$B$5:$B$304,A52))</x:f>
      </x:c>
      <x:c r="H52" s="4" t="str">
        <x:f t="shared" si="2"/>
      </x:c>
      <x:c r="I52" s="11">
        <x:f t="shared" si="3"/>
        <x:v>0</x:v>
      </x:c>
      <x:c r="J52" s="3" t="str">
        <x:f>IF(A52="","",COUNTIFS(Programacion!$B$5:$B$304,A52,Programacion!$Z$5:$Z$304,"No"))</x:f>
      </x:c>
      <x:c r="K52" s="6"/>
    </x:row>
    <x:row r="53">
      <x:c r="A53" s="9"/>
      <x:c r="B53" s="3" t="str">
        <x:f>IF(A53="","",COUNTIF(Programacion!$B$5:$B$304,A53))</x:f>
      </x:c>
      <x:c r="C53" s="3" t="str">
        <x:f>IF(A53="","",COUNTIFS(Programacion!$B$5:$B$304,A53,Programacion!$AA$5:$AA$304,"Terminada"))</x:f>
      </x:c>
      <x:c r="D53" s="4" t="str">
        <x:f>IF(A53="","",SUMIFS(Programacion!$S$5:$S$304,Programacion!$B$5:$B$304,A53))</x:f>
      </x:c>
      <x:c r="E53" s="4" t="str">
        <x:f>IF(A53="","",SUMIFS(Programacion!$AE$5:$AE$304,Programacion!$B$5:$B$304,A53))</x:f>
      </x:c>
      <x:c r="F53" s="4" t="str">
        <x:f>IF(A53="","",SUMIFS(Programacion!$AF$5:$AF$304,Programacion!$B$5:$B$304,A53))</x:f>
      </x:c>
      <x:c r="G53" s="4" t="str">
        <x:f>IF(A53="","",SUMIFS(Programacion!$AG$5:$AG$304,Programacion!$B$5:$B$304,A53))</x:f>
      </x:c>
      <x:c r="H53" s="4" t="str">
        <x:f t="shared" si="2"/>
      </x:c>
      <x:c r="I53" s="11">
        <x:f t="shared" si="3"/>
        <x:v>0</x:v>
      </x:c>
      <x:c r="J53" s="3" t="str">
        <x:f>IF(A53="","",COUNTIFS(Programacion!$B$5:$B$304,A53,Programacion!$Z$5:$Z$304,"No"))</x:f>
      </x:c>
      <x:c r="K53" s="6"/>
    </x:row>
    <x:row r="54">
      <x:c r="A54" s="9"/>
      <x:c r="B54" s="3" t="str">
        <x:f>IF(A54="","",COUNTIF(Programacion!$B$5:$B$304,A54))</x:f>
      </x:c>
      <x:c r="C54" s="3" t="str">
        <x:f>IF(A54="","",COUNTIFS(Programacion!$B$5:$B$304,A54,Programacion!$AA$5:$AA$304,"Terminada"))</x:f>
      </x:c>
      <x:c r="D54" s="4" t="str">
        <x:f>IF(A54="","",SUMIFS(Programacion!$S$5:$S$304,Programacion!$B$5:$B$304,A54))</x:f>
      </x:c>
      <x:c r="E54" s="4" t="str">
        <x:f>IF(A54="","",SUMIFS(Programacion!$AE$5:$AE$304,Programacion!$B$5:$B$304,A54))</x:f>
      </x:c>
      <x:c r="F54" s="4" t="str">
        <x:f>IF(A54="","",SUMIFS(Programacion!$AF$5:$AF$304,Programacion!$B$5:$B$304,A54))</x:f>
      </x:c>
      <x:c r="G54" s="4" t="str">
        <x:f>IF(A54="","",SUMIFS(Programacion!$AG$5:$AG$304,Programacion!$B$5:$B$304,A54))</x:f>
      </x:c>
      <x:c r="H54" s="4" t="str">
        <x:f t="shared" si="2"/>
      </x:c>
      <x:c r="I54" s="11">
        <x:f t="shared" si="3"/>
        <x:v>0</x:v>
      </x:c>
      <x:c r="J54" s="3" t="str">
        <x:f>IF(A54="","",COUNTIFS(Programacion!$B$5:$B$304,A54,Programacion!$Z$5:$Z$304,"No"))</x:f>
      </x:c>
      <x:c r="K54" s="6"/>
    </x:row>
    <x:row r="55">
      <x:c r="A55" s="9"/>
      <x:c r="B55" s="3" t="str">
        <x:f>IF(A55="","",COUNTIF(Programacion!$B$5:$B$304,A55))</x:f>
      </x:c>
      <x:c r="C55" s="3" t="str">
        <x:f>IF(A55="","",COUNTIFS(Programacion!$B$5:$B$304,A55,Programacion!$AA$5:$AA$304,"Terminada"))</x:f>
      </x:c>
      <x:c r="D55" s="4" t="str">
        <x:f>IF(A55="","",SUMIFS(Programacion!$S$5:$S$304,Programacion!$B$5:$B$304,A55))</x:f>
      </x:c>
      <x:c r="E55" s="4" t="str">
        <x:f>IF(A55="","",SUMIFS(Programacion!$AE$5:$AE$304,Programacion!$B$5:$B$304,A55))</x:f>
      </x:c>
      <x:c r="F55" s="4" t="str">
        <x:f>IF(A55="","",SUMIFS(Programacion!$AF$5:$AF$304,Programacion!$B$5:$B$304,A55))</x:f>
      </x:c>
      <x:c r="G55" s="4" t="str">
        <x:f>IF(A55="","",SUMIFS(Programacion!$AG$5:$AG$304,Programacion!$B$5:$B$304,A55))</x:f>
      </x:c>
      <x:c r="H55" s="4" t="str">
        <x:f t="shared" si="2"/>
      </x:c>
      <x:c r="I55" s="11">
        <x:f t="shared" si="3"/>
        <x:v>0</x:v>
      </x:c>
      <x:c r="J55" s="3" t="str">
        <x:f>IF(A55="","",COUNTIFS(Programacion!$B$5:$B$304,A55,Programacion!$Z$5:$Z$304,"No"))</x:f>
      </x:c>
      <x:c r="K55" s="6"/>
    </x:row>
    <x:row r="56">
      <x:c r="A56" s="9"/>
      <x:c r="B56" s="3" t="str">
        <x:f>IF(A56="","",COUNTIF(Programacion!$B$5:$B$304,A56))</x:f>
      </x:c>
      <x:c r="C56" s="3" t="str">
        <x:f>IF(A56="","",COUNTIFS(Programacion!$B$5:$B$304,A56,Programacion!$AA$5:$AA$304,"Terminada"))</x:f>
      </x:c>
      <x:c r="D56" s="4" t="str">
        <x:f>IF(A56="","",SUMIFS(Programacion!$S$5:$S$304,Programacion!$B$5:$B$304,A56))</x:f>
      </x:c>
      <x:c r="E56" s="4" t="str">
        <x:f>IF(A56="","",SUMIFS(Programacion!$AE$5:$AE$304,Programacion!$B$5:$B$304,A56))</x:f>
      </x:c>
      <x:c r="F56" s="4" t="str">
        <x:f>IF(A56="","",SUMIFS(Programacion!$AF$5:$AF$304,Programacion!$B$5:$B$304,A56))</x:f>
      </x:c>
      <x:c r="G56" s="4" t="str">
        <x:f>IF(A56="","",SUMIFS(Programacion!$AG$5:$AG$304,Programacion!$B$5:$B$304,A56))</x:f>
      </x:c>
      <x:c r="H56" s="4" t="str">
        <x:f t="shared" si="2"/>
      </x:c>
      <x:c r="I56" s="11">
        <x:f t="shared" si="3"/>
        <x:v>0</x:v>
      </x:c>
      <x:c r="J56" s="3" t="str">
        <x:f>IF(A56="","",COUNTIFS(Programacion!$B$5:$B$304,A56,Programacion!$Z$5:$Z$304,"No"))</x:f>
      </x:c>
      <x:c r="K56" s="6"/>
    </x:row>
    <x:row r="57">
      <x:c r="A57" s="9"/>
      <x:c r="B57" s="3" t="str">
        <x:f>IF(A57="","",COUNTIF(Programacion!$B$5:$B$304,A57))</x:f>
      </x:c>
      <x:c r="C57" s="3" t="str">
        <x:f>IF(A57="","",COUNTIFS(Programacion!$B$5:$B$304,A57,Programacion!$AA$5:$AA$304,"Terminada"))</x:f>
      </x:c>
      <x:c r="D57" s="4" t="str">
        <x:f>IF(A57="","",SUMIFS(Programacion!$S$5:$S$304,Programacion!$B$5:$B$304,A57))</x:f>
      </x:c>
      <x:c r="E57" s="4" t="str">
        <x:f>IF(A57="","",SUMIFS(Programacion!$AE$5:$AE$304,Programacion!$B$5:$B$304,A57))</x:f>
      </x:c>
      <x:c r="F57" s="4" t="str">
        <x:f>IF(A57="","",SUMIFS(Programacion!$AF$5:$AF$304,Programacion!$B$5:$B$304,A57))</x:f>
      </x:c>
      <x:c r="G57" s="4" t="str">
        <x:f>IF(A57="","",SUMIFS(Programacion!$AG$5:$AG$304,Programacion!$B$5:$B$304,A57))</x:f>
      </x:c>
      <x:c r="H57" s="4" t="str">
        <x:f t="shared" si="2"/>
      </x:c>
      <x:c r="I57" s="11">
        <x:f t="shared" si="3"/>
        <x:v>0</x:v>
      </x:c>
      <x:c r="J57" s="3" t="str">
        <x:f>IF(A57="","",COUNTIFS(Programacion!$B$5:$B$304,A57,Programacion!$Z$5:$Z$304,"No"))</x:f>
      </x:c>
      <x:c r="K57" s="6"/>
    </x:row>
    <x:row r="58">
      <x:c r="A58" s="9"/>
      <x:c r="B58" s="3" t="str">
        <x:f>IF(A58="","",COUNTIF(Programacion!$B$5:$B$304,A58))</x:f>
      </x:c>
      <x:c r="C58" s="3" t="str">
        <x:f>IF(A58="","",COUNTIFS(Programacion!$B$5:$B$304,A58,Programacion!$AA$5:$AA$304,"Terminada"))</x:f>
      </x:c>
      <x:c r="D58" s="4" t="str">
        <x:f>IF(A58="","",SUMIFS(Programacion!$S$5:$S$304,Programacion!$B$5:$B$304,A58))</x:f>
      </x:c>
      <x:c r="E58" s="4" t="str">
        <x:f>IF(A58="","",SUMIFS(Programacion!$AE$5:$AE$304,Programacion!$B$5:$B$304,A58))</x:f>
      </x:c>
      <x:c r="F58" s="4" t="str">
        <x:f>IF(A58="","",SUMIFS(Programacion!$AF$5:$AF$304,Programacion!$B$5:$B$304,A58))</x:f>
      </x:c>
      <x:c r="G58" s="4" t="str">
        <x:f>IF(A58="","",SUMIFS(Programacion!$AG$5:$AG$304,Programacion!$B$5:$B$304,A58))</x:f>
      </x:c>
      <x:c r="H58" s="4" t="str">
        <x:f t="shared" si="2"/>
      </x:c>
      <x:c r="I58" s="11">
        <x:f t="shared" si="3"/>
        <x:v>0</x:v>
      </x:c>
      <x:c r="J58" s="3" t="str">
        <x:f>IF(A58="","",COUNTIFS(Programacion!$B$5:$B$304,A58,Programacion!$Z$5:$Z$304,"No"))</x:f>
      </x:c>
      <x:c r="K58" s="6"/>
    </x:row>
    <x:row r="59">
      <x:c r="A59" s="9"/>
      <x:c r="B59" s="3" t="str">
        <x:f>IF(A59="","",COUNTIF(Programacion!$B$5:$B$304,A59))</x:f>
      </x:c>
      <x:c r="C59" s="3" t="str">
        <x:f>IF(A59="","",COUNTIFS(Programacion!$B$5:$B$304,A59,Programacion!$AA$5:$AA$304,"Terminada"))</x:f>
      </x:c>
      <x:c r="D59" s="4" t="str">
        <x:f>IF(A59="","",SUMIFS(Programacion!$S$5:$S$304,Programacion!$B$5:$B$304,A59))</x:f>
      </x:c>
      <x:c r="E59" s="4" t="str">
        <x:f>IF(A59="","",SUMIFS(Programacion!$AE$5:$AE$304,Programacion!$B$5:$B$304,A59))</x:f>
      </x:c>
      <x:c r="F59" s="4" t="str">
        <x:f>IF(A59="","",SUMIFS(Programacion!$AF$5:$AF$304,Programacion!$B$5:$B$304,A59))</x:f>
      </x:c>
      <x:c r="G59" s="4" t="str">
        <x:f>IF(A59="","",SUMIFS(Programacion!$AG$5:$AG$304,Programacion!$B$5:$B$304,A59))</x:f>
      </x:c>
      <x:c r="H59" s="4" t="str">
        <x:f t="shared" si="2"/>
      </x:c>
      <x:c r="I59" s="11">
        <x:f t="shared" si="3"/>
        <x:v>0</x:v>
      </x:c>
      <x:c r="J59" s="3" t="str">
        <x:f>IF(A59="","",COUNTIFS(Programacion!$B$5:$B$304,A59,Programacion!$Z$5:$Z$304,"No"))</x:f>
      </x:c>
      <x:c r="K59" s="6"/>
    </x:row>
    <x:row r="60">
      <x:c r="A60" s="9"/>
      <x:c r="B60" s="3" t="str">
        <x:f>IF(A60="","",COUNTIF(Programacion!$B$5:$B$304,A60))</x:f>
      </x:c>
      <x:c r="C60" s="3" t="str">
        <x:f>IF(A60="","",COUNTIFS(Programacion!$B$5:$B$304,A60,Programacion!$AA$5:$AA$304,"Terminada"))</x:f>
      </x:c>
      <x:c r="D60" s="4" t="str">
        <x:f>IF(A60="","",SUMIFS(Programacion!$S$5:$S$304,Programacion!$B$5:$B$304,A60))</x:f>
      </x:c>
      <x:c r="E60" s="4" t="str">
        <x:f>IF(A60="","",SUMIFS(Programacion!$AE$5:$AE$304,Programacion!$B$5:$B$304,A60))</x:f>
      </x:c>
      <x:c r="F60" s="4" t="str">
        <x:f>IF(A60="","",SUMIFS(Programacion!$AF$5:$AF$304,Programacion!$B$5:$B$304,A60))</x:f>
      </x:c>
      <x:c r="G60" s="4" t="str">
        <x:f>IF(A60="","",SUMIFS(Programacion!$AG$5:$AG$304,Programacion!$B$5:$B$304,A60))</x:f>
      </x:c>
      <x:c r="H60" s="4" t="str">
        <x:f t="shared" si="2"/>
      </x:c>
      <x:c r="I60" s="11">
        <x:f t="shared" si="3"/>
        <x:v>0</x:v>
      </x:c>
      <x:c r="J60" s="3" t="str">
        <x:f>IF(A60="","",COUNTIFS(Programacion!$B$5:$B$304,A60,Programacion!$Z$5:$Z$304,"No"))</x:f>
      </x:c>
      <x:c r="K60" s="6"/>
    </x:row>
    <x:row r="61">
      <x:c r="A61" s="9"/>
      <x:c r="B61" s="3" t="str">
        <x:f>IF(A61="","",COUNTIF(Programacion!$B$5:$B$304,A61))</x:f>
      </x:c>
      <x:c r="C61" s="3" t="str">
        <x:f>IF(A61="","",COUNTIFS(Programacion!$B$5:$B$304,A61,Programacion!$AA$5:$AA$304,"Terminada"))</x:f>
      </x:c>
      <x:c r="D61" s="4" t="str">
        <x:f>IF(A61="","",SUMIFS(Programacion!$S$5:$S$304,Programacion!$B$5:$B$304,A61))</x:f>
      </x:c>
      <x:c r="E61" s="4" t="str">
        <x:f>IF(A61="","",SUMIFS(Programacion!$AE$5:$AE$304,Programacion!$B$5:$B$304,A61))</x:f>
      </x:c>
      <x:c r="F61" s="4" t="str">
        <x:f>IF(A61="","",SUMIFS(Programacion!$AF$5:$AF$304,Programacion!$B$5:$B$304,A61))</x:f>
      </x:c>
      <x:c r="G61" s="4" t="str">
        <x:f>IF(A61="","",SUMIFS(Programacion!$AG$5:$AG$304,Programacion!$B$5:$B$304,A61))</x:f>
      </x:c>
      <x:c r="H61" s="4" t="str">
        <x:f t="shared" si="2"/>
      </x:c>
      <x:c r="I61" s="11">
        <x:f t="shared" si="3"/>
        <x:v>0</x:v>
      </x:c>
      <x:c r="J61" s="3" t="str">
        <x:f>IF(A61="","",COUNTIFS(Programacion!$B$5:$B$304,A61,Programacion!$Z$5:$Z$304,"No"))</x:f>
      </x:c>
      <x:c r="K61" s="6"/>
    </x:row>
    <x:row r="62">
      <x:c r="A62" s="9"/>
      <x:c r="B62" s="3" t="str">
        <x:f>IF(A62="","",COUNTIF(Programacion!$B$5:$B$304,A62))</x:f>
      </x:c>
      <x:c r="C62" s="3" t="str">
        <x:f>IF(A62="","",COUNTIFS(Programacion!$B$5:$B$304,A62,Programacion!$AA$5:$AA$304,"Terminada"))</x:f>
      </x:c>
      <x:c r="D62" s="4" t="str">
        <x:f>IF(A62="","",SUMIFS(Programacion!$S$5:$S$304,Programacion!$B$5:$B$304,A62))</x:f>
      </x:c>
      <x:c r="E62" s="4" t="str">
        <x:f>IF(A62="","",SUMIFS(Programacion!$AE$5:$AE$304,Programacion!$B$5:$B$304,A62))</x:f>
      </x:c>
      <x:c r="F62" s="4" t="str">
        <x:f>IF(A62="","",SUMIFS(Programacion!$AF$5:$AF$304,Programacion!$B$5:$B$304,A62))</x:f>
      </x:c>
      <x:c r="G62" s="4" t="str">
        <x:f>IF(A62="","",SUMIFS(Programacion!$AG$5:$AG$304,Programacion!$B$5:$B$304,A62))</x:f>
      </x:c>
      <x:c r="H62" s="4" t="str">
        <x:f t="shared" si="2"/>
      </x:c>
      <x:c r="I62" s="11">
        <x:f t="shared" si="3"/>
        <x:v>0</x:v>
      </x:c>
      <x:c r="J62" s="3" t="str">
        <x:f>IF(A62="","",COUNTIFS(Programacion!$B$5:$B$304,A62,Programacion!$Z$5:$Z$304,"No"))</x:f>
      </x:c>
      <x:c r="K62" s="6"/>
    </x:row>
    <x:row r="63">
      <x:c r="A63" s="9"/>
      <x:c r="B63" s="3" t="str">
        <x:f>IF(A63="","",COUNTIF(Programacion!$B$5:$B$304,A63))</x:f>
      </x:c>
      <x:c r="C63" s="3" t="str">
        <x:f>IF(A63="","",COUNTIFS(Programacion!$B$5:$B$304,A63,Programacion!$AA$5:$AA$304,"Terminada"))</x:f>
      </x:c>
      <x:c r="D63" s="4" t="str">
        <x:f>IF(A63="","",SUMIFS(Programacion!$S$5:$S$304,Programacion!$B$5:$B$304,A63))</x:f>
      </x:c>
      <x:c r="E63" s="4" t="str">
        <x:f>IF(A63="","",SUMIFS(Programacion!$AE$5:$AE$304,Programacion!$B$5:$B$304,A63))</x:f>
      </x:c>
      <x:c r="F63" s="4" t="str">
        <x:f>IF(A63="","",SUMIFS(Programacion!$AF$5:$AF$304,Programacion!$B$5:$B$304,A63))</x:f>
      </x:c>
      <x:c r="G63" s="4" t="str">
        <x:f>IF(A63="","",SUMIFS(Programacion!$AG$5:$AG$304,Programacion!$B$5:$B$304,A63))</x:f>
      </x:c>
      <x:c r="H63" s="4" t="str">
        <x:f t="shared" si="2"/>
      </x:c>
      <x:c r="I63" s="11">
        <x:f t="shared" si="3"/>
        <x:v>0</x:v>
      </x:c>
      <x:c r="J63" s="3" t="str">
        <x:f>IF(A63="","",COUNTIFS(Programacion!$B$5:$B$304,A63,Programacion!$Z$5:$Z$304,"No"))</x:f>
      </x:c>
      <x:c r="K63" s="6"/>
    </x:row>
    <x:row r="64">
      <x:c r="A64" s="9"/>
      <x:c r="B64" s="3" t="str">
        <x:f>IF(A64="","",COUNTIF(Programacion!$B$5:$B$304,A64))</x:f>
      </x:c>
      <x:c r="C64" s="3" t="str">
        <x:f>IF(A64="","",COUNTIFS(Programacion!$B$5:$B$304,A64,Programacion!$AA$5:$AA$304,"Terminada"))</x:f>
      </x:c>
      <x:c r="D64" s="4" t="str">
        <x:f>IF(A64="","",SUMIFS(Programacion!$S$5:$S$304,Programacion!$B$5:$B$304,A64))</x:f>
      </x:c>
      <x:c r="E64" s="4" t="str">
        <x:f>IF(A64="","",SUMIFS(Programacion!$AE$5:$AE$304,Programacion!$B$5:$B$304,A64))</x:f>
      </x:c>
      <x:c r="F64" s="4" t="str">
        <x:f>IF(A64="","",SUMIFS(Programacion!$AF$5:$AF$304,Programacion!$B$5:$B$304,A64))</x:f>
      </x:c>
      <x:c r="G64" s="4" t="str">
        <x:f>IF(A64="","",SUMIFS(Programacion!$AG$5:$AG$304,Programacion!$B$5:$B$304,A64))</x:f>
      </x:c>
      <x:c r="H64" s="4" t="str">
        <x:f t="shared" si="2"/>
      </x:c>
      <x:c r="I64" s="11">
        <x:f t="shared" si="3"/>
        <x:v>0</x:v>
      </x:c>
      <x:c r="J64" s="3" t="str">
        <x:f>IF(A64="","",COUNTIFS(Programacion!$B$5:$B$304,A64,Programacion!$Z$5:$Z$304,"No"))</x:f>
      </x:c>
      <x:c r="K64" s="6"/>
    </x:row>
  </x:sheetData>
  <x:mergeCells>
    <x:mergeCell ref="A1:K1"/>
    <x:mergeCell ref="A2:K2"/>
  </x:mergeCells>
  <x:conditionalFormatting sqref="H5:H64">
    <x:cfRule type="expression" dxfId="2" priority="1">
      <x:formula>H5&gt;0.5</x:formula>
    </x:cfRule>
  </x:conditionalFormatting>
  <x:conditionalFormatting sqref="I5:I64">
    <x:cfRule type="colorScale" priority="2">
      <x:colorScale>
        <x:cfvo type="min"/>
        <x:cfvo type="percentile" val="50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75" defaultRowHeight="13.899999618530273"/>
  <x:cols>
    <x:col min="1" max="1" width="10" customWidth="1"/>
    <x:col min="2" max="2" width="12" customWidth="1"/>
    <x:col min="3" max="3" width="18" customWidth="1"/>
    <x:col min="4" max="4" width="13" customWidth="1"/>
    <x:col min="5" max="5" width="20" customWidth="1"/>
    <x:col min="6" max="6" width="27" customWidth="1"/>
    <x:col min="7" max="7" width="12" customWidth="1"/>
    <x:col min="8" max="8" width="8" customWidth="1"/>
    <x:col min="9" max="11" width="10" customWidth="1"/>
    <x:col min="12" max="12" width="8" customWidth="1"/>
    <x:col min="13" max="13" width="20" customWidth="1"/>
    <x:col min="14" max="14" width="17" customWidth="1"/>
    <x:col min="15" max="15" width="12" customWidth="1"/>
    <x:col min="16" max="16" width="11" customWidth="1"/>
  </x:cols>
  <x:sheetData>
    <x:row r="1" ht="21">
      <x:c r="A1" s="53" t="s">
        <x:v>341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>
      <x:c r="A2" s="54" t="s">
        <x:v>342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 ht="17.649999618530273" customHeight="1">
      <x:c r="A3" s="43" t="s">
        <x:v>295</x:v>
      </x:c>
      <x:c r="B3" s="42">
        <x:v>46269</x:v>
      </x:c>
      <x:c r="C3" s="58"/>
      <x:c r="D3" s="55"/>
      <x:c r="E3" s="51" t="s">
        <x:v>343</x:v>
      </x:c>
      <x:c r="F3" s="50"/>
      <x:c r="G3" s="55"/>
      <x:c r="H3" s="52"/>
      <x:c r="I3" s="52"/>
      <x:c r="J3" s="51" t="s">
        <x:v>344</x:v>
      </x:c>
      <x:c r="K3" s="50"/>
      <x:c r="L3" s="52"/>
      <x:c r="M3" s="52"/>
      <x:c r="N3" s="52"/>
      <x:c r="O3" s="52"/>
      <x:c r="P3" s="52"/>
    </x:row>
    <x:row r="4" ht="17.649999618530273" customHeight="1">
      <x:c r="A4" s="51" t="s">
        <x:v>345</x:v>
      </x:c>
      <x:c r="B4" s="52"/>
      <x:c r="C4" s="50" t="s">
        <x:v>346</x:v>
      </x:c>
      <x:c r="D4" s="51"/>
      <x:c r="E4" s="51" t="s">
        <x:v>347</x:v>
      </x:c>
      <x:c r="F4" s="50"/>
      <x:c r="G4" s="51" t="s">
        <x:v>348</x:v>
      </x:c>
      <x:c r="H4" s="50"/>
      <x:c r="I4" s="51" t="s">
        <x:v>349</x:v>
      </x:c>
      <x:c r="J4" s="51"/>
      <x:c r="K4" s="50" t="s">
        <x:v>350</x:v>
      </x:c>
      <x:c r="L4" s="50"/>
      <x:c r="M4" s="51" t="s">
        <x:v>52</x:v>
      </x:c>
      <x:c r="N4" s="50"/>
      <x:c r="O4" s="50" t="s">
        <x:v>53</x:v>
      </x:c>
      <x:c r="P4" s="50"/>
    </x:row>
    <x:row r="5" ht="17.649999618530273" customHeight="1">
      <x:c r="A5" s="43" t="s">
        <x:v>351</x:v>
      </x:c>
      <x:c r="B5" s="52"/>
      <x:c r="C5" s="52" t="s">
        <x:v>352</x:v>
      </x:c>
      <x:c r="D5" s="52"/>
      <x:c r="E5" s="55" t="s">
        <x:v>353</x:v>
      </x:c>
      <x:c r="F5" s="52"/>
      <x:c r="G5" s="52" t="s">
        <x:v>354</x:v>
      </x:c>
      <x:c r="H5" s="52"/>
      <x:c r="I5" s="55" t="s">
        <x:v>355</x:v>
      </x:c>
      <x:c r="J5" s="52"/>
      <x:c r="K5" s="52" t="s">
        <x:v>356</x:v>
      </x:c>
      <x:c r="L5" s="52"/>
      <x:c r="M5" s="52"/>
      <x:c r="N5" s="52"/>
      <x:c r="O5" s="52"/>
      <x:c r="P5" s="52"/>
    </x:row>
    <x:row r="6" ht="17.649999618530273" customHeight="1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44"/>
      <x:c r="O6" s="44"/>
      <x:c r="P6" s="44"/>
    </x:row>
    <x:row r="7" ht="17.649999618530273" customHeight="1">
      <x:c r="A7" s="56" t="s">
        <x:v>357</x:v>
      </x:c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  <x:c r="P7" s="56"/>
    </x:row>
    <x:row r="8" ht="17.649999618530273" customHeight="1">
      <x:c r="A8" s="44" t="s">
        <x:v>303</x:v>
      </x:c>
      <x:c r="B8" s="45" t="s">
        <x:v>261</x:v>
      </x:c>
      <x:c r="C8" s="44"/>
      <x:c r="D8" s="44"/>
      <x:c r="E8" s="44"/>
      <x:c r="F8" s="44" t="s">
        <x:v>303</x:v>
      </x:c>
      <x:c r="G8" s="45" t="s">
        <x:v>267</x:v>
      </x:c>
      <x:c r="H8" s="44"/>
      <x:c r="I8" s="44"/>
      <x:c r="J8" s="44"/>
      <x:c r="K8" s="44" t="s">
        <x:v>303</x:v>
      </x:c>
      <x:c r="L8" s="45" t="s">
        <x:v>271</x:v>
      </x:c>
      <x:c r="M8" s="44"/>
      <x:c r="N8" s="44"/>
      <x:c r="O8" s="44"/>
      <x:c r="P8" s="44"/>
    </x:row>
    <x:row r="9" ht="17.649999618530273" customHeight="1">
      <x:c r="A9" s="44" t="s">
        <x:v>358</x:v>
      </x:c>
      <x:c r="B9" s="50" t="str">
        <x:f>IF(B8="","",IFERROR(VLOOKUP(B8,Cuadrillas!$A$5:$J$14,3,FALSE)&amp;IF(VLOOKUP(B8,Cuadrillas!$A$5:$J$14,4,FALSE)&lt;&gt;""," / "&amp;VLOOKUP(B8,Cuadrillas!$A$5:$J$14,4,FALSE),"")&amp;IF(VLOOKUP(B8,Cuadrillas!$A$5:$J$14,5,FALSE)&lt;&gt;""," / "&amp;VLOOKUP(B8,Cuadrillas!$A$5:$J$14,5,FALSE),"")&amp;IF(VLOOKUP(B8,Cuadrillas!$A$5:$J$14,6,FALSE)&lt;&gt;""," / "&amp;VLOOKUP(B8,Cuadrillas!$A$5:$J$14,6,FALSE),"")&amp;IF(VLOOKUP(B8,Cuadrillas!$A$5:$J$14,7,FALSE)&lt;&gt;""," / "&amp;VLOOKUP(B8,Cuadrillas!$A$5:$J$14,7,FALSE),""),""))</x:f>
        <x:v>D. Pereyra / F. Flores  / D. Gonzales</x:v>
      </x:c>
      <x:c r="C9" s="50"/>
      <x:c r="D9" s="50"/>
      <x:c r="E9" s="50"/>
      <x:c r="F9" s="44" t="s">
        <x:v>358</x:v>
      </x:c>
      <x:c r="G9" s="50" t="str">
        <x:f>IF(G8="","",IFERROR(VLOOKUP(G8,Cuadrillas!$A$5:$J$14,3,FALSE)&amp;IF(VLOOKUP(G8,Cuadrillas!$A$5:$J$14,4,FALSE)&lt;&gt;""," / "&amp;VLOOKUP(G8,Cuadrillas!$A$5:$J$14,4,FALSE),"")&amp;IF(VLOOKUP(G8,Cuadrillas!$A$5:$J$14,5,FALSE)&lt;&gt;""," / "&amp;VLOOKUP(G8,Cuadrillas!$A$5:$J$14,5,FALSE),"")&amp;IF(VLOOKUP(G8,Cuadrillas!$A$5:$J$14,6,FALSE)&lt;&gt;""," / "&amp;VLOOKUP(G8,Cuadrillas!$A$5:$J$14,6,FALSE),"")&amp;IF(VLOOKUP(G8,Cuadrillas!$A$5:$J$14,7,FALSE)&lt;&gt;""," / "&amp;VLOOKUP(G8,Cuadrillas!$A$5:$J$14,7,FALSE),""),""))</x:f>
        <x:v>M. Nieva / J. Olmedo </x:v>
      </x:c>
      <x:c r="H9" s="50"/>
      <x:c r="I9" s="50"/>
      <x:c r="J9" s="50"/>
      <x:c r="K9" s="44" t="s">
        <x:v>358</x:v>
      </x:c>
      <x:c r="L9" s="50" t="str">
        <x:f>IF(L8="","",IFERROR(VLOOKUP(L8,Cuadrillas!$A$5:$J$14,3,FALSE)&amp;IF(VLOOKUP(L8,Cuadrillas!$A$5:$J$14,4,FALSE)&lt;&gt;""," / "&amp;VLOOKUP(L8,Cuadrillas!$A$5:$J$14,4,FALSE),"")&amp;IF(VLOOKUP(L8,Cuadrillas!$A$5:$J$14,5,FALSE)&lt;&gt;""," / "&amp;VLOOKUP(L8,Cuadrillas!$A$5:$J$14,5,FALSE),"")&amp;IF(VLOOKUP(L8,Cuadrillas!$A$5:$J$14,6,FALSE)&lt;&gt;""," / "&amp;VLOOKUP(L8,Cuadrillas!$A$5:$J$14,6,FALSE),"")&amp;IF(VLOOKUP(L8,Cuadrillas!$A$5:$J$14,7,FALSE)&lt;&gt;""," / "&amp;VLOOKUP(L8,Cuadrillas!$A$5:$J$14,7,FALSE),""),""))</x:f>
        <x:v>A. Aguirre / J. Almagro  / D. Castro </x:v>
      </x:c>
      <x:c r="M9" s="50"/>
      <x:c r="N9" s="50"/>
      <x:c r="O9" s="50"/>
      <x:c r="P9" s="44"/>
    </x:row>
    <x:row r="10" ht="17.649999618530273" customHeight="1">
      <x:c r="A10" s="44" t="s">
        <x:v>24</x:v>
      </x:c>
      <x:c r="B10" s="50" t="str">
        <x:f>IF(B8="","",IFERROR(VLOOKUP(B8,Cuadrillas!$A$5:$J$14,8,FALSE)&amp;IF(VLOOKUP(B8,Cuadrillas!$A$5:$J$14,9,FALSE)&lt;&gt;""," / "&amp;VLOOKUP(B8,Cuadrillas!$A$5:$J$14,9,FALSE),""),""))</x:f>
        <x:v>Excavaciones</x:v>
      </x:c>
      <x:c r="C10" s="50"/>
      <x:c r="D10" s="50"/>
      <x:c r="E10" s="50"/>
      <x:c r="F10" s="44" t="s">
        <x:v>24</x:v>
      </x:c>
      <x:c r="G10" s="50" t="str">
        <x:f>IF(G8="","",IFERROR(VLOOKUP(G8,Cuadrillas!$A$5:$J$14,8,FALSE)&amp;IF(VLOOKUP(G8,Cuadrillas!$A$5:$J$14,9,FALSE)&lt;&gt;""," / "&amp;VLOOKUP(G8,Cuadrillas!$A$5:$J$14,9,FALSE),""),""))</x:f>
        <x:v>Excavaciones, llenar zanjas </x:v>
      </x:c>
      <x:c r="H10" s="50"/>
      <x:c r="I10" s="50"/>
      <x:c r="J10" s="50"/>
      <x:c r="K10" s="44" t="s">
        <x:v>24</x:v>
      </x:c>
      <x:c r="L10" s="50" t="str">
        <x:f>IF(L8="","",IFERROR(VLOOKUP(L8,Cuadrillas!$A$5:$J$14,8,FALSE)&amp;IF(VLOOKUP(L8,Cuadrillas!$A$5:$J$14,9,FALSE)&lt;&gt;""," / "&amp;VLOOKUP(L8,Cuadrillas!$A$5:$J$14,9,FALSE),""),""))</x:f>
        <x:v>Pruebas H, armados de servcios </x:v>
      </x:c>
      <x:c r="M10" s="50"/>
      <x:c r="N10" s="50"/>
      <x:c r="O10" s="50"/>
      <x:c r="P10" s="44"/>
    </x:row>
    <x:row r="11" ht="17.649999618530273" customHeight="1">
      <x:c r="A11" s="32" t="s">
        <x:v>340</x:v>
      </x:c>
      <x:c r="B11" s="50" t="str">
        <x:f>IF(B8="","",IFERROR(VLOOKUP(B8,Cuadrillas!$A$5:$J$14,10,FALSE),""))</x:f>
      </x:c>
      <x:c r="C11" s="50"/>
      <x:c r="D11" s="50"/>
      <x:c r="E11" s="50"/>
      <x:c r="F11" s="44" t="s">
        <x:v>340</x:v>
      </x:c>
      <x:c r="G11" s="50" t="str">
        <x:f>IF(G8="","",IFERROR(VLOOKUP(G8,Cuadrillas!$A$5:$J$14,10,FALSE),""))</x:f>
      </x:c>
      <x:c r="H11" s="50"/>
      <x:c r="I11" s="50"/>
      <x:c r="J11" s="50"/>
      <x:c r="K11" s="32" t="s">
        <x:v>340</x:v>
      </x:c>
      <x:c r="L11" s="50" t="str">
        <x:f>IF(L8="","",IFERROR(VLOOKUP(L8,Cuadrillas!$A$5:$J$14,10,FALSE),""))</x:f>
      </x:c>
      <x:c r="M11" s="50"/>
      <x:c r="N11" s="50"/>
      <x:c r="O11" s="50"/>
      <x:c r="P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</x:row>
    <x:row r="13" ht="24" customHeight="1">
      <x:c r="A13" s="8" t="s">
        <x:v>359</x:v>
      </x:c>
      <x:c r="B13" s="8" t="s">
        <x:v>303</x:v>
      </x:c>
      <x:c r="C13" s="8" t="s">
        <x:v>360</x:v>
      </x:c>
      <x:c r="D13" s="8" t="s">
        <x:v>90</x:v>
      </x:c>
      <x:c r="E13" s="8" t="s">
        <x:v>361</x:v>
      </x:c>
      <x:c r="F13" s="8" t="s">
        <x:v>4</x:v>
      </x:c>
      <x:c r="G13" s="8" t="s">
        <x:v>362</x:v>
      </x:c>
      <x:c r="H13" s="8" t="s">
        <x:v>363</x:v>
      </x:c>
      <x:c r="I13" s="8" t="s">
        <x:v>364</x:v>
      </x:c>
      <x:c r="J13" s="8" t="s">
        <x:v>365</x:v>
      </x:c>
      <x:c r="K13" s="8" t="s">
        <x:v>366</x:v>
      </x:c>
      <x:c r="L13" s="8" t="s">
        <x:v>367</x:v>
      </x:c>
      <x:c r="M13" s="8" t="s">
        <x:v>24</x:v>
      </x:c>
      <x:c r="N13" s="8" t="s">
        <x:v>305</x:v>
      </x:c>
      <x:c r="O13" s="8" t="s">
        <x:v>368</x:v>
      </x:c>
      <x:c r="P13" s="8" t="s">
        <x:v>369</x:v>
      </x:c>
    </x:row>
    <x:row r="14" ht="37.5" customHeight="1">
      <x:c r="A14" s="22">
        <x:v>1</x:v>
      </x:c>
      <x:c r="B14" s="33" t="str">
        <x:f>IFERROR(INDEX(Programacion!$T$5:$T$304,MATCH(TEXT($B$3,"yyyymmdd")&amp;"-"&amp;TEXT($A14,"00"),Programacion!$A$5:$A$304,0)),"")</x:f>
        <x:v>C-02</x:v>
      </x:c>
      <x:c r="C14" s="33" t="str">
        <x:f>IFERROR(INDEX(Programacion!$D$5:$D$304,MATCH(TEXT($B$3,"yyyymmdd")&amp;"-"&amp;TEXT($A14,"00"),Programacion!$A$5:$A$304,0)),"")</x:f>
        <x:v>SEC015-N18-N19</x:v>
      </x:c>
      <x:c r="D14" s="22" t="str">
        <x:f>IFERROR(INDEX(Programacion!$F$5:$F$304,MATCH(TEXT($B$3,"yyyymmdd")&amp;"-"&amp;TEXT($A14,"00"),Programacion!$A$5:$A$304,0)),"")</x:f>
        <x:v>MzaD</x:v>
      </x:c>
      <x:c r="E14" s="33" t="str">
        <x:f>IFERROR(INDEX(Programacion!$J$5:$J$304,MATCH(TEXT($B$3,"yyyymmdd")&amp;"-"&amp;TEXT($A14,"00"),Programacion!$A$5:$A$304,0))&amp;" | "&amp;INDEX(Programacion!$H$5:$H$304,MATCH(TEXT($B$3,"yyyymmdd")&amp;"-"&amp;TEXT($A14,"00"),Programacion!$A$5:$A$304,0))&amp;"-"&amp;INDEX(Programacion!$I$5:$I$304,MATCH(TEXT($B$3,"yyyymmdd")&amp;"-"&amp;TEXT($A14,"00"),Programacion!$A$5:$A$304,0)),"")</x:f>
        <x:v>N18-N19 | N18-N19</x:v>
      </x:c>
      <x:c r="F14" s="33" t="str">
        <x:f>IFERROR(INDEX(Programacion!$M$5:$M$304,MATCH(TEXT($B$3,"yyyymmdd")&amp;"-"&amp;TEXT($A14,"00"),Programacion!$A$5:$A$304,0)),"")</x:f>
        <x:v>Excavación de zanja</x:v>
      </x:c>
      <x:c r="G14" s="33" t="n">
        <x:f>IFERROR(INDEX(Programacion!$O$5:$O$304,MATCH(TEXT($B$3,"yyyymmdd")&amp;"-"&amp;TEXT($A14,"00"),Programacion!$A$5:$A$304,0)),"")</x:f>
        <x:v>25</x:v>
      </x:c>
      <x:c r="H14" s="33" t="str">
        <x:f>IFERROR(INDEX(Programacion!$N$5:$N$304,MATCH(TEXT($B$3,"yyyymmdd")&amp;"-"&amp;TEXT($A14,"00"),Programacion!$A$5:$A$304,0)),"")</x:f>
        <x:v>ml</x:v>
      </x:c>
      <x:c r="I14" s="34" t="n">
        <x:f>IFERROR(INDEX(Programacion!$Q$5:$Q$304,MATCH(TEXT($B$3,"yyyymmdd")&amp;"-"&amp;TEXT($A14,"00"),Programacion!$A$5:$A$304,0)),"")</x:f>
        <x:v>0.3020833333333333</x:v>
      </x:c>
      <x:c r="J14" s="34" t="n">
        <x:f>IFERROR(INDEX(Programacion!$R$5:$R$304,MATCH(TEXT($B$3,"yyyymmdd")&amp;"-"&amp;TEXT($A14,"00"),Programacion!$A$5:$A$304,0)),"")</x:f>
        <x:v>0.34375</x:v>
      </x:c>
      <x:c r="K14" s="35" t="n">
        <x:f>IFERROR(INDEX(Programacion!$S$5:$S$304,MATCH(TEXT($B$3,"yyyymmdd")&amp;"-"&amp;TEXT($A14,"00"),Programacion!$A$5:$A$304,0)),"")</x:f>
        <x:v>1.0000000000000004</x:v>
      </x:c>
      <x:c r="L14" s="22" t="n">
        <x:f>IFERROR(INDEX(Programacion!$U$5:$U$304,MATCH(TEXT($B$3,"yyyymmdd")&amp;"-"&amp;TEXT($A14,"00"),Programacion!$A$5:$A$304,0)),"")</x:f>
        <x:v>2</x:v>
      </x:c>
      <x:c r="M14" s="33" t="str">
        <x:f>IFERROR(INDEX(Programacion!$V$5:$V$304,MATCH(TEXT($B$3,"yyyymmdd")&amp;"-"&amp;TEXT($A14,"00"),Programacion!$A$5:$A$304,0)),"")</x:f>
        <x:v>Martin y Jere</x:v>
      </x:c>
      <x:c r="N14" s="33" t="str">
        <x:f>IFERROR(INDEX(Programacion!$W$5:$W$304,MATCH(TEXT($B$3,"yyyymmdd")&amp;"-"&amp;TEXT($A14,"00"),Programacion!$A$5:$A$304,0)),"")</x:f>
        <x:v>B. Guevara</x:v>
      </x:c>
      <x:c r="O14" s="33" t="str">
        <x:f>IFERROR(INDEX(Programacion!$AB$5:$AB$304,MATCH(TEXT($B$3,"yyyymmdd")&amp;"-"&amp;TEXT($A14,"00"),Programacion!$A$5:$A$304,0)),"")</x:f>
      </x:c>
      <x:c r="P14" s="35" t="str">
        <x:f>IFERROR(INDEX(Programacion!$AE$5:$AE$304,MATCH(TEXT($B$3,"yyyymmdd")&amp;"-"&amp;TEXT($A14,"00"),Programacion!$A$5:$A$304,0)),"")</x:f>
      </x:c>
    </x:row>
    <x:row r="15" ht="37.5" customHeight="1">
      <x:c r="A15" s="22">
        <x:v>2</x:v>
      </x:c>
      <x:c r="B15" s="33" t="str">
        <x:f>IFERROR(INDEX(Programacion!$T$5:$T$304,MATCH(TEXT($B$3,"yyyymmdd")&amp;"-"&amp;TEXT($A15,"00"),Programacion!$A$5:$A$304,0)),"")</x:f>
        <x:v>C-01</x:v>
      </x:c>
      <x:c r="C15" s="33" t="str">
        <x:f>IFERROR(INDEX(Programacion!$D$5:$D$304,MATCH(TEXT($B$3,"yyyymmdd")&amp;"-"&amp;TEXT($A15,"00"),Programacion!$A$5:$A$304,0)),"")</x:f>
        <x:v>SEC014-N26-N18</x:v>
      </x:c>
      <x:c r="D15" s="22" t="str">
        <x:f>IFERROR(INDEX(Programacion!$F$5:$F$304,MATCH(TEXT($B$3,"yyyymmdd")&amp;"-"&amp;TEXT($A15,"00"),Programacion!$A$5:$A$304,0)),"")</x:f>
        <x:v>MzaD</x:v>
      </x:c>
      <x:c r="E15" s="33" t="str">
        <x:f>IFERROR(INDEX(Programacion!$J$5:$J$304,MATCH(TEXT($B$3,"yyyymmdd")&amp;"-"&amp;TEXT($A15,"00"),Programacion!$A$5:$A$304,0))&amp;" | "&amp;INDEX(Programacion!$H$5:$H$304,MATCH(TEXT($B$3,"yyyymmdd")&amp;"-"&amp;TEXT($A15,"00"),Programacion!$A$5:$A$304,0))&amp;"-"&amp;INDEX(Programacion!$I$5:$I$304,MATCH(TEXT($B$3,"yyyymmdd")&amp;"-"&amp;TEXT($A15,"00"),Programacion!$A$5:$A$304,0)),"")</x:f>
        <x:v>N26-N18 | N26-N18</x:v>
      </x:c>
      <x:c r="F15" s="33" t="str">
        <x:f>IFERROR(INDEX(Programacion!$M$5:$M$304,MATCH(TEXT($B$3,"yyyymmdd")&amp;"-"&amp;TEXT($A15,"00"),Programacion!$A$5:$A$304,0)),"")</x:f>
        <x:v>Excavación de zanja</x:v>
      </x:c>
      <x:c r="G15" s="33" t="n">
        <x:f>IFERROR(INDEX(Programacion!$O$5:$O$304,MATCH(TEXT($B$3,"yyyymmdd")&amp;"-"&amp;TEXT($A15,"00"),Programacion!$A$5:$A$304,0)),"")</x:f>
        <x:v>70</x:v>
      </x:c>
      <x:c r="H15" s="33" t="str">
        <x:f>IFERROR(INDEX(Programacion!$N$5:$N$304,MATCH(TEXT($B$3,"yyyymmdd")&amp;"-"&amp;TEXT($A15,"00"),Programacion!$A$5:$A$304,0)),"")</x:f>
        <x:v>ml</x:v>
      </x:c>
      <x:c r="I15" s="34" t="n">
        <x:f>IFERROR(INDEX(Programacion!$Q$5:$Q$304,MATCH(TEXT($B$3,"yyyymmdd")&amp;"-"&amp;TEXT($A15,"00"),Programacion!$A$5:$A$304,0)),"")</x:f>
        <x:v>0.3020833333333333</x:v>
      </x:c>
      <x:c r="J15" s="34" t="n">
        <x:f>IFERROR(INDEX(Programacion!$R$5:$R$304,MATCH(TEXT($B$3,"yyyymmdd")&amp;"-"&amp;TEXT($A15,"00"),Programacion!$A$5:$A$304,0)),"")</x:f>
        <x:v>0.375</x:v>
      </x:c>
      <x:c r="K15" s="35" t="n">
        <x:f>IFERROR(INDEX(Programacion!$S$5:$S$304,MATCH(TEXT($B$3,"yyyymmdd")&amp;"-"&amp;TEXT($A15,"00"),Programacion!$A$5:$A$304,0)),"")</x:f>
        <x:v>1.7500000000000004</x:v>
      </x:c>
      <x:c r="L15" s="22" t="n">
        <x:f>IFERROR(INDEX(Programacion!$U$5:$U$304,MATCH(TEXT($B$3,"yyyymmdd")&amp;"-"&amp;TEXT($A15,"00"),Programacion!$A$5:$A$304,0)),"")</x:f>
        <x:v>2</x:v>
      </x:c>
      <x:c r="M15" s="33" t="str">
        <x:f>IFERROR(INDEX(Programacion!$V$5:$V$304,MATCH(TEXT($B$3,"yyyymmdd")&amp;"-"&amp;TEXT($A15,"00"),Programacion!$A$5:$A$304,0)),"")</x:f>
        <x:v>Daniel P y Lolo , DG</x:v>
      </x:c>
      <x:c r="N15" s="33" t="str">
        <x:f>IFERROR(INDEX(Programacion!$W$5:$W$304,MATCH(TEXT($B$3,"yyyymmdd")&amp;"-"&amp;TEXT($A15,"00"),Programacion!$A$5:$A$304,0)),"")</x:f>
        <x:v>B. Guevara</x:v>
      </x:c>
      <x:c r="O15" s="33" t="str">
        <x:f>IFERROR(INDEX(Programacion!$AB$5:$AB$304,MATCH(TEXT($B$3,"yyyymmdd")&amp;"-"&amp;TEXT($A15,"00"),Programacion!$A$5:$A$304,0)),"")</x:f>
      </x:c>
      <x:c r="P15" s="35" t="str">
        <x:f>IFERROR(INDEX(Programacion!$AE$5:$AE$304,MATCH(TEXT($B$3,"yyyymmdd")&amp;"-"&amp;TEXT($A15,"00"),Programacion!$A$5:$A$304,0)),"")</x:f>
      </x:c>
    </x:row>
    <x:row r="16" ht="37.5" customHeight="1">
      <x:c r="A16" s="22">
        <x:v>3</x:v>
      </x:c>
      <x:c r="B16" s="33" t="str">
        <x:f>IFERROR(INDEX(Programacion!$T$5:$T$304,MATCH(TEXT($B$3,"yyyymmdd")&amp;"-"&amp;TEXT($A16,"00"),Programacion!$A$5:$A$304,0)),"")</x:f>
        <x:v>C-03</x:v>
      </x:c>
      <x:c r="C16" s="33" t="str">
        <x:f>IFERROR(INDEX(Programacion!$D$5:$D$304,MATCH(TEXT($B$3,"yyyymmdd")&amp;"-"&amp;TEXT($A16,"00"),Programacion!$A$5:$A$304,0)),"")</x:f>
        <x:v>SEC010-N28-N27</x:v>
      </x:c>
      <x:c r="D16" s="22" t="str">
        <x:f>IFERROR(INDEX(Programacion!$F$5:$F$304,MATCH(TEXT($B$3,"yyyymmdd")&amp;"-"&amp;TEXT($A16,"00"),Programacion!$A$5:$A$304,0)),"")</x:f>
        <x:v>MzaC</x:v>
      </x:c>
      <x:c r="E16" s="33" t="str">
        <x:f>IFERROR(INDEX(Programacion!$J$5:$J$304,MATCH(TEXT($B$3,"yyyymmdd")&amp;"-"&amp;TEXT($A16,"00"),Programacion!$A$5:$A$304,0))&amp;" | "&amp;INDEX(Programacion!$H$5:$H$304,MATCH(TEXT($B$3,"yyyymmdd")&amp;"-"&amp;TEXT($A16,"00"),Programacion!$A$5:$A$304,0))&amp;"-"&amp;INDEX(Programacion!$I$5:$I$304,MATCH(TEXT($B$3,"yyyymmdd")&amp;"-"&amp;TEXT($A16,"00"),Programacion!$A$5:$A$304,0)),"")</x:f>
        <x:v>N28-N27 | N28-N27</x:v>
      </x:c>
      <x:c r="F16" s="33" t="str">
        <x:f>IFERROR(INDEX(Programacion!$M$5:$M$304,MATCH(TEXT($B$3,"yyyymmdd")&amp;"-"&amp;TEXT($A16,"00"),Programacion!$A$5:$A$304,0)),"")</x:f>
        <x:v>Cama de asiento compactada</x:v>
      </x:c>
      <x:c r="G16" s="33" t="n">
        <x:f>IFERROR(INDEX(Programacion!$O$5:$O$304,MATCH(TEXT($B$3,"yyyymmdd")&amp;"-"&amp;TEXT($A16,"00"),Programacion!$A$5:$A$304,0)),"")</x:f>
        <x:v>199</x:v>
      </x:c>
      <x:c r="H16" s="33" t="str">
        <x:f>IFERROR(INDEX(Programacion!$N$5:$N$304,MATCH(TEXT($B$3,"yyyymmdd")&amp;"-"&amp;TEXT($A16,"00"),Programacion!$A$5:$A$304,0)),"")</x:f>
        <x:v>ml</x:v>
      </x:c>
      <x:c r="I16" s="34" t="n">
        <x:f>IFERROR(INDEX(Programacion!$Q$5:$Q$304,MATCH(TEXT($B$3,"yyyymmdd")&amp;"-"&amp;TEXT($A16,"00"),Programacion!$A$5:$A$304,0)),"")</x:f>
        <x:v>0.3020833333333333</x:v>
      </x:c>
      <x:c r="J16" s="34" t="n">
        <x:f>IFERROR(INDEX(Programacion!$R$5:$R$304,MATCH(TEXT($B$3,"yyyymmdd")&amp;"-"&amp;TEXT($A16,"00"),Programacion!$A$5:$A$304,0)),"")</x:f>
        <x:v>0.34375</x:v>
      </x:c>
      <x:c r="K16" s="35" t="n">
        <x:f>IFERROR(INDEX(Programacion!$S$5:$S$304,MATCH(TEXT($B$3,"yyyymmdd")&amp;"-"&amp;TEXT($A16,"00"),Programacion!$A$5:$A$304,0)),"")</x:f>
        <x:v>1.0000000000000004</x:v>
      </x:c>
      <x:c r="L16" s="22" t="n">
        <x:f>IFERROR(INDEX(Programacion!$U$5:$U$304,MATCH(TEXT($B$3,"yyyymmdd")&amp;"-"&amp;TEXT($A16,"00"),Programacion!$A$5:$A$304,0)),"")</x:f>
        <x:v>4</x:v>
      </x:c>
      <x:c r="M16" s="33" t="str">
        <x:f>IFERROR(INDEX(Programacion!$V$5:$V$304,MATCH(TEXT($B$3,"yyyymmdd")&amp;"-"&amp;TEXT($A16,"00"),Programacion!$A$5:$A$304,0)),"")</x:f>
        <x:v>Aguirre, Juan, David y DG</x:v>
      </x:c>
      <x:c r="N16" s="33" t="str">
        <x:f>IFERROR(INDEX(Programacion!$W$5:$W$304,MATCH(TEXT($B$3,"yyyymmdd")&amp;"-"&amp;TEXT($A16,"00"),Programacion!$A$5:$A$304,0)),"")</x:f>
        <x:v>B. Guevara</x:v>
      </x:c>
      <x:c r="O16" s="33" t="str">
        <x:f>IFERROR(INDEX(Programacion!$AB$5:$AB$304,MATCH(TEXT($B$3,"yyyymmdd")&amp;"-"&amp;TEXT($A16,"00"),Programacion!$A$5:$A$304,0)),"")</x:f>
      </x:c>
      <x:c r="P16" s="35" t="str">
        <x:f>IFERROR(INDEX(Programacion!$AE$5:$AE$304,MATCH(TEXT($B$3,"yyyymmdd")&amp;"-"&amp;TEXT($A16,"00"),Programacion!$A$5:$A$304,0)),"")</x:f>
      </x:c>
    </x:row>
    <x:row r="17" ht="37.5" customHeight="1">
      <x:c r="A17" s="22">
        <x:v>4</x:v>
      </x:c>
      <x:c r="B17" s="33" t="str">
        <x:f>IFERROR(INDEX(Programacion!$T$5:$T$304,MATCH(TEXT($B$3,"yyyymmdd")&amp;"-"&amp;TEXT($A17,"00"),Programacion!$A$5:$A$304,0)),"")</x:f>
      </x:c>
      <x:c r="C17" s="33" t="str">
        <x:f>IFERROR(INDEX(Programacion!$D$5:$D$304,MATCH(TEXT($B$3,"yyyymmdd")&amp;"-"&amp;TEXT($A17,"00"),Programacion!$A$5:$A$304,0)),"")</x:f>
      </x:c>
      <x:c r="D17" s="22" t="str">
        <x:f>IFERROR(INDEX(Programacion!$F$5:$F$304,MATCH(TEXT($B$3,"yyyymmdd")&amp;"-"&amp;TEXT($A17,"00"),Programacion!$A$5:$A$304,0)),"")</x:f>
      </x:c>
      <x:c r="E17" s="33" t="str">
        <x:f>IFERROR(INDEX(Programacion!$J$5:$J$304,MATCH(TEXT($B$3,"yyyymmdd")&amp;"-"&amp;TEXT($A17,"00"),Programacion!$A$5:$A$304,0))&amp;" | "&amp;INDEX(Programacion!$H$5:$H$304,MATCH(TEXT($B$3,"yyyymmdd")&amp;"-"&amp;TEXT($A17,"00"),Programacion!$A$5:$A$304,0))&amp;"-"&amp;INDEX(Programacion!$I$5:$I$304,MATCH(TEXT($B$3,"yyyymmdd")&amp;"-"&amp;TEXT($A17,"00"),Programacion!$A$5:$A$304,0)),"")</x:f>
      </x:c>
      <x:c r="F17" s="33" t="str">
        <x:f>IFERROR(INDEX(Programacion!$M$5:$M$304,MATCH(TEXT($B$3,"yyyymmdd")&amp;"-"&amp;TEXT($A17,"00"),Programacion!$A$5:$A$304,0)),"")</x:f>
      </x:c>
      <x:c r="G17" s="33" t="str">
        <x:f>IFERROR(INDEX(Programacion!$O$5:$O$304,MATCH(TEXT($B$3,"yyyymmdd")&amp;"-"&amp;TEXT($A17,"00"),Programacion!$A$5:$A$304,0)),"")</x:f>
      </x:c>
      <x:c r="H17" s="33" t="str">
        <x:f>IFERROR(INDEX(Programacion!$N$5:$N$304,MATCH(TEXT($B$3,"yyyymmdd")&amp;"-"&amp;TEXT($A17,"00"),Programacion!$A$5:$A$304,0)),"")</x:f>
      </x:c>
      <x:c r="I17" s="34" t="str">
        <x:f>IFERROR(INDEX(Programacion!$Q$5:$Q$304,MATCH(TEXT($B$3,"yyyymmdd")&amp;"-"&amp;TEXT($A17,"00"),Programacion!$A$5:$A$304,0)),"")</x:f>
      </x:c>
      <x:c r="J17" s="34" t="str">
        <x:f>IFERROR(INDEX(Programacion!$R$5:$R$304,MATCH(TEXT($B$3,"yyyymmdd")&amp;"-"&amp;TEXT($A17,"00"),Programacion!$A$5:$A$304,0)),"")</x:f>
      </x:c>
      <x:c r="K17" s="35" t="str">
        <x:f>IFERROR(INDEX(Programacion!$S$5:$S$304,MATCH(TEXT($B$3,"yyyymmdd")&amp;"-"&amp;TEXT($A17,"00"),Programacion!$A$5:$A$304,0)),"")</x:f>
      </x:c>
      <x:c r="L17" s="22" t="str">
        <x:f>IFERROR(INDEX(Programacion!$U$5:$U$304,MATCH(TEXT($B$3,"yyyymmdd")&amp;"-"&amp;TEXT($A17,"00"),Programacion!$A$5:$A$304,0)),"")</x:f>
      </x:c>
      <x:c r="M17" s="33" t="str">
        <x:f>IFERROR(INDEX(Programacion!$V$5:$V$304,MATCH(TEXT($B$3,"yyyymmdd")&amp;"-"&amp;TEXT($A17,"00"),Programacion!$A$5:$A$304,0)),"")</x:f>
      </x:c>
      <x:c r="N17" s="33" t="str">
        <x:f>IFERROR(INDEX(Programacion!$W$5:$W$304,MATCH(TEXT($B$3,"yyyymmdd")&amp;"-"&amp;TEXT($A17,"00"),Programacion!$A$5:$A$304,0)),"")</x:f>
      </x:c>
      <x:c r="O17" s="33" t="str">
        <x:f>IFERROR(INDEX(Programacion!$AB$5:$AB$304,MATCH(TEXT($B$3,"yyyymmdd")&amp;"-"&amp;TEXT($A17,"00"),Programacion!$A$5:$A$304,0)),"")</x:f>
      </x:c>
      <x:c r="P17" s="35" t="str">
        <x:f>IFERROR(INDEX(Programacion!$AE$5:$AE$304,MATCH(TEXT($B$3,"yyyymmdd")&amp;"-"&amp;TEXT($A17,"00"),Programacion!$A$5:$A$304,0)),"")</x:f>
      </x:c>
    </x:row>
    <x:row r="18" ht="19.149999618530273" customHeight="1">
      <x:c r="A18" s="22">
        <x:v>5</x:v>
      </x:c>
      <x:c r="B18" s="44" t="str">
        <x:f>IFERROR(INDEX(Programacion!$T$5:$T$304,MATCH(TEXT($B$3,"yyyymmdd")&amp;"-"&amp;TEXT($A18,"00"),Programacion!$A$5:$A$304,0)),"")</x:f>
      </x:c>
      <x:c r="C18" s="44" t="str">
        <x:f>IFERROR(INDEX(Programacion!$D$5:$D$304,MATCH(TEXT($B$3,"yyyymmdd")&amp;"-"&amp;TEXT($A18,"00"),Programacion!$A$5:$A$304,0)),"")</x:f>
      </x:c>
      <x:c r="D18" s="44" t="str">
        <x:f>IFERROR(INDEX(Programacion!$F$5:$F$304,MATCH(TEXT($B$3,"yyyymmdd")&amp;"-"&amp;TEXT($A18,"00"),Programacion!$A$5:$A$304,0)),"")</x:f>
      </x:c>
      <x:c r="E18" s="44" t="str">
        <x:f>IFERROR(INDEX(Programacion!$J$5:$J$304,MATCH(TEXT($B$3,"yyyymmdd")&amp;"-"&amp;TEXT($A18,"00"),Programacion!$A$5:$A$304,0))&amp;" | "&amp;INDEX(Programacion!$H$5:$H$304,MATCH(TEXT($B$3,"yyyymmdd")&amp;"-"&amp;TEXT($A18,"00"),Programacion!$A$5:$A$304,0))&amp;"-"&amp;INDEX(Programacion!$I$5:$I$304,MATCH(TEXT($B$3,"yyyymmdd")&amp;"-"&amp;TEXT($A18,"00"),Programacion!$A$5:$A$304,0)),"")</x:f>
      </x:c>
      <x:c r="F18" s="44" t="str">
        <x:f>IFERROR(INDEX(Programacion!$M$5:$M$304,MATCH(TEXT($B$3,"yyyymmdd")&amp;"-"&amp;TEXT($A18,"00"),Programacion!$A$5:$A$304,0)),"")</x:f>
      </x:c>
      <x:c r="G18" s="44" t="str">
        <x:f>IFERROR(INDEX(Programacion!$O$5:$O$304,MATCH(TEXT($B$3,"yyyymmdd")&amp;"-"&amp;TEXT($A18,"00"),Programacion!$A$5:$A$304,0)),"")</x:f>
      </x:c>
      <x:c r="H18" s="44" t="str">
        <x:f>IFERROR(INDEX(Programacion!$N$5:$N$304,MATCH(TEXT($B$3,"yyyymmdd")&amp;"-"&amp;TEXT($A18,"00"),Programacion!$A$5:$A$304,0)),"")</x:f>
      </x:c>
      <x:c r="I18" s="12" t="str">
        <x:f>IFERROR(INDEX(Programacion!$Q$5:$Q$304,MATCH(TEXT($B$3,"yyyymmdd")&amp;"-"&amp;TEXT($A18,"00"),Programacion!$A$5:$A$304,0)),"")</x:f>
      </x:c>
      <x:c r="J18" s="12" t="str">
        <x:f>IFERROR(INDEX(Programacion!$R$5:$R$304,MATCH(TEXT($B$3,"yyyymmdd")&amp;"-"&amp;TEXT($A18,"00"),Programacion!$A$5:$A$304,0)),"")</x:f>
      </x:c>
      <x:c r="K18" s="13" t="str">
        <x:f>IFERROR(INDEX(Programacion!$S$5:$S$304,MATCH(TEXT($B$3,"yyyymmdd")&amp;"-"&amp;TEXT($A18,"00"),Programacion!$A$5:$A$304,0)),"")</x:f>
      </x:c>
      <x:c r="L18" s="44" t="str">
        <x:f>IFERROR(INDEX(Programacion!$U$5:$U$304,MATCH(TEXT($B$3,"yyyymmdd")&amp;"-"&amp;TEXT($A18,"00"),Programacion!$A$5:$A$304,0)),"")</x:f>
      </x:c>
      <x:c r="M18" s="44" t="str">
        <x:f>IFERROR(INDEX(Programacion!$V$5:$V$304,MATCH(TEXT($B$3,"yyyymmdd")&amp;"-"&amp;TEXT($A18,"00"),Programacion!$A$5:$A$304,0)),"")</x:f>
      </x:c>
      <x:c r="N18" s="44" t="str">
        <x:f>IFERROR(INDEX(Programacion!$W$5:$W$304,MATCH(TEXT($B$3,"yyyymmdd")&amp;"-"&amp;TEXT($A18,"00"),Programacion!$A$5:$A$304,0)),"")</x:f>
      </x:c>
      <x:c r="O18" s="44" t="str">
        <x:f>IFERROR(INDEX(Programacion!$AB$5:$AB$304,MATCH(TEXT($B$3,"yyyymmdd")&amp;"-"&amp;TEXT($A18,"00"),Programacion!$A$5:$A$304,0)),"")</x:f>
      </x:c>
      <x:c r="P18" s="13" t="str">
        <x:f>IFERROR(INDEX(Programacion!$AE$5:$AE$304,MATCH(TEXT($B$3,"yyyymmdd")&amp;"-"&amp;TEXT($A18,"00"),Programacion!$A$5:$A$304,0)),"")</x:f>
      </x:c>
    </x:row>
    <x:row r="19" ht="19.149999618530273" customHeight="1">
      <x:c r="A19" s="22">
        <x:v>6</x:v>
      </x:c>
      <x:c r="B19" s="44" t="str">
        <x:f>IFERROR(INDEX(Programacion!$T$5:$T$304,MATCH(TEXT($B$3,"yyyymmdd")&amp;"-"&amp;TEXT($A19,"00"),Programacion!$A$5:$A$304,0)),"")</x:f>
      </x:c>
      <x:c r="C19" s="44" t="str">
        <x:f>IFERROR(INDEX(Programacion!$D$5:$D$304,MATCH(TEXT($B$3,"yyyymmdd")&amp;"-"&amp;TEXT($A19,"00"),Programacion!$A$5:$A$304,0)),"")</x:f>
      </x:c>
      <x:c r="D19" s="44" t="str">
        <x:f>IFERROR(INDEX(Programacion!$F$5:$F$304,MATCH(TEXT($B$3,"yyyymmdd")&amp;"-"&amp;TEXT($A19,"00"),Programacion!$A$5:$A$304,0)),"")</x:f>
      </x:c>
      <x:c r="E19" s="44" t="str">
        <x:f>IFERROR(INDEX(Programacion!$J$5:$J$304,MATCH(TEXT($B$3,"yyyymmdd")&amp;"-"&amp;TEXT($A19,"00"),Programacion!$A$5:$A$304,0))&amp;" | "&amp;INDEX(Programacion!$H$5:$H$304,MATCH(TEXT($B$3,"yyyymmdd")&amp;"-"&amp;TEXT($A19,"00"),Programacion!$A$5:$A$304,0))&amp;"-"&amp;INDEX(Programacion!$I$5:$I$304,MATCH(TEXT($B$3,"yyyymmdd")&amp;"-"&amp;TEXT($A19,"00"),Programacion!$A$5:$A$304,0)),"")</x:f>
      </x:c>
      <x:c r="F19" s="44" t="str">
        <x:f>IFERROR(INDEX(Programacion!$M$5:$M$304,MATCH(TEXT($B$3,"yyyymmdd")&amp;"-"&amp;TEXT($A19,"00"),Programacion!$A$5:$A$304,0)),"")</x:f>
      </x:c>
      <x:c r="G19" s="44" t="str">
        <x:f>IFERROR(INDEX(Programacion!$O$5:$O$304,MATCH(TEXT($B$3,"yyyymmdd")&amp;"-"&amp;TEXT($A19,"00"),Programacion!$A$5:$A$304,0)),"")</x:f>
      </x:c>
      <x:c r="H19" s="44" t="str">
        <x:f>IFERROR(INDEX(Programacion!$N$5:$N$304,MATCH(TEXT($B$3,"yyyymmdd")&amp;"-"&amp;TEXT($A19,"00"),Programacion!$A$5:$A$304,0)),"")</x:f>
      </x:c>
      <x:c r="I19" s="12" t="str">
        <x:f>IFERROR(INDEX(Programacion!$Q$5:$Q$304,MATCH(TEXT($B$3,"yyyymmdd")&amp;"-"&amp;TEXT($A19,"00"),Programacion!$A$5:$A$304,0)),"")</x:f>
      </x:c>
      <x:c r="J19" s="12" t="str">
        <x:f>IFERROR(INDEX(Programacion!$R$5:$R$304,MATCH(TEXT($B$3,"yyyymmdd")&amp;"-"&amp;TEXT($A19,"00"),Programacion!$A$5:$A$304,0)),"")</x:f>
      </x:c>
      <x:c r="K19" s="13" t="str">
        <x:f>IFERROR(INDEX(Programacion!$S$5:$S$304,MATCH(TEXT($B$3,"yyyymmdd")&amp;"-"&amp;TEXT($A19,"00"),Programacion!$A$5:$A$304,0)),"")</x:f>
      </x:c>
      <x:c r="L19" s="44" t="str">
        <x:f>IFERROR(INDEX(Programacion!$U$5:$U$304,MATCH(TEXT($B$3,"yyyymmdd")&amp;"-"&amp;TEXT($A19,"00"),Programacion!$A$5:$A$304,0)),"")</x:f>
      </x:c>
      <x:c r="M19" s="44" t="str">
        <x:f>IFERROR(INDEX(Programacion!$V$5:$V$304,MATCH(TEXT($B$3,"yyyymmdd")&amp;"-"&amp;TEXT($A19,"00"),Programacion!$A$5:$A$304,0)),"")</x:f>
      </x:c>
      <x:c r="N19" s="44" t="str">
        <x:f>IFERROR(INDEX(Programacion!$W$5:$W$304,MATCH(TEXT($B$3,"yyyymmdd")&amp;"-"&amp;TEXT($A19,"00"),Programacion!$A$5:$A$304,0)),"")</x:f>
      </x:c>
      <x:c r="O19" s="44" t="str">
        <x:f>IFERROR(INDEX(Programacion!$AB$5:$AB$304,MATCH(TEXT($B$3,"yyyymmdd")&amp;"-"&amp;TEXT($A19,"00"),Programacion!$A$5:$A$304,0)),"")</x:f>
      </x:c>
      <x:c r="P19" s="13" t="str">
        <x:f>IFERROR(INDEX(Programacion!$AE$5:$AE$304,MATCH(TEXT($B$3,"yyyymmdd")&amp;"-"&amp;TEXT($A19,"00"),Programacion!$A$5:$A$304,0)),"")</x:f>
      </x:c>
    </x:row>
    <x:row r="20" ht="19.149999618530273" customHeight="1">
      <x:c r="A20" s="22">
        <x:v>7</x:v>
      </x:c>
      <x:c r="B20" s="44" t="str">
        <x:f>IFERROR(INDEX(Programacion!$T$5:$T$304,MATCH(TEXT($B$3,"yyyymmdd")&amp;"-"&amp;TEXT($A20,"00"),Programacion!$A$5:$A$304,0)),"")</x:f>
      </x:c>
      <x:c r="C20" s="44" t="str">
        <x:f>IFERROR(INDEX(Programacion!$D$5:$D$304,MATCH(TEXT($B$3,"yyyymmdd")&amp;"-"&amp;TEXT($A20,"00"),Programacion!$A$5:$A$304,0)),"")</x:f>
      </x:c>
      <x:c r="D20" s="44" t="str">
        <x:f>IFERROR(INDEX(Programacion!$F$5:$F$304,MATCH(TEXT($B$3,"yyyymmdd")&amp;"-"&amp;TEXT($A20,"00"),Programacion!$A$5:$A$304,0)),"")</x:f>
      </x:c>
      <x:c r="E20" s="44" t="str">
        <x:f>IFERROR(INDEX(Programacion!$J$5:$J$304,MATCH(TEXT($B$3,"yyyymmdd")&amp;"-"&amp;TEXT($A20,"00"),Programacion!$A$5:$A$304,0))&amp;" | "&amp;INDEX(Programacion!$H$5:$H$304,MATCH(TEXT($B$3,"yyyymmdd")&amp;"-"&amp;TEXT($A20,"00"),Programacion!$A$5:$A$304,0))&amp;"-"&amp;INDEX(Programacion!$I$5:$I$304,MATCH(TEXT($B$3,"yyyymmdd")&amp;"-"&amp;TEXT($A20,"00"),Programacion!$A$5:$A$304,0)),"")</x:f>
      </x:c>
      <x:c r="F20" s="44" t="str">
        <x:f>IFERROR(INDEX(Programacion!$M$5:$M$304,MATCH(TEXT($B$3,"yyyymmdd")&amp;"-"&amp;TEXT($A20,"00"),Programacion!$A$5:$A$304,0)),"")</x:f>
      </x:c>
      <x:c r="G20" s="44" t="str">
        <x:f>IFERROR(INDEX(Programacion!$O$5:$O$304,MATCH(TEXT($B$3,"yyyymmdd")&amp;"-"&amp;TEXT($A20,"00"),Programacion!$A$5:$A$304,0)),"")</x:f>
      </x:c>
      <x:c r="H20" s="44" t="str">
        <x:f>IFERROR(INDEX(Programacion!$N$5:$N$304,MATCH(TEXT($B$3,"yyyymmdd")&amp;"-"&amp;TEXT($A20,"00"),Programacion!$A$5:$A$304,0)),"")</x:f>
      </x:c>
      <x:c r="I20" s="12" t="str">
        <x:f>IFERROR(INDEX(Programacion!$Q$5:$Q$304,MATCH(TEXT($B$3,"yyyymmdd")&amp;"-"&amp;TEXT($A20,"00"),Programacion!$A$5:$A$304,0)),"")</x:f>
      </x:c>
      <x:c r="J20" s="12" t="str">
        <x:f>IFERROR(INDEX(Programacion!$R$5:$R$304,MATCH(TEXT($B$3,"yyyymmdd")&amp;"-"&amp;TEXT($A20,"00"),Programacion!$A$5:$A$304,0)),"")</x:f>
      </x:c>
      <x:c r="K20" s="13" t="str">
        <x:f>IFERROR(INDEX(Programacion!$S$5:$S$304,MATCH(TEXT($B$3,"yyyymmdd")&amp;"-"&amp;TEXT($A20,"00"),Programacion!$A$5:$A$304,0)),"")</x:f>
      </x:c>
      <x:c r="L20" s="44" t="str">
        <x:f>IFERROR(INDEX(Programacion!$U$5:$U$304,MATCH(TEXT($B$3,"yyyymmdd")&amp;"-"&amp;TEXT($A20,"00"),Programacion!$A$5:$A$304,0)),"")</x:f>
      </x:c>
      <x:c r="M20" s="44" t="str">
        <x:f>IFERROR(INDEX(Programacion!$V$5:$V$304,MATCH(TEXT($B$3,"yyyymmdd")&amp;"-"&amp;TEXT($A20,"00"),Programacion!$A$5:$A$304,0)),"")</x:f>
      </x:c>
      <x:c r="N20" s="44" t="str">
        <x:f>IFERROR(INDEX(Programacion!$W$5:$W$304,MATCH(TEXT($B$3,"yyyymmdd")&amp;"-"&amp;TEXT($A20,"00"),Programacion!$A$5:$A$304,0)),"")</x:f>
      </x:c>
      <x:c r="O20" s="44" t="str">
        <x:f>IFERROR(INDEX(Programacion!$AB$5:$AB$304,MATCH(TEXT($B$3,"yyyymmdd")&amp;"-"&amp;TEXT($A20,"00"),Programacion!$A$5:$A$304,0)),"")</x:f>
      </x:c>
      <x:c r="P20" s="13" t="str">
        <x:f>IFERROR(INDEX(Programacion!$AE$5:$AE$304,MATCH(TEXT($B$3,"yyyymmdd")&amp;"-"&amp;TEXT($A20,"00"),Programacion!$A$5:$A$304,0)),"")</x:f>
      </x:c>
    </x:row>
    <x:row r="21" ht="19.149999618530273" customHeight="1">
      <x:c r="A21" s="22">
        <x:v>8</x:v>
      </x:c>
      <x:c r="B21" s="44" t="str">
        <x:f>IFERROR(INDEX(Programacion!$T$5:$T$304,MATCH(TEXT($B$3,"yyyymmdd")&amp;"-"&amp;TEXT($A21,"00"),Programacion!$A$5:$A$304,0)),"")</x:f>
      </x:c>
      <x:c r="C21" s="44" t="str">
        <x:f>IFERROR(INDEX(Programacion!$D$5:$D$304,MATCH(TEXT($B$3,"yyyymmdd")&amp;"-"&amp;TEXT($A21,"00"),Programacion!$A$5:$A$304,0)),"")</x:f>
      </x:c>
      <x:c r="D21" s="44" t="str">
        <x:f>IFERROR(INDEX(Programacion!$F$5:$F$304,MATCH(TEXT($B$3,"yyyymmdd")&amp;"-"&amp;TEXT($A21,"00"),Programacion!$A$5:$A$304,0)),"")</x:f>
      </x:c>
      <x:c r="E21" s="44" t="str">
        <x:f>IFERROR(INDEX(Programacion!$J$5:$J$304,MATCH(TEXT($B$3,"yyyymmdd")&amp;"-"&amp;TEXT($A21,"00"),Programacion!$A$5:$A$304,0))&amp;" | "&amp;INDEX(Programacion!$H$5:$H$304,MATCH(TEXT($B$3,"yyyymmdd")&amp;"-"&amp;TEXT($A21,"00"),Programacion!$A$5:$A$304,0))&amp;"-"&amp;INDEX(Programacion!$I$5:$I$304,MATCH(TEXT($B$3,"yyyymmdd")&amp;"-"&amp;TEXT($A21,"00"),Programacion!$A$5:$A$304,0)),"")</x:f>
      </x:c>
      <x:c r="F21" s="44" t="str">
        <x:f>IFERROR(INDEX(Programacion!$M$5:$M$304,MATCH(TEXT($B$3,"yyyymmdd")&amp;"-"&amp;TEXT($A21,"00"),Programacion!$A$5:$A$304,0)),"")</x:f>
      </x:c>
      <x:c r="G21" s="44" t="str">
        <x:f>IFERROR(INDEX(Programacion!$O$5:$O$304,MATCH(TEXT($B$3,"yyyymmdd")&amp;"-"&amp;TEXT($A21,"00"),Programacion!$A$5:$A$304,0)),"")</x:f>
      </x:c>
      <x:c r="H21" s="44" t="str">
        <x:f>IFERROR(INDEX(Programacion!$N$5:$N$304,MATCH(TEXT($B$3,"yyyymmdd")&amp;"-"&amp;TEXT($A21,"00"),Programacion!$A$5:$A$304,0)),"")</x:f>
      </x:c>
      <x:c r="I21" s="12" t="str">
        <x:f>IFERROR(INDEX(Programacion!$Q$5:$Q$304,MATCH(TEXT($B$3,"yyyymmdd")&amp;"-"&amp;TEXT($A21,"00"),Programacion!$A$5:$A$304,0)),"")</x:f>
      </x:c>
      <x:c r="J21" s="12" t="str">
        <x:f>IFERROR(INDEX(Programacion!$R$5:$R$304,MATCH(TEXT($B$3,"yyyymmdd")&amp;"-"&amp;TEXT($A21,"00"),Programacion!$A$5:$A$304,0)),"")</x:f>
      </x:c>
      <x:c r="K21" s="13" t="str">
        <x:f>IFERROR(INDEX(Programacion!$S$5:$S$304,MATCH(TEXT($B$3,"yyyymmdd")&amp;"-"&amp;TEXT($A21,"00"),Programacion!$A$5:$A$304,0)),"")</x:f>
      </x:c>
      <x:c r="L21" s="44" t="str">
        <x:f>IFERROR(INDEX(Programacion!$U$5:$U$304,MATCH(TEXT($B$3,"yyyymmdd")&amp;"-"&amp;TEXT($A21,"00"),Programacion!$A$5:$A$304,0)),"")</x:f>
      </x:c>
      <x:c r="M21" s="44" t="str">
        <x:f>IFERROR(INDEX(Programacion!$V$5:$V$304,MATCH(TEXT($B$3,"yyyymmdd")&amp;"-"&amp;TEXT($A21,"00"),Programacion!$A$5:$A$304,0)),"")</x:f>
      </x:c>
      <x:c r="N21" s="44" t="str">
        <x:f>IFERROR(INDEX(Programacion!$W$5:$W$304,MATCH(TEXT($B$3,"yyyymmdd")&amp;"-"&amp;TEXT($A21,"00"),Programacion!$A$5:$A$304,0)),"")</x:f>
      </x:c>
      <x:c r="O21" s="44" t="str">
        <x:f>IFERROR(INDEX(Programacion!$AB$5:$AB$304,MATCH(TEXT($B$3,"yyyymmdd")&amp;"-"&amp;TEXT($A21,"00"),Programacion!$A$5:$A$304,0)),"")</x:f>
      </x:c>
      <x:c r="P21" s="13" t="str">
        <x:f>IFERROR(INDEX(Programacion!$AE$5:$AE$304,MATCH(TEXT($B$3,"yyyymmdd")&amp;"-"&amp;TEXT($A21,"00"),Programacion!$A$5:$A$304,0)),"")</x:f>
      </x:c>
    </x:row>
    <x:row r="22" ht="19.149999618530273" customHeight="1">
      <x:c r="A22" s="22">
        <x:v>9</x:v>
      </x:c>
      <x:c r="B22" s="44" t="str">
        <x:f>IFERROR(INDEX(Programacion!$T$5:$T$304,MATCH(TEXT($B$3,"yyyymmdd")&amp;"-"&amp;TEXT($A22,"00"),Programacion!$A$5:$A$304,0)),"")</x:f>
      </x:c>
      <x:c r="C22" s="44" t="str">
        <x:f>IFERROR(INDEX(Programacion!$D$5:$D$304,MATCH(TEXT($B$3,"yyyymmdd")&amp;"-"&amp;TEXT($A22,"00"),Programacion!$A$5:$A$304,0)),"")</x:f>
      </x:c>
      <x:c r="D22" s="44" t="str">
        <x:f>IFERROR(INDEX(Programacion!$F$5:$F$304,MATCH(TEXT($B$3,"yyyymmdd")&amp;"-"&amp;TEXT($A22,"00"),Programacion!$A$5:$A$304,0)),"")</x:f>
      </x:c>
      <x:c r="E22" s="44" t="str">
        <x:f>IFERROR(INDEX(Programacion!$J$5:$J$304,MATCH(TEXT($B$3,"yyyymmdd")&amp;"-"&amp;TEXT($A22,"00"),Programacion!$A$5:$A$304,0))&amp;" | "&amp;INDEX(Programacion!$H$5:$H$304,MATCH(TEXT($B$3,"yyyymmdd")&amp;"-"&amp;TEXT($A22,"00"),Programacion!$A$5:$A$304,0))&amp;"-"&amp;INDEX(Programacion!$I$5:$I$304,MATCH(TEXT($B$3,"yyyymmdd")&amp;"-"&amp;TEXT($A22,"00"),Programacion!$A$5:$A$304,0)),"")</x:f>
      </x:c>
      <x:c r="F22" s="44" t="str">
        <x:f>IFERROR(INDEX(Programacion!$M$5:$M$304,MATCH(TEXT($B$3,"yyyymmdd")&amp;"-"&amp;TEXT($A22,"00"),Programacion!$A$5:$A$304,0)),"")</x:f>
      </x:c>
      <x:c r="G22" s="44" t="str">
        <x:f>IFERROR(INDEX(Programacion!$O$5:$O$304,MATCH(TEXT($B$3,"yyyymmdd")&amp;"-"&amp;TEXT($A22,"00"),Programacion!$A$5:$A$304,0)),"")</x:f>
      </x:c>
      <x:c r="H22" s="44" t="str">
        <x:f>IFERROR(INDEX(Programacion!$N$5:$N$304,MATCH(TEXT($B$3,"yyyymmdd")&amp;"-"&amp;TEXT($A22,"00"),Programacion!$A$5:$A$304,0)),"")</x:f>
      </x:c>
      <x:c r="I22" s="12" t="str">
        <x:f>IFERROR(INDEX(Programacion!$Q$5:$Q$304,MATCH(TEXT($B$3,"yyyymmdd")&amp;"-"&amp;TEXT($A22,"00"),Programacion!$A$5:$A$304,0)),"")</x:f>
      </x:c>
      <x:c r="J22" s="12" t="str">
        <x:f>IFERROR(INDEX(Programacion!$R$5:$R$304,MATCH(TEXT($B$3,"yyyymmdd")&amp;"-"&amp;TEXT($A22,"00"),Programacion!$A$5:$A$304,0)),"")</x:f>
      </x:c>
      <x:c r="K22" s="13" t="str">
        <x:f>IFERROR(INDEX(Programacion!$S$5:$S$304,MATCH(TEXT($B$3,"yyyymmdd")&amp;"-"&amp;TEXT($A22,"00"),Programacion!$A$5:$A$304,0)),"")</x:f>
      </x:c>
      <x:c r="L22" s="44" t="str">
        <x:f>IFERROR(INDEX(Programacion!$U$5:$U$304,MATCH(TEXT($B$3,"yyyymmdd")&amp;"-"&amp;TEXT($A22,"00"),Programacion!$A$5:$A$304,0)),"")</x:f>
      </x:c>
      <x:c r="M22" s="44" t="str">
        <x:f>IFERROR(INDEX(Programacion!$V$5:$V$304,MATCH(TEXT($B$3,"yyyymmdd")&amp;"-"&amp;TEXT($A22,"00"),Programacion!$A$5:$A$304,0)),"")</x:f>
      </x:c>
      <x:c r="N22" s="44" t="str">
        <x:f>IFERROR(INDEX(Programacion!$W$5:$W$304,MATCH(TEXT($B$3,"yyyymmdd")&amp;"-"&amp;TEXT($A22,"00"),Programacion!$A$5:$A$304,0)),"")</x:f>
      </x:c>
      <x:c r="O22" s="44" t="str">
        <x:f>IFERROR(INDEX(Programacion!$AB$5:$AB$304,MATCH(TEXT($B$3,"yyyymmdd")&amp;"-"&amp;TEXT($A22,"00"),Programacion!$A$5:$A$304,0)),"")</x:f>
      </x:c>
      <x:c r="P22" s="13" t="str">
        <x:f>IFERROR(INDEX(Programacion!$AE$5:$AE$304,MATCH(TEXT($B$3,"yyyymmdd")&amp;"-"&amp;TEXT($A22,"00"),Programacion!$A$5:$A$304,0)),"")</x:f>
      </x:c>
    </x:row>
    <x:row r="23" ht="19.149999618530273" customHeight="1">
      <x:c r="A23" s="22">
        <x:v>10</x:v>
      </x:c>
      <x:c r="B23" s="44" t="str">
        <x:f>IFERROR(INDEX(Programacion!$T$5:$T$304,MATCH(TEXT($B$3,"yyyymmdd")&amp;"-"&amp;TEXT($A23,"00"),Programacion!$A$5:$A$304,0)),"")</x:f>
      </x:c>
      <x:c r="C23" s="44" t="str">
        <x:f>IFERROR(INDEX(Programacion!$D$5:$D$304,MATCH(TEXT($B$3,"yyyymmdd")&amp;"-"&amp;TEXT($A23,"00"),Programacion!$A$5:$A$304,0)),"")</x:f>
      </x:c>
      <x:c r="D23" s="44" t="str">
        <x:f>IFERROR(INDEX(Programacion!$F$5:$F$304,MATCH(TEXT($B$3,"yyyymmdd")&amp;"-"&amp;TEXT($A23,"00"),Programacion!$A$5:$A$304,0)),"")</x:f>
      </x:c>
      <x:c r="E23" s="44" t="str">
        <x:f>IFERROR(INDEX(Programacion!$J$5:$J$304,MATCH(TEXT($B$3,"yyyymmdd")&amp;"-"&amp;TEXT($A23,"00"),Programacion!$A$5:$A$304,0))&amp;" | "&amp;INDEX(Programacion!$H$5:$H$304,MATCH(TEXT($B$3,"yyyymmdd")&amp;"-"&amp;TEXT($A23,"00"),Programacion!$A$5:$A$304,0))&amp;"-"&amp;INDEX(Programacion!$I$5:$I$304,MATCH(TEXT($B$3,"yyyymmdd")&amp;"-"&amp;TEXT($A23,"00"),Programacion!$A$5:$A$304,0)),"")</x:f>
      </x:c>
      <x:c r="F23" s="44" t="str">
        <x:f>IFERROR(INDEX(Programacion!$M$5:$M$304,MATCH(TEXT($B$3,"yyyymmdd")&amp;"-"&amp;TEXT($A23,"00"),Programacion!$A$5:$A$304,0)),"")</x:f>
      </x:c>
      <x:c r="G23" s="44" t="str">
        <x:f>IFERROR(INDEX(Programacion!$O$5:$O$304,MATCH(TEXT($B$3,"yyyymmdd")&amp;"-"&amp;TEXT($A23,"00"),Programacion!$A$5:$A$304,0)),"")</x:f>
      </x:c>
      <x:c r="H23" s="44" t="str">
        <x:f>IFERROR(INDEX(Programacion!$N$5:$N$304,MATCH(TEXT($B$3,"yyyymmdd")&amp;"-"&amp;TEXT($A23,"00"),Programacion!$A$5:$A$304,0)),"")</x:f>
      </x:c>
      <x:c r="I23" s="12" t="str">
        <x:f>IFERROR(INDEX(Programacion!$Q$5:$Q$304,MATCH(TEXT($B$3,"yyyymmdd")&amp;"-"&amp;TEXT($A23,"00"),Programacion!$A$5:$A$304,0)),"")</x:f>
      </x:c>
      <x:c r="J23" s="12" t="str">
        <x:f>IFERROR(INDEX(Programacion!$R$5:$R$304,MATCH(TEXT($B$3,"yyyymmdd")&amp;"-"&amp;TEXT($A23,"00"),Programacion!$A$5:$A$304,0)),"")</x:f>
      </x:c>
      <x:c r="K23" s="13" t="str">
        <x:f>IFERROR(INDEX(Programacion!$S$5:$S$304,MATCH(TEXT($B$3,"yyyymmdd")&amp;"-"&amp;TEXT($A23,"00"),Programacion!$A$5:$A$304,0)),"")</x:f>
      </x:c>
      <x:c r="L23" s="44" t="str">
        <x:f>IFERROR(INDEX(Programacion!$U$5:$U$304,MATCH(TEXT($B$3,"yyyymmdd")&amp;"-"&amp;TEXT($A23,"00"),Programacion!$A$5:$A$304,0)),"")</x:f>
      </x:c>
      <x:c r="M23" s="44" t="str">
        <x:f>IFERROR(INDEX(Programacion!$V$5:$V$304,MATCH(TEXT($B$3,"yyyymmdd")&amp;"-"&amp;TEXT($A23,"00"),Programacion!$A$5:$A$304,0)),"")</x:f>
      </x:c>
      <x:c r="N23" s="44" t="str">
        <x:f>IFERROR(INDEX(Programacion!$W$5:$W$304,MATCH(TEXT($B$3,"yyyymmdd")&amp;"-"&amp;TEXT($A23,"00"),Programacion!$A$5:$A$304,0)),"")</x:f>
      </x:c>
      <x:c r="O23" s="44" t="str">
        <x:f>IFERROR(INDEX(Programacion!$AB$5:$AB$304,MATCH(TEXT($B$3,"yyyymmdd")&amp;"-"&amp;TEXT($A23,"00"),Programacion!$A$5:$A$304,0)),"")</x:f>
      </x:c>
      <x:c r="P23" s="13" t="str">
        <x:f>IFERROR(INDEX(Programacion!$AE$5:$AE$304,MATCH(TEXT($B$3,"yyyymmdd")&amp;"-"&amp;TEXT($A23,"00"),Programacion!$A$5:$A$304,0)),"")</x:f>
      </x:c>
    </x:row>
    <x:row r="24" ht="19.149999618530273" customHeight="1">
      <x:c r="A24" s="22">
        <x:v>11</x:v>
      </x:c>
      <x:c r="B24" s="44" t="str">
        <x:f>IFERROR(INDEX(Programacion!$T$5:$T$304,MATCH(TEXT($B$3,"yyyymmdd")&amp;"-"&amp;TEXT($A24,"00"),Programacion!$A$5:$A$304,0)),"")</x:f>
      </x:c>
      <x:c r="C24" s="44" t="str">
        <x:f>IFERROR(INDEX(Programacion!$D$5:$D$304,MATCH(TEXT($B$3,"yyyymmdd")&amp;"-"&amp;TEXT($A24,"00"),Programacion!$A$5:$A$304,0)),"")</x:f>
      </x:c>
      <x:c r="D24" s="44" t="str">
        <x:f>IFERROR(INDEX(Programacion!$F$5:$F$304,MATCH(TEXT($B$3,"yyyymmdd")&amp;"-"&amp;TEXT($A24,"00"),Programacion!$A$5:$A$304,0)),"")</x:f>
      </x:c>
      <x:c r="E24" s="44" t="str">
        <x:f>IFERROR(INDEX(Programacion!$J$5:$J$304,MATCH(TEXT($B$3,"yyyymmdd")&amp;"-"&amp;TEXT($A24,"00"),Programacion!$A$5:$A$304,0))&amp;" | "&amp;INDEX(Programacion!$H$5:$H$304,MATCH(TEXT($B$3,"yyyymmdd")&amp;"-"&amp;TEXT($A24,"00"),Programacion!$A$5:$A$304,0))&amp;"-"&amp;INDEX(Programacion!$I$5:$I$304,MATCH(TEXT($B$3,"yyyymmdd")&amp;"-"&amp;TEXT($A24,"00"),Programacion!$A$5:$A$304,0)),"")</x:f>
      </x:c>
      <x:c r="F24" s="44" t="str">
        <x:f>IFERROR(INDEX(Programacion!$M$5:$M$304,MATCH(TEXT($B$3,"yyyymmdd")&amp;"-"&amp;TEXT($A24,"00"),Programacion!$A$5:$A$304,0)),"")</x:f>
      </x:c>
      <x:c r="G24" s="44" t="str">
        <x:f>IFERROR(INDEX(Programacion!$O$5:$O$304,MATCH(TEXT($B$3,"yyyymmdd")&amp;"-"&amp;TEXT($A24,"00"),Programacion!$A$5:$A$304,0)),"")</x:f>
      </x:c>
      <x:c r="H24" s="44" t="str">
        <x:f>IFERROR(INDEX(Programacion!$N$5:$N$304,MATCH(TEXT($B$3,"yyyymmdd")&amp;"-"&amp;TEXT($A24,"00"),Programacion!$A$5:$A$304,0)),"")</x:f>
      </x:c>
      <x:c r="I24" s="12" t="str">
        <x:f>IFERROR(INDEX(Programacion!$Q$5:$Q$304,MATCH(TEXT($B$3,"yyyymmdd")&amp;"-"&amp;TEXT($A24,"00"),Programacion!$A$5:$A$304,0)),"")</x:f>
      </x:c>
      <x:c r="J24" s="12" t="str">
        <x:f>IFERROR(INDEX(Programacion!$R$5:$R$304,MATCH(TEXT($B$3,"yyyymmdd")&amp;"-"&amp;TEXT($A24,"00"),Programacion!$A$5:$A$304,0)),"")</x:f>
      </x:c>
      <x:c r="K24" s="13" t="str">
        <x:f>IFERROR(INDEX(Programacion!$S$5:$S$304,MATCH(TEXT($B$3,"yyyymmdd")&amp;"-"&amp;TEXT($A24,"00"),Programacion!$A$5:$A$304,0)),"")</x:f>
      </x:c>
      <x:c r="L24" s="44" t="str">
        <x:f>IFERROR(INDEX(Programacion!$U$5:$U$304,MATCH(TEXT($B$3,"yyyymmdd")&amp;"-"&amp;TEXT($A24,"00"),Programacion!$A$5:$A$304,0)),"")</x:f>
      </x:c>
      <x:c r="M24" s="44" t="str">
        <x:f>IFERROR(INDEX(Programacion!$V$5:$V$304,MATCH(TEXT($B$3,"yyyymmdd")&amp;"-"&amp;TEXT($A24,"00"),Programacion!$A$5:$A$304,0)),"")</x:f>
      </x:c>
      <x:c r="N24" s="44" t="str">
        <x:f>IFERROR(INDEX(Programacion!$W$5:$W$304,MATCH(TEXT($B$3,"yyyymmdd")&amp;"-"&amp;TEXT($A24,"00"),Programacion!$A$5:$A$304,0)),"")</x:f>
      </x:c>
      <x:c r="O24" s="44" t="str">
        <x:f>IFERROR(INDEX(Programacion!$AB$5:$AB$304,MATCH(TEXT($B$3,"yyyymmdd")&amp;"-"&amp;TEXT($A24,"00"),Programacion!$A$5:$A$304,0)),"")</x:f>
      </x:c>
      <x:c r="P24" s="13" t="str">
        <x:f>IFERROR(INDEX(Programacion!$AE$5:$AE$304,MATCH(TEXT($B$3,"yyyymmdd")&amp;"-"&amp;TEXT($A24,"00"),Programacion!$A$5:$A$304,0)),"")</x:f>
      </x:c>
    </x:row>
    <x:row r="25" ht="19.149999618530273" customHeight="1">
      <x:c r="A25" s="22">
        <x:v>12</x:v>
      </x:c>
      <x:c r="B25" s="44" t="str">
        <x:f>IFERROR(INDEX(Programacion!$T$5:$T$304,MATCH(TEXT($B$3,"yyyymmdd")&amp;"-"&amp;TEXT($A25,"00"),Programacion!$A$5:$A$304,0)),"")</x:f>
      </x:c>
      <x:c r="C25" s="44" t="str">
        <x:f>IFERROR(INDEX(Programacion!$D$5:$D$304,MATCH(TEXT($B$3,"yyyymmdd")&amp;"-"&amp;TEXT($A25,"00"),Programacion!$A$5:$A$304,0)),"")</x:f>
      </x:c>
      <x:c r="D25" s="44" t="str">
        <x:f>IFERROR(INDEX(Programacion!$F$5:$F$304,MATCH(TEXT($B$3,"yyyymmdd")&amp;"-"&amp;TEXT($A25,"00"),Programacion!$A$5:$A$304,0)),"")</x:f>
      </x:c>
      <x:c r="E25" s="44" t="str">
        <x:f>IFERROR(INDEX(Programacion!$J$5:$J$304,MATCH(TEXT($B$3,"yyyymmdd")&amp;"-"&amp;TEXT($A25,"00"),Programacion!$A$5:$A$304,0))&amp;" | "&amp;INDEX(Programacion!$H$5:$H$304,MATCH(TEXT($B$3,"yyyymmdd")&amp;"-"&amp;TEXT($A25,"00"),Programacion!$A$5:$A$304,0))&amp;"-"&amp;INDEX(Programacion!$I$5:$I$304,MATCH(TEXT($B$3,"yyyymmdd")&amp;"-"&amp;TEXT($A25,"00"),Programacion!$A$5:$A$304,0)),"")</x:f>
      </x:c>
      <x:c r="F25" s="44" t="str">
        <x:f>IFERROR(INDEX(Programacion!$M$5:$M$304,MATCH(TEXT($B$3,"yyyymmdd")&amp;"-"&amp;TEXT($A25,"00"),Programacion!$A$5:$A$304,0)),"")</x:f>
      </x:c>
      <x:c r="G25" s="44" t="str">
        <x:f>IFERROR(INDEX(Programacion!$O$5:$O$304,MATCH(TEXT($B$3,"yyyymmdd")&amp;"-"&amp;TEXT($A25,"00"),Programacion!$A$5:$A$304,0)),"")</x:f>
      </x:c>
      <x:c r="H25" s="44" t="str">
        <x:f>IFERROR(INDEX(Programacion!$N$5:$N$304,MATCH(TEXT($B$3,"yyyymmdd")&amp;"-"&amp;TEXT($A25,"00"),Programacion!$A$5:$A$304,0)),"")</x:f>
      </x:c>
      <x:c r="I25" s="12" t="str">
        <x:f>IFERROR(INDEX(Programacion!$Q$5:$Q$304,MATCH(TEXT($B$3,"yyyymmdd")&amp;"-"&amp;TEXT($A25,"00"),Programacion!$A$5:$A$304,0)),"")</x:f>
      </x:c>
      <x:c r="J25" s="12" t="str">
        <x:f>IFERROR(INDEX(Programacion!$R$5:$R$304,MATCH(TEXT($B$3,"yyyymmdd")&amp;"-"&amp;TEXT($A25,"00"),Programacion!$A$5:$A$304,0)),"")</x:f>
      </x:c>
      <x:c r="K25" s="13" t="str">
        <x:f>IFERROR(INDEX(Programacion!$S$5:$S$304,MATCH(TEXT($B$3,"yyyymmdd")&amp;"-"&amp;TEXT($A25,"00"),Programacion!$A$5:$A$304,0)),"")</x:f>
      </x:c>
      <x:c r="L25" s="44" t="str">
        <x:f>IFERROR(INDEX(Programacion!$U$5:$U$304,MATCH(TEXT($B$3,"yyyymmdd")&amp;"-"&amp;TEXT($A25,"00"),Programacion!$A$5:$A$304,0)),"")</x:f>
      </x:c>
      <x:c r="M25" s="44" t="str">
        <x:f>IFERROR(INDEX(Programacion!$V$5:$V$304,MATCH(TEXT($B$3,"yyyymmdd")&amp;"-"&amp;TEXT($A25,"00"),Programacion!$A$5:$A$304,0)),"")</x:f>
      </x:c>
      <x:c r="N25" s="44" t="str">
        <x:f>IFERROR(INDEX(Programacion!$W$5:$W$304,MATCH(TEXT($B$3,"yyyymmdd")&amp;"-"&amp;TEXT($A25,"00"),Programacion!$A$5:$A$304,0)),"")</x:f>
      </x:c>
      <x:c r="O25" s="44" t="str">
        <x:f>IFERROR(INDEX(Programacion!$AB$5:$AB$304,MATCH(TEXT($B$3,"yyyymmdd")&amp;"-"&amp;TEXT($A25,"00"),Programacion!$A$5:$A$304,0)),"")</x:f>
      </x:c>
      <x:c r="P25" s="13" t="str">
        <x:f>IFERROR(INDEX(Programacion!$AE$5:$AE$304,MATCH(TEXT($B$3,"yyyymmdd")&amp;"-"&amp;TEXT($A25,"00"),Programacion!$A$5:$A$304,0)),"")</x:f>
      </x:c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</x:row>
    <x:row r="27">
      <x:c r="A27" s="56" t="s">
        <x:v>370</x:v>
      </x:c>
      <x:c r="B27" s="56"/>
      <x:c r="C27" s="56"/>
      <x:c r="D27" s="56"/>
      <x:c r="E27" s="56"/>
      <x:c r="F27" s="56"/>
      <x:c r="G27" s="56"/>
      <x:c r="H27" s="56"/>
      <x:c r="I27" s="56"/>
      <x:c r="J27" s="56"/>
      <x:c r="K27" s="56"/>
      <x:c r="L27" s="56"/>
      <x:c r="M27" s="56"/>
      <x:c r="N27" s="56"/>
      <x:c r="O27" s="56"/>
      <x:c r="P27" s="56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</x:row>
    <x:row r="29">
      <x:c r="A29" s="52"/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</x:row>
    <x:row r="30">
      <x:c r="A30" s="52"/>
      <x:c r="B30" s="52"/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</x:row>
    <x:row r="32" ht="27.600000381469727">
      <x:c r="A32" s="5" t="s">
        <x:v>371</x:v>
      </x:c>
      <x:c r="B32" s="5" t="s">
        <x:v>99</x:v>
      </x:c>
      <x:c r="C32" s="44"/>
      <x:c r="D32" s="44"/>
      <x:c r="E32" s="44"/>
      <x:c r="F32" s="44"/>
      <x:c r="G32" s="44"/>
      <x:c r="H32" s="44"/>
      <x:c r="I32" s="44"/>
      <x:c r="J32" s="57" t="s">
        <x:v>372</x:v>
      </x:c>
      <x:c r="K32" s="57"/>
      <x:c r="L32" s="57"/>
      <x:c r="M32" s="57"/>
      <x:c r="N32" s="57"/>
      <x:c r="O32" s="57"/>
      <x:c r="P32" s="57"/>
    </x:row>
    <x:row r="33" ht="27.600000381469727">
      <x:c r="A33" s="44" t="s">
        <x:v>373</x:v>
      </x:c>
      <x:c r="B33" s="14" t="n">
        <x:f>SUM(K14:K25)</x:f>
        <x:v>3.7500000000000013</x:v>
      </x:c>
      <x:c r="C33" s="44"/>
      <x:c r="D33" s="44"/>
      <x:c r="E33" s="44"/>
      <x:c r="F33" s="44"/>
      <x:c r="G33" s="44"/>
      <x:c r="H33" s="44"/>
      <x:c r="I33" s="44"/>
      <x:c r="J33" s="57"/>
      <x:c r="K33" s="57"/>
      <x:c r="L33" s="57"/>
      <x:c r="M33" s="57"/>
      <x:c r="N33" s="57"/>
      <x:c r="O33" s="57"/>
      <x:c r="P33" s="57"/>
    </x:row>
    <x:row r="34" ht="27.600000381469727">
      <x:c r="A34" s="44" t="s">
        <x:v>374</x:v>
      </x:c>
      <x:c r="B34" s="14" t="n">
        <x:f>SUM(P14:P25)</x:f>
        <x:v>0</x:v>
      </x:c>
      <x:c r="C34" s="44"/>
      <x:c r="D34" s="44"/>
      <x:c r="E34" s="44"/>
      <x:c r="F34" s="44"/>
      <x:c r="G34" s="44"/>
      <x:c r="H34" s="44"/>
      <x:c r="I34" s="44"/>
      <x:c r="J34" s="57"/>
      <x:c r="K34" s="57"/>
      <x:c r="L34" s="57"/>
      <x:c r="M34" s="57"/>
      <x:c r="N34" s="57"/>
      <x:c r="O34" s="57"/>
      <x:c r="P34" s="57"/>
    </x:row>
    <x:row r="35" ht="27.600000381469727">
      <x:c r="A35" s="44" t="s">
        <x:v>375</x:v>
      </x:c>
      <x:c r="B35" s="14" t="n">
        <x:f>SUMPRODUCT(K14:K25,L14:L25)</x:f>
        <x:v>9.500000000000004</x:v>
      </x:c>
      <x:c r="C35" s="44"/>
      <x:c r="D35" s="44"/>
      <x:c r="E35" s="44"/>
      <x:c r="F35" s="44"/>
      <x:c r="G35" s="44"/>
      <x:c r="H35" s="44"/>
      <x:c r="I35" s="44"/>
      <x:c r="J35" s="57"/>
      <x:c r="K35" s="57"/>
      <x:c r="L35" s="57"/>
      <x:c r="M35" s="57"/>
      <x:c r="N35" s="57"/>
      <x:c r="O35" s="57"/>
      <x:c r="P35" s="57"/>
    </x:row>
    <x:row r="36" ht="27.600000381469727">
      <x:c r="A36" s="44" t="s">
        <x:v>376</x:v>
      </x:c>
      <x:c r="B36" s="14" t="n">
        <x:f>SUMPRODUCT(P14:P25,L14:L25)</x:f>
        <x:v>0</x:v>
      </x:c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</x:row>
    <x:row r="37" ht="41.45000076293945">
      <x:c r="A37" s="44" t="s">
        <x:v>335</x:v>
      </x:c>
      <x:c r="B37" s="15" t="n">
        <x:f>COUNT(G14:G25)</x:f>
        <x:v>3</x:v>
      </x:c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</x:row>
  </x:sheetData>
  <x:mergeCells>
    <x:mergeCell ref="J32:P35"/>
    <x:mergeCell ref="C3:D3"/>
    <x:mergeCell ref="E3:F3"/>
    <x:mergeCell ref="G3:I3"/>
    <x:mergeCell ref="J3:K3"/>
    <x:mergeCell ref="L3:P3"/>
    <x:mergeCell ref="C4:D4"/>
    <x:mergeCell ref="E4:F4"/>
    <x:mergeCell ref="G4:H4"/>
    <x:mergeCell ref="I4:J4"/>
    <x:mergeCell ref="K4:L4"/>
    <x:mergeCell ref="M4:N4"/>
    <x:mergeCell ref="O4:P4"/>
    <x:mergeCell ref="L9:O9"/>
    <x:mergeCell ref="A27:P27"/>
    <x:mergeCell ref="A28:P30"/>
    <x:mergeCell ref="L11:O11"/>
    <x:mergeCell ref="A4:B4"/>
    <x:mergeCell ref="A1:P1"/>
    <x:mergeCell ref="A2:P2"/>
    <x:mergeCell ref="B5:P5"/>
    <x:mergeCell ref="A7:P7"/>
    <x:mergeCell ref="L10:O10"/>
    <x:mergeCell ref="B9:E9"/>
    <x:mergeCell ref="B10:E10"/>
    <x:mergeCell ref="B11:E11"/>
    <x:mergeCell ref="G9:J9"/>
    <x:mergeCell ref="G10:J10"/>
    <x:mergeCell ref="G11:J11"/>
  </x:mergeCells>
  <x:dataValidations count="1">
    <x:dataValidation type="list" sqref="B8 L8 G8">
      <x:formula1>"C-01,C-02,C-03,C-04,C-05,C-06,C-07,C-08,C-09,C-10"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8.75" defaultRowHeight="13.899999618530273"/>
  <x:cols>
    <x:col min="1" max="1" width="26" customWidth="1"/>
    <x:col min="2" max="2" width="20" customWidth="1"/>
    <x:col min="3" max="3" width="55" customWidth="1"/>
    <x:col min="4" max="8" width="17" customWidth="1"/>
  </x:cols>
  <x:sheetData>
    <x:row r="1" ht="21">
      <x:c r="A1" s="59" t="s">
        <x:v>377</x:v>
      </x:c>
      <x:c r="B1" s="59"/>
      <x:c r="C1" s="59"/>
      <x:c r="D1" s="59"/>
      <x:c r="E1" s="59"/>
      <x:c r="F1" s="59"/>
      <x:c r="G1" s="59"/>
      <x:c r="H1" s="59"/>
    </x:row>
    <x:row r="2" ht="14.449999809265137">
      <x:c r="A2" s="48" t="s">
        <x:v>378</x:v>
      </x:c>
      <x:c r="B2" s="48"/>
      <x:c r="C2" s="48"/>
      <x:c r="D2" s="48"/>
      <x:c r="E2" s="48"/>
      <x:c r="F2" s="48"/>
      <x:c r="G2" s="48"/>
      <x:c r="H2" s="48"/>
    </x:row>
    <x:row r="4">
      <x:c r="A4" t="s">
        <x:v>379</x:v>
      </x:c>
      <x:c r="B4" s="9"/>
    </x:row>
    <x:row r="6">
      <x:c r="A6" s="1" t="s">
        <x:v>380</x:v>
      </x:c>
      <x:c r="B6" s="1" t="s">
        <x:v>99</x:v>
      </x:c>
      <x:c r="D6" s="60" t="s">
        <x:v>381</x:v>
      </x:c>
      <x:c r="E6" s="60"/>
      <x:c r="F6" s="60"/>
      <x:c r="G6" s="60"/>
      <x:c r="H6" s="60"/>
    </x:row>
    <x:row r="7">
      <x:c r="A7" t="s">
        <x:v>335</x:v>
      </x:c>
      <x:c r="B7" s="3" t="str">
        <x:f>IF($B$4="","",COUNTIF(Programacion!$B$5:$B$304,$B$4))</x:f>
      </x:c>
      <x:c r="D7" s="60"/>
      <x:c r="E7" s="60"/>
      <x:c r="F7" s="60"/>
      <x:c r="G7" s="60"/>
      <x:c r="H7" s="60"/>
    </x:row>
    <x:row r="8">
      <x:c r="A8" t="s">
        <x:v>336</x:v>
      </x:c>
      <x:c r="B8" s="3" t="str">
        <x:f>IF($B$4="","",COUNTIFS(Programacion!$B$5:$B$304,$B$4,Programacion!$AA$5:$AA$304,"Terminada"))</x:f>
      </x:c>
      <x:c r="D8" s="60"/>
      <x:c r="E8" s="60"/>
      <x:c r="F8" s="60"/>
      <x:c r="G8" s="60"/>
      <x:c r="H8" s="60"/>
    </x:row>
    <x:row r="9">
      <x:c r="A9" t="s">
        <x:v>382</x:v>
      </x:c>
      <x:c r="B9" s="4" t="str">
        <x:f>IF($B$4="","",SUMIFS(Programacion!$S$5:$S$304,Programacion!$B$5:$B$304,$B$4))</x:f>
      </x:c>
      <x:c r="D9" s="60"/>
      <x:c r="E9" s="60"/>
      <x:c r="F9" s="60"/>
      <x:c r="G9" s="60"/>
      <x:c r="H9" s="60"/>
    </x:row>
    <x:row r="10">
      <x:c r="A10" t="s">
        <x:v>383</x:v>
      </x:c>
      <x:c r="B10" s="4" t="str">
        <x:f>IF($B$4="","",SUMIFS(Programacion!$AE$5:$AE$304,Programacion!$B$5:$B$304,$B$4))</x:f>
      </x:c>
      <x:c r="D10" s="60"/>
      <x:c r="E10" s="60"/>
      <x:c r="F10" s="60"/>
      <x:c r="G10" s="60"/>
      <x:c r="H10" s="60"/>
    </x:row>
    <x:row r="11">
      <x:c r="A11" t="s">
        <x:v>384</x:v>
      </x:c>
      <x:c r="B11" s="4" t="str">
        <x:f>IF($B$4="","",SUMIFS(Programacion!$AF$5:$AF$304,Programacion!$B$5:$B$304,$B$4))</x:f>
      </x:c>
      <x:c r="D11" s="60"/>
      <x:c r="E11" s="60"/>
      <x:c r="F11" s="60"/>
      <x:c r="G11" s="60"/>
      <x:c r="H11" s="60"/>
    </x:row>
    <x:row r="12">
      <x:c r="A12" t="s">
        <x:v>315</x:v>
      </x:c>
      <x:c r="B12" s="4" t="str">
        <x:f>IF($B$4="","",SUMIFS(Programacion!$AG$5:$AG$304,Programacion!$B$5:$B$304,$B$4))</x:f>
      </x:c>
      <x:c r="D12" s="60"/>
      <x:c r="E12" s="60"/>
      <x:c r="F12" s="60"/>
      <x:c r="G12" s="60"/>
      <x:c r="H12" s="60"/>
    </x:row>
    <x:row r="13">
      <x:c r="A13" t="s">
        <x:v>337</x:v>
      </x:c>
      <x:c r="B13" s="4" t="str">
        <x:f>IF(OR(B11="",B12=""),"",B12-B11)</x:f>
      </x:c>
      <x:c r="D13" s="60"/>
      <x:c r="E13" s="60"/>
      <x:c r="F13" s="60"/>
      <x:c r="G13" s="60"/>
      <x:c r="H13" s="60"/>
    </x:row>
    <x:row r="14">
      <x:c r="A14" t="s">
        <x:v>339</x:v>
      </x:c>
      <x:c r="B14" s="3" t="str">
        <x:f>IF($B$4="","",COUNTIFS(Programacion!$B$5:$B$304,$B$4,Programacion!$Z$5:$Z$304,"No"))</x:f>
      </x:c>
      <x:c r="D14" s="60"/>
      <x:c r="E14" s="60"/>
      <x:c r="F14" s="60"/>
      <x:c r="G14" s="60"/>
      <x:c r="H14" s="60"/>
    </x:row>
    <x:row r="17">
      <x:c r="A17" s="61" t="s">
        <x:v>385</x:v>
      </x:c>
      <x:c r="B17" s="61"/>
      <x:c r="C17" s="61"/>
      <x:c r="D17" s="61"/>
      <x:c r="E17" s="61"/>
      <x:c r="F17" s="61"/>
      <x:c r="G17" s="61"/>
      <x:c r="H17" s="61"/>
    </x:row>
    <x:row r="18">
      <x:c r="A18" s="16" t="s">
        <x:v>386</x:v>
      </x:c>
      <x:c r="B18" s="16" t="s">
        <x:v>387</x:v>
      </x:c>
      <x:c r="C18" s="3" t="s">
        <x:v>388</x:v>
      </x:c>
    </x:row>
    <x:row r="19">
      <x:c r="A19" s="16" t="s">
        <x:v>389</x:v>
      </x:c>
      <x:c r="B19" s="16" t="s">
        <x:v>390</x:v>
      </x:c>
      <x:c r="C19" s="3" t="s">
        <x:v>391</x:v>
      </x:c>
    </x:row>
    <x:row r="20">
      <x:c r="A20" s="16" t="s">
        <x:v>392</x:v>
      </x:c>
      <x:c r="B20" s="16" t="s">
        <x:v>393</x:v>
      </x:c>
      <x:c r="C20" s="3" t="s">
        <x:v>394</x:v>
      </x:c>
    </x:row>
    <x:row r="21">
      <x:c r="A21" s="16" t="s">
        <x:v>395</x:v>
      </x:c>
      <x:c r="B21" s="16" t="s">
        <x:v>396</x:v>
      </x:c>
      <x:c r="C21" s="3" t="s">
        <x:v>397</x:v>
      </x:c>
    </x:row>
    <x:row r="22">
      <x:c r="A22" s="16" t="s">
        <x:v>398</x:v>
      </x:c>
      <x:c r="B22" s="16" t="s">
        <x:v>399</x:v>
      </x:c>
      <x:c r="C22" s="3" t="s">
        <x:v>400</x:v>
      </x:c>
    </x:row>
    <x:row r="23">
      <x:c r="A23" s="16" t="s">
        <x:v>401</x:v>
      </x:c>
      <x:c r="B23" s="16" t="s">
        <x:v>402</x:v>
      </x:c>
      <x:c r="C23" s="3" t="s">
        <x:v>403</x:v>
      </x:c>
    </x:row>
  </x:sheetData>
  <x:mergeCells>
    <x:mergeCell ref="A1:H1"/>
    <x:mergeCell ref="A2:H2"/>
    <x:mergeCell ref="D6:H14"/>
    <x:mergeCell ref="A17:H17"/>
  </x:mergeCells>
  <x:conditionalFormatting sqref="B13:B13">
    <x:cfRule type="expression" dxfId="1" priority="1">
      <x:formula>B13&gt;0.5</x:formula>
    </x:cfRule>
  </x:conditionalFormatting>
  <x:conditionalFormatting sqref="B14:B14">
    <x:cfRule type="expression" dxfId="0" priority="2">
      <x:formula>B14&gt;0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6" customHeight="1">
      <x:c r="A1" s="120" t="str">
        <x:v>ECAR | LISTAS DE CONTROL</x:v>
      </x:c>
      <x:c r="B1" s="120"/>
      <x:c r="C1" s="120"/>
      <x:c r="D1" s="120"/>
      <x:c r="E1" s="120"/>
    </x:row>
    <x:row r="3">
      <x:c r="A3" s="125" t="str">
        <x:v>Estados tarea</x:v>
      </x:c>
      <x:c r="B3" s="125" t="str">
        <x:v>Motivos de desvío</x:v>
      </x:c>
      <x:c r="C3" s="125" t="str">
        <x:v>Equipos</x:v>
      </x:c>
      <x:c r="D3" s="125" t="str">
        <x:v>Estado acción</x:v>
      </x:c>
      <x:c r="E3" s="125" t="str">
        <x:v>Responsables / Áreas</x:v>
      </x:c>
    </x:row>
    <x:row r="4">
      <x:c r="A4" t="str">
        <x:v>Planificada</x:v>
      </x:c>
      <x:c r="B4" t="str">
        <x:v>Sin desvío</x:v>
      </x:c>
      <x:c r="C4" t="str">
        <x:v>Retropala HMK</x:v>
      </x:c>
      <x:c r="D4" t="str">
        <x:v>Pendiente</x:v>
      </x:c>
      <x:c r="E4" t="str">
        <x:v>B. Guevara</x:v>
      </x:c>
    </x:row>
    <x:row r="5">
      <x:c r="A5" t="str">
        <x:v>En ejecución</x:v>
      </x:c>
      <x:c r="B5" t="str">
        <x:v>Falta de material</x:v>
      </x:c>
      <x:c r="C5" t="str">
        <x:v>Retropala Maxion</x:v>
      </x:c>
      <x:c r="D5" t="str">
        <x:v>En curso</x:v>
      </x:c>
      <x:c r="E5" t="str">
        <x:v>Gerencia de Obras</x:v>
      </x:c>
    </x:row>
    <x:row r="6">
      <x:c r="A6" t="str">
        <x:v>Terminada</x:v>
      </x:c>
      <x:c r="B6" t="str">
        <x:v>Falta de equipo</x:v>
      </x:c>
      <x:c r="C6" t="str">
        <x:v>Minicargadora CAT D236</x:v>
      </x:c>
      <x:c r="D6" t="str">
        <x:v>Resuelta</x:v>
      </x:c>
      <x:c r="E6" t="str">
        <x:v>Gerencia General</x:v>
      </x:c>
    </x:row>
    <x:row r="7">
      <x:c r="A7" t="str">
        <x:v>Reprogramada</x:v>
      </x:c>
      <x:c r="B7" t="str">
        <x:v>Rotura de equipo</x:v>
      </x:c>
      <x:c r="C7" t="str">
        <x:v>Compactador placa</x:v>
      </x:c>
      <x:c r="D7" t="str">
        <x:v>No aplica</x:v>
      </x:c>
      <x:c r="E7" t="str">
        <x:v>Logística</x:v>
      </x:c>
    </x:row>
    <x:row r="8">
      <x:c r="A8" t="str">
        <x:v>Detenida</x:v>
      </x:c>
      <x:c r="B8" t="str">
        <x:v>Falta de herramienta</x:v>
      </x:c>
      <x:c r="C8" t="str">
        <x:v>Grupo electrógeno 7000 W</x:v>
      </x:c>
      <x:c r="D8"/>
      <x:c r="E8" t="str">
        <x:v>Compras</x:v>
      </x:c>
    </x:row>
    <x:row r="9">
      <x:c r="A9" t="str">
        <x:v>Cancelada</x:v>
      </x:c>
      <x:c r="B9" t="str">
        <x:v>Falta de personal</x:v>
      </x:c>
      <x:c r="C9" t="str">
        <x:v>Electrofusora ECAR</x:v>
      </x:c>
      <x:c r="D9"/>
      <x:c r="E9" t="str">
        <x:v>Proyectos y Presupuestos</x:v>
      </x:c>
    </x:row>
    <x:row r="10">
      <x:c r="A10" t="str">
        <x:v>No iniciada</x:v>
      </x:c>
      <x:c r="B10" t="str">
        <x:v>Interferencia</x:v>
      </x:c>
      <x:c r="C10" t="str">
        <x:v>Camión</x:v>
      </x:c>
      <x:c r="D10"/>
      <x:c r="E10" t="str">
        <x:v>RRHH</x:v>
      </x:c>
    </x:row>
    <x:row r="11">
      <x:c r="A11"/>
      <x:c r="B11" t="str">
        <x:v>Espera de inspección</x:v>
      </x:c>
      <x:c r="C11" t="str">
        <x:v>Camión regador</x:v>
      </x:c>
      <x:c r="D11"/>
      <x:c r="E11" t="str">
        <x:v>Otro</x:v>
      </x:c>
    </x:row>
    <x:row r="12">
      <x:c r="A12"/>
      <x:c r="B12" t="str">
        <x:v>Espera OSSE</x:v>
      </x:c>
      <x:c r="C12" t="str">
        <x:v>Motobomba Honda</x:v>
      </x:c>
      <x:c r="D12"/>
      <x:c r="E12"/>
    </x:row>
    <x:row r="13">
      <x:c r="A13"/>
      <x:c r="B13" t="str">
        <x:v>Problema de replanteo</x:v>
      </x:c>
      <x:c r="C13" t="str">
        <x:v>Equipo PEAD / termofusión</x:v>
      </x:c>
      <x:c r="D13"/>
      <x:c r="E13"/>
    </x:row>
    <x:row r="14">
      <x:c r="A14"/>
      <x:c r="B14" t="str">
        <x:v>Problema de plano</x:v>
      </x:c>
      <x:c r="C14" t="str">
        <x:v>Herramientas manuales</x:v>
      </x:c>
      <x:c r="D14"/>
      <x:c r="E14"/>
    </x:row>
    <x:row r="15">
      <x:c r="A15"/>
      <x:c r="B15" t="str">
        <x:v>Clima</x:v>
      </x:c>
      <x:c r="C15" t="str">
        <x:v>Otro</x:v>
      </x:c>
      <x:c r="D15"/>
      <x:c r="E15"/>
    </x:row>
    <x:row r="16">
      <x:c r="A16"/>
      <x:c r="B16" t="str">
        <x:v>Acceso al frente</x:v>
      </x:c>
      <x:c r="C16"/>
      <x:c r="D16"/>
      <x:c r="E16"/>
    </x:row>
    <x:row r="17">
      <x:c r="A17"/>
      <x:c r="B17" t="str">
        <x:v>Seguridad</x:v>
      </x:c>
      <x:c r="C17"/>
      <x:c r="D17"/>
      <x:c r="E17"/>
    </x:row>
    <x:row r="18">
      <x:c r="A18"/>
      <x:c r="B18" t="str">
        <x:v>Logística</x:v>
      </x:c>
      <x:c r="C18"/>
      <x:c r="D18"/>
      <x:c r="E18"/>
    </x:row>
    <x:row r="19">
      <x:c r="A19"/>
      <x:c r="B19" t="str">
        <x:v>Retrabajo</x:v>
      </x:c>
      <x:c r="C19"/>
      <x:c r="D19"/>
      <x:c r="E19"/>
    </x:row>
    <x:row r="20">
      <x:c r="A20"/>
      <x:c r="B20" t="str">
        <x:v>Bajo rendimiento operativo</x:v>
      </x:c>
      <x:c r="C20"/>
      <x:c r="D20"/>
      <x:c r="E20"/>
    </x:row>
    <x:row r="21">
      <x:c r="A21"/>
      <x:c r="B21" t="str">
        <x:v>Cambio de prioridad</x:v>
      </x:c>
      <x:c r="C21"/>
      <x:c r="D21"/>
      <x:c r="E21"/>
    </x:row>
    <x:row r="22">
      <x:c r="A22"/>
      <x:c r="B22" t="str">
        <x:v>Otro</x:v>
      </x:c>
      <x:c r="C22"/>
      <x:c r="D22"/>
      <x:c r="E22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5" max="5" width="14" hidden="0" customWidth="1"/>
    <x:col min="6" max="6" width="14" hidden="0" customWidth="1"/>
    <x:col min="14" max="14" width="14" hidden="0" customWidth="1"/>
    <x:col min="17" max="17" width="14" hidden="0" customWidth="1"/>
    <x:col min="19" max="19" width="14" hidden="0" customWidth="1"/>
    <x:col min="20" max="20" width="14" hidden="0" customWidth="1"/>
    <x:col min="22" max="22" width="14" hidden="0" customWidth="1"/>
    <x:col min="23" max="23" width="14" hidden="0" customWidth="1"/>
    <x:col min="28" max="28" width="14" hidden="0" customWidth="1"/>
    <x:col min="29" max="29" width="14" hidden="0" customWidth="1"/>
    <x:col min="30" max="30" width="14" hidden="0" customWidth="1"/>
    <x:col min="32" max="32" width="14" hidden="0" customWidth="1"/>
    <x:col min="34" max="34" width="14" hidden="0" customWidth="1"/>
    <x:col min="35" max="35" width="14" hidden="0" customWidth="1"/>
    <x:col min="39" max="39" width="14" hidden="0" customWidth="1"/>
    <x:col min="43" max="43" width="14" hidden="0" customWidth="1"/>
    <x:col min="44" max="44" width="14" hidden="0" customWidth="1"/>
    <x:col min="45" max="45" width="14" hidden="0" customWidth="1"/>
    <x:col min="49" max="49" width="14" hidden="0" customWidth="1"/>
    <x:col min="51" max="51" width="14" hidden="0" customWidth="1"/>
    <x:col min="4" max="4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5" max="15" width="18" hidden="0" customWidth="1"/>
    <x:col min="16" max="16" width="18" hidden="0" customWidth="1"/>
    <x:col min="18" max="18" width="18" hidden="0" customWidth="1"/>
    <x:col min="21" max="21" width="18" hidden="0" customWidth="1"/>
    <x:col min="24" max="24" width="18" hidden="0" customWidth="1"/>
    <x:col min="25" max="25" width="18" hidden="0" customWidth="1"/>
    <x:col min="36" max="36" width="18" hidden="0" customWidth="1"/>
    <x:col min="26" max="26" width="26" hidden="0" customWidth="1"/>
    <x:col min="27" max="27" width="26" hidden="0" customWidth="1"/>
    <x:col min="46" max="46" width="26" hidden="0" customWidth="1"/>
    <x:col min="47" max="47" width="26" hidden="0" customWidth="1"/>
    <x:col min="48" max="48" width="26" hidden="0" customWidth="1"/>
    <x:col min="50" max="50" width="26" hidden="0" customWidth="1"/>
  </x:cols>
  <x:sheetData>
    <x:row r="1" ht="26" customHeight="1">
      <x:c r="A1" s="120" t="str">
        <x:v>ECAR | REGISTRO MAESTRO DE TAREAS – PLANIFICADO VS REAL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  <x:c r="Q1" s="120"/>
      <x:c r="R1" s="120"/>
      <x:c r="S1" s="120"/>
      <x:c r="T1" s="120"/>
      <x:c r="U1" s="120"/>
      <x:c r="V1" s="120"/>
      <x:c r="W1" s="120"/>
      <x:c r="X1" s="120"/>
      <x:c r="Y1" s="120"/>
      <x:c r="Z1" s="120"/>
      <x:c r="AA1" s="120"/>
      <x:c r="AB1" s="120"/>
      <x:c r="AC1" s="120"/>
      <x:c r="AD1" s="120"/>
      <x:c r="AE1" s="120"/>
      <x:c r="AF1" s="120"/>
      <x:c r="AG1" s="120"/>
      <x:c r="AH1" s="120"/>
      <x:c r="AI1" s="120"/>
      <x:c r="AJ1" s="120"/>
      <x:c r="AK1" s="120"/>
      <x:c r="AL1" s="120"/>
      <x:c r="AM1" s="120"/>
      <x:c r="AN1" s="120"/>
      <x:c r="AO1" s="120"/>
      <x:c r="AP1" s="120"/>
      <x:c r="AQ1" s="120"/>
      <x:c r="AR1" s="120"/>
      <x:c r="AS1" s="120"/>
      <x:c r="AT1" s="120"/>
      <x:c r="AU1" s="120"/>
      <x:c r="AV1" s="120"/>
      <x:c r="AW1" s="120"/>
      <x:c r="AX1" s="120"/>
      <x:c r="AY1" s="120"/>
      <x:c r="AZ1" s="120"/>
      <x:c r="BA1" s="120"/>
    </x:row>
    <x:row r="2">
      <x:c r="A2" s="128" t="str">
        <x:v>Una fila = una tarea. Primero se carga lo planificado; al terminar se completa lo real sobre el MISMO ID. Celdas azules = carga. Grises = cálculo automático.</x:v>
      </x:c>
      <x:c r="B2" s="128"/>
      <x:c r="C2" s="128"/>
      <x:c r="D2" s="128"/>
      <x:c r="E2" s="128"/>
      <x:c r="F2" s="128"/>
      <x:c r="G2" s="128"/>
      <x:c r="H2" s="128"/>
      <x:c r="I2" s="128"/>
      <x:c r="J2" s="128"/>
      <x:c r="K2" s="128"/>
      <x:c r="L2" s="128"/>
      <x:c r="M2" s="128"/>
      <x:c r="N2" s="128"/>
      <x:c r="O2" s="128"/>
      <x:c r="P2" s="128"/>
      <x:c r="Q2" s="128"/>
      <x:c r="R2" s="128"/>
      <x:c r="S2" s="128"/>
      <x:c r="T2" s="128"/>
      <x:c r="U2" s="128"/>
      <x:c r="V2" s="128"/>
      <x:c r="W2" s="128"/>
      <x:c r="X2" s="128"/>
      <x:c r="Y2" s="128"/>
      <x:c r="Z2" s="128"/>
      <x:c r="AA2" s="128"/>
      <x:c r="AB2" s="128"/>
      <x:c r="AC2" s="128"/>
      <x:c r="AD2" s="128"/>
      <x:c r="AE2" s="128"/>
      <x:c r="AF2" s="128"/>
      <x:c r="AG2" s="128"/>
      <x:c r="AH2" s="128"/>
      <x:c r="AI2" s="128"/>
      <x:c r="AJ2" s="128"/>
      <x:c r="AK2" s="128"/>
      <x:c r="AL2" s="128"/>
      <x:c r="AM2" s="128"/>
      <x:c r="AN2" s="128"/>
      <x:c r="AO2" s="128"/>
      <x:c r="AP2" s="128"/>
      <x:c r="AQ2" s="128"/>
      <x:c r="AR2" s="128"/>
      <x:c r="AS2" s="128"/>
      <x:c r="AT2" s="128"/>
      <x:c r="AU2" s="128"/>
      <x:c r="AV2" s="128"/>
      <x:c r="AW2" s="128"/>
      <x:c r="AX2" s="128"/>
      <x:c r="AY2" s="128"/>
      <x:c r="AZ2" s="128"/>
      <x:c r="BA2" s="128"/>
    </x:row>
    <x:row r="4" ht="34" customHeight="1">
      <x:c r="A4" s="134" t="str">
        <x:v>ID Tarea</x:v>
      </x:c>
      <x:c r="B4" s="134" t="str">
        <x:v>Fecha</x:v>
      </x:c>
      <x:c r="C4" s="134" t="str">
        <x:v>Hora entrega orden</x:v>
      </x:c>
      <x:c r="D4" s="134" t="str">
        <x:v>Obra</x:v>
      </x:c>
      <x:c r="E4" s="134" t="str">
        <x:v>Orden</x:v>
      </x:c>
      <x:c r="F4" s="134" t="str">
        <x:v>ID Sector</x:v>
      </x:c>
      <x:c r="G4" s="134" t="str">
        <x:v>Código fuente</x:v>
      </x:c>
      <x:c r="H4" s="134" t="str">
        <x:v>Manzana</x:v>
      </x:c>
      <x:c r="I4" s="134" t="str">
        <x:v>Pasaje</x:v>
      </x:c>
      <x:c r="J4" s="134" t="str">
        <x:v>Nodo inicial</x:v>
      </x:c>
      <x:c r="K4" s="134" t="str">
        <x:v>Nodo final</x:v>
      </x:c>
      <x:c r="L4" s="134" t="str">
        <x:v>Tramo</x:v>
      </x:c>
      <x:c r="M4" s="134" t="str">
        <x:v>Diámetro</x:v>
      </x:c>
      <x:c r="N4" s="134" t="str">
        <x:v>Cód. actividad</x:v>
      </x:c>
      <x:c r="O4" s="134" t="str">
        <x:v>Actividad</x:v>
      </x:c>
      <x:c r="P4" s="134" t="str">
        <x:v>Unidad</x:v>
      </x:c>
      <x:c r="Q4" s="134" t="str">
        <x:v>Cant. planificada</x:v>
      </x:c>
      <x:c r="R4" s="134" t="str">
        <x:v>Rend. objetivo/día</x:v>
      </x:c>
      <x:c r="S4" s="134" t="str">
        <x:v>Inicio plan</x:v>
      </x:c>
      <x:c r="T4" s="134" t="str">
        <x:v>Fin plan</x:v>
      </x:c>
      <x:c r="U4" s="134" t="str">
        <x:v>Hs plan</x:v>
      </x:c>
      <x:c r="V4" s="134" t="str">
        <x:v>Cuadrilla</x:v>
      </x:c>
      <x:c r="W4" s="134" t="str">
        <x:v>Personas plan</x:v>
      </x:c>
      <x:c r="X4" s="134" t="str">
        <x:v>Equipo plan</x:v>
      </x:c>
      <x:c r="Y4" s="134" t="str">
        <x:v>Responsable</x:v>
      </x:c>
      <x:c r="Z4" s="134" t="str">
        <x:v>Material / Insumo</x:v>
      </x:c>
      <x:c r="AA4" s="134" t="str">
        <x:v>Restricción / Seguridad</x:v>
      </x:c>
      <x:c r="AB4" s="134" t="str">
        <x:v>Estado</x:v>
      </x:c>
      <x:c r="AC4" s="134" t="str">
        <x:v>Inicio real</x:v>
      </x:c>
      <x:c r="AD4" s="134" t="str">
        <x:v>Fin real</x:v>
      </x:c>
      <x:c r="AE4" s="134" t="str">
        <x:v>Hs reales</x:v>
      </x:c>
      <x:c r="AF4" s="134" t="str">
        <x:v>Min perdidos</x:v>
      </x:c>
      <x:c r="AG4" s="134" t="str">
        <x:v>Hs productivas</x:v>
      </x:c>
      <x:c r="AH4" s="134" t="str">
        <x:v>Cant. real</x:v>
      </x:c>
      <x:c r="AI4" s="134" t="str">
        <x:v>Personal real</x:v>
      </x:c>
      <x:c r="AJ4" s="134" t="str">
        <x:v>Equipo real</x:v>
      </x:c>
      <x:c r="AK4" s="134" t="str">
        <x:v>HH plan</x:v>
      </x:c>
      <x:c r="AL4" s="134" t="str">
        <x:v>HH real</x:v>
      </x:c>
      <x:c r="AM4" s="134" t="str">
        <x:v>Cumplimiento cant.</x:v>
      </x:c>
      <x:c r="AN4" s="134" t="str">
        <x:v>Rend. real/h</x:v>
      </x:c>
      <x:c r="AO4" s="134" t="str">
        <x:v>HH/unidad</x:v>
      </x:c>
      <x:c r="AP4" s="134" t="str">
        <x:v>Utilización tiempo</x:v>
      </x:c>
      <x:c r="AQ4" s="134" t="str">
        <x:v>Índice productividad</x:v>
      </x:c>
      <x:c r="AR4" s="134" t="str">
        <x:v>Desvío Hs</x:v>
      </x:c>
      <x:c r="AS4" s="134" t="str">
        <x:v>Motivo desvío</x:v>
      </x:c>
      <x:c r="AT4" s="134" t="str">
        <x:v>Observaciones</x:v>
      </x:c>
      <x:c r="AU4" s="134" t="str">
        <x:v>Acción correctiva</x:v>
      </x:c>
      <x:c r="AV4" s="134" t="str">
        <x:v>Responsable acción</x:v>
      </x:c>
      <x:c r="AW4" s="134" t="str">
        <x:v>Fecha compromiso</x:v>
      </x:c>
      <x:c r="AX4" s="134" t="str">
        <x:v>Foto / Referencia</x:v>
      </x:c>
      <x:c r="AY4" s="134" t="str">
        <x:v>Estado acción</x:v>
      </x:c>
      <x:c r="AZ4" s="134" t="str">
        <x:v>FechaHora carga</x:v>
      </x:c>
      <x:c r="BA4" s="134" t="str">
        <x:v>FechaHora cierre</x:v>
      </x:c>
    </x:row>
    <x:row r="5">
      <x:c r="A5" s="151" t="str">
        <x:f>IF(B5="","",TEXT(B5,"yyyymmdd")&amp;"-"&amp;TEXT(COUNTIF($B$5:B5,B5),"000"))</x:f>
      </x:c>
      <x:c r="B5" s="152"/>
      <x:c r="C5" s="153"/>
      <x:c r="D5" s="151" t="str">
        <x:f>IF(B5="","",'Configuracion'!$B$4)</x:f>
      </x:c>
      <x:c r="E5" s="154"/>
      <x:c r="F5" s="154"/>
      <x:c r="G5" s="151" t="str">
        <x:f>IFERROR(VLOOKUP(F5,'Base Sectores'!$A$5:$J$47,2,FALSE),"")</x:f>
      </x:c>
      <x:c r="H5" s="151" t="str">
        <x:f>IFERROR(VLOOKUP(F5,'Base Sectores'!$A$5:$J$47,3,FALSE),"")</x:f>
      </x:c>
      <x:c r="I5" s="151" t="str">
        <x:f>IFERROR(VLOOKUP(F5,'Base Sectores'!$A$5:$J$47,4,FALSE),"")</x:f>
      </x:c>
      <x:c r="J5" s="151" t="str">
        <x:f>IFERROR(VLOOKUP(F5,'Base Sectores'!$A$5:$J$47,5,FALSE),"")</x:f>
      </x:c>
      <x:c r="K5" s="151" t="str">
        <x:f>IFERROR(VLOOKUP(F5,'Base Sectores'!$A$5:$J$47,6,FALSE),"")</x:f>
      </x:c>
      <x:c r="L5" s="151" t="str">
        <x:f>IFERROR(VLOOKUP(F5,'Base Sectores'!$A$5:$J$47,7,FALSE),"")</x:f>
      </x:c>
      <x:c r="M5" s="151" t="str">
        <x:f>IFERROR(VLOOKUP(F5,'Base Sectores'!$A$5:$J$47,9,FALSE),"")</x:f>
      </x:c>
      <x:c r="N5" s="154"/>
      <x:c r="O5" s="151" t="str">
        <x:f>IFERROR(VLOOKUP(N5,'Configuracion'!$D$4:$H$15,2,FALSE),"")</x:f>
      </x:c>
      <x:c r="P5" s="151" t="str">
        <x:f>IFERROR(VLOOKUP(N5,'Configuracion'!$D$4:$H$15,3,FALSE),"")</x:f>
      </x:c>
      <x:c r="Q5" s="155"/>
      <x:c r="R5" s="156" t="str">
        <x:f>IFERROR(VLOOKUP(N5,'Configuracion'!$D$4:$H$15,4,FALSE),"")</x:f>
      </x:c>
      <x:c r="S5" s="153"/>
      <x:c r="T5" s="153"/>
      <x:c r="U5" s="156" t="str">
        <x:f>IF(OR(S5="",T5=""),"",MOD(T5-S5,1)*24)</x:f>
      </x:c>
      <x:c r="V5" s="154"/>
      <x:c r="W5" s="154"/>
      <x:c r="X5" s="151" t="str">
        <x:f>IFERROR(VLOOKUP(N5,'Configuracion'!$D$4:$H$15,5,FALSE),"")</x:f>
      </x:c>
      <x:c r="Y5" s="151" t="str">
        <x:f>IFERROR(VLOOKUP(V5,'Cuadrillas'!$A$5:$J$14,2,FALSE),"")</x:f>
      </x:c>
      <x:c r="Z5" s="154"/>
      <x:c r="AA5" s="154"/>
      <x:c r="AB5" s="154"/>
      <x:c r="AC5" s="153"/>
      <x:c r="AD5" s="153"/>
      <x:c r="AE5" s="156" t="str">
        <x:f>IF(OR(AC5="",AD5=""),"",MOD(AD5-AC5,1)*24)</x:f>
      </x:c>
      <x:c r="AF5" s="154"/>
      <x:c r="AG5" s="156" t="str">
        <x:f>IF(AE5="","",MAX(0,AE5-IF(AF5="",0,AF5/60)))</x:f>
      </x:c>
      <x:c r="AH5" s="155"/>
      <x:c r="AI5" s="154"/>
      <x:c r="AJ5" s="154"/>
      <x:c r="AK5" s="156" t="n">
        <x:f>IFERROR(U5*W5,"")</x:f>
        <x:v>0</x:v>
      </x:c>
      <x:c r="AL5" s="156" t="n">
        <x:f>IFERROR(AE5*AI5,"")</x:f>
        <x:v>0</x:v>
      </x:c>
      <x:c r="AM5" s="157" t="str">
        <x:f>IFERROR(AH5/Q5,"")</x:f>
      </x:c>
      <x:c r="AN5" s="156" t="str">
        <x:f>IFERROR(AH5/AG5,"")</x:f>
      </x:c>
      <x:c r="AO5" s="156" t="str">
        <x:f>IFERROR(AL5/AH5,"")</x:f>
      </x:c>
      <x:c r="AP5" s="157" t="str">
        <x:f>IFERROR(AG5/AE5,"")</x:f>
      </x:c>
      <x:c r="AQ5" s="157" t="str">
        <x:f>IFERROR(AN5/(R5/'Configuracion'!$B$13),"")</x:f>
      </x:c>
      <x:c r="AR5" s="156" t="n">
        <x:f>IFERROR(AE5-U5,"")</x:f>
        <x:v>0</x:v>
      </x:c>
      <x:c r="AS5" s="154"/>
      <x:c r="AT5" s="154"/>
      <x:c r="AU5" s="154"/>
      <x:c r="AV5" s="154"/>
      <x:c r="AW5" s="152"/>
      <x:c r="AX5" s="154"/>
      <x:c r="AY5" s="154"/>
      <x:c r="AZ5" s="151"/>
      <x:c r="BA5" s="151"/>
    </x:row>
    <x:row r="6">
      <x:c r="A6" s="151" t="str">
        <x:f>IF(B6="","",TEXT(B6,"yyyymmdd")&amp;"-"&amp;TEXT(COUNTIF($B$5:B6,B6),"000"))</x:f>
      </x:c>
      <x:c r="B6" s="152"/>
      <x:c r="C6" s="153"/>
      <x:c r="D6" s="151" t="str">
        <x:f>IF(B6="","",'Configuracion'!$B$4)</x:f>
      </x:c>
      <x:c r="E6" s="154"/>
      <x:c r="F6" s="154"/>
      <x:c r="G6" s="151" t="str">
        <x:f>IFERROR(VLOOKUP(F6,'Base Sectores'!$A$5:$J$47,2,FALSE),"")</x:f>
      </x:c>
      <x:c r="H6" s="151" t="str">
        <x:f>IFERROR(VLOOKUP(F6,'Base Sectores'!$A$5:$J$47,3,FALSE),"")</x:f>
      </x:c>
      <x:c r="I6" s="151" t="str">
        <x:f>IFERROR(VLOOKUP(F6,'Base Sectores'!$A$5:$J$47,4,FALSE),"")</x:f>
      </x:c>
      <x:c r="J6" s="151" t="str">
        <x:f>IFERROR(VLOOKUP(F6,'Base Sectores'!$A$5:$J$47,5,FALSE),"")</x:f>
      </x:c>
      <x:c r="K6" s="151" t="str">
        <x:f>IFERROR(VLOOKUP(F6,'Base Sectores'!$A$5:$J$47,6,FALSE),"")</x:f>
      </x:c>
      <x:c r="L6" s="151" t="str">
        <x:f>IFERROR(VLOOKUP(F6,'Base Sectores'!$A$5:$J$47,7,FALSE),"")</x:f>
      </x:c>
      <x:c r="M6" s="151" t="str">
        <x:f>IFERROR(VLOOKUP(F6,'Base Sectores'!$A$5:$J$47,9,FALSE),"")</x:f>
      </x:c>
      <x:c r="N6" s="154"/>
      <x:c r="O6" s="151" t="str">
        <x:f>IFERROR(VLOOKUP(N6,'Configuracion'!$D$4:$H$15,2,FALSE),"")</x:f>
      </x:c>
      <x:c r="P6" s="151" t="str">
        <x:f>IFERROR(VLOOKUP(N6,'Configuracion'!$D$4:$H$15,3,FALSE),"")</x:f>
      </x:c>
      <x:c r="Q6" s="155"/>
      <x:c r="R6" s="156" t="str">
        <x:f>IFERROR(VLOOKUP(N6,'Configuracion'!$D$4:$H$15,4,FALSE),"")</x:f>
      </x:c>
      <x:c r="S6" s="153"/>
      <x:c r="T6" s="153"/>
      <x:c r="U6" s="156" t="str">
        <x:f>IF(OR(S6="",T6=""),"",MOD(T6-S6,1)*24)</x:f>
      </x:c>
      <x:c r="V6" s="154"/>
      <x:c r="W6" s="154"/>
      <x:c r="X6" s="151" t="str">
        <x:f>IFERROR(VLOOKUP(N6,'Configuracion'!$D$4:$H$15,5,FALSE),"")</x:f>
      </x:c>
      <x:c r="Y6" s="151" t="str">
        <x:f>IFERROR(VLOOKUP(V6,'Cuadrillas'!$A$5:$J$14,2,FALSE),"")</x:f>
      </x:c>
      <x:c r="Z6" s="154"/>
      <x:c r="AA6" s="154"/>
      <x:c r="AB6" s="154"/>
      <x:c r="AC6" s="153"/>
      <x:c r="AD6" s="153"/>
      <x:c r="AE6" s="156" t="str">
        <x:f>IF(OR(AC6="",AD6=""),"",MOD(AD6-AC6,1)*24)</x:f>
      </x:c>
      <x:c r="AF6" s="154"/>
      <x:c r="AG6" s="156" t="str">
        <x:f>IF(AE6="","",MAX(0,AE6-IF(AF6="",0,AF6/60)))</x:f>
      </x:c>
      <x:c r="AH6" s="155"/>
      <x:c r="AI6" s="154"/>
      <x:c r="AJ6" s="154"/>
      <x:c r="AK6" s="156" t="n">
        <x:f>IFERROR(U6*W6,"")</x:f>
        <x:v>0</x:v>
      </x:c>
      <x:c r="AL6" s="156" t="n">
        <x:f>IFERROR(AE6*AI6,"")</x:f>
        <x:v>0</x:v>
      </x:c>
      <x:c r="AM6" s="157" t="str">
        <x:f>IFERROR(AH6/Q6,"")</x:f>
      </x:c>
      <x:c r="AN6" s="156" t="str">
        <x:f>IFERROR(AH6/AG6,"")</x:f>
      </x:c>
      <x:c r="AO6" s="156" t="str">
        <x:f>IFERROR(AL6/AH6,"")</x:f>
      </x:c>
      <x:c r="AP6" s="157" t="str">
        <x:f>IFERROR(AG6/AE6,"")</x:f>
      </x:c>
      <x:c r="AQ6" s="157" t="str">
        <x:f>IFERROR(AN6/(R6/'Configuracion'!$B$13),"")</x:f>
      </x:c>
      <x:c r="AR6" s="156" t="n">
        <x:f>IFERROR(AE6-U6,"")</x:f>
        <x:v>0</x:v>
      </x:c>
      <x:c r="AS6" s="154"/>
      <x:c r="AT6" s="154"/>
      <x:c r="AU6" s="154"/>
      <x:c r="AV6" s="154"/>
      <x:c r="AW6" s="152"/>
      <x:c r="AX6" s="154"/>
      <x:c r="AY6" s="154"/>
      <x:c r="AZ6" s="151"/>
      <x:c r="BA6" s="151"/>
    </x:row>
    <x:row r="7">
      <x:c r="A7" s="151" t="str">
        <x:f>IF(B7="","",TEXT(B7,"yyyymmdd")&amp;"-"&amp;TEXT(COUNTIF($B$5:B7,B7),"000"))</x:f>
      </x:c>
      <x:c r="B7" s="152"/>
      <x:c r="C7" s="153"/>
      <x:c r="D7" s="151" t="str">
        <x:f>IF(B7="","",'Configuracion'!$B$4)</x:f>
      </x:c>
      <x:c r="E7" s="154"/>
      <x:c r="F7" s="154"/>
      <x:c r="G7" s="151" t="str">
        <x:f>IFERROR(VLOOKUP(F7,'Base Sectores'!$A$5:$J$47,2,FALSE),"")</x:f>
      </x:c>
      <x:c r="H7" s="151" t="str">
        <x:f>IFERROR(VLOOKUP(F7,'Base Sectores'!$A$5:$J$47,3,FALSE),"")</x:f>
      </x:c>
      <x:c r="I7" s="151" t="str">
        <x:f>IFERROR(VLOOKUP(F7,'Base Sectores'!$A$5:$J$47,4,FALSE),"")</x:f>
      </x:c>
      <x:c r="J7" s="151" t="str">
        <x:f>IFERROR(VLOOKUP(F7,'Base Sectores'!$A$5:$J$47,5,FALSE),"")</x:f>
      </x:c>
      <x:c r="K7" s="151" t="str">
        <x:f>IFERROR(VLOOKUP(F7,'Base Sectores'!$A$5:$J$47,6,FALSE),"")</x:f>
      </x:c>
      <x:c r="L7" s="151" t="str">
        <x:f>IFERROR(VLOOKUP(F7,'Base Sectores'!$A$5:$J$47,7,FALSE),"")</x:f>
      </x:c>
      <x:c r="M7" s="151" t="str">
        <x:f>IFERROR(VLOOKUP(F7,'Base Sectores'!$A$5:$J$47,9,FALSE),"")</x:f>
      </x:c>
      <x:c r="N7" s="154"/>
      <x:c r="O7" s="151" t="str">
        <x:f>IFERROR(VLOOKUP(N7,'Configuracion'!$D$4:$H$15,2,FALSE),"")</x:f>
      </x:c>
      <x:c r="P7" s="151" t="str">
        <x:f>IFERROR(VLOOKUP(N7,'Configuracion'!$D$4:$H$15,3,FALSE),"")</x:f>
      </x:c>
      <x:c r="Q7" s="155"/>
      <x:c r="R7" s="156" t="str">
        <x:f>IFERROR(VLOOKUP(N7,'Configuracion'!$D$4:$H$15,4,FALSE),"")</x:f>
      </x:c>
      <x:c r="S7" s="153"/>
      <x:c r="T7" s="153"/>
      <x:c r="U7" s="156" t="str">
        <x:f>IF(OR(S7="",T7=""),"",MOD(T7-S7,1)*24)</x:f>
      </x:c>
      <x:c r="V7" s="154"/>
      <x:c r="W7" s="154"/>
      <x:c r="X7" s="151" t="str">
        <x:f>IFERROR(VLOOKUP(N7,'Configuracion'!$D$4:$H$15,5,FALSE),"")</x:f>
      </x:c>
      <x:c r="Y7" s="151" t="str">
        <x:f>IFERROR(VLOOKUP(V7,'Cuadrillas'!$A$5:$J$14,2,FALSE),"")</x:f>
      </x:c>
      <x:c r="Z7" s="154"/>
      <x:c r="AA7" s="154"/>
      <x:c r="AB7" s="154"/>
      <x:c r="AC7" s="153"/>
      <x:c r="AD7" s="153"/>
      <x:c r="AE7" s="156" t="str">
        <x:f>IF(OR(AC7="",AD7=""),"",MOD(AD7-AC7,1)*24)</x:f>
      </x:c>
      <x:c r="AF7" s="154"/>
      <x:c r="AG7" s="156" t="str">
        <x:f>IF(AE7="","",MAX(0,AE7-IF(AF7="",0,AF7/60)))</x:f>
      </x:c>
      <x:c r="AH7" s="155"/>
      <x:c r="AI7" s="154"/>
      <x:c r="AJ7" s="154"/>
      <x:c r="AK7" s="156" t="n">
        <x:f>IFERROR(U7*W7,"")</x:f>
        <x:v>0</x:v>
      </x:c>
      <x:c r="AL7" s="156" t="n">
        <x:f>IFERROR(AE7*AI7,"")</x:f>
        <x:v>0</x:v>
      </x:c>
      <x:c r="AM7" s="157" t="str">
        <x:f>IFERROR(AH7/Q7,"")</x:f>
      </x:c>
      <x:c r="AN7" s="156" t="str">
        <x:f>IFERROR(AH7/AG7,"")</x:f>
      </x:c>
      <x:c r="AO7" s="156" t="str">
        <x:f>IFERROR(AL7/AH7,"")</x:f>
      </x:c>
      <x:c r="AP7" s="157" t="str">
        <x:f>IFERROR(AG7/AE7,"")</x:f>
      </x:c>
      <x:c r="AQ7" s="157" t="str">
        <x:f>IFERROR(AN7/(R7/'Configuracion'!$B$13),"")</x:f>
      </x:c>
      <x:c r="AR7" s="156" t="n">
        <x:f>IFERROR(AE7-U7,"")</x:f>
        <x:v>0</x:v>
      </x:c>
      <x:c r="AS7" s="154"/>
      <x:c r="AT7" s="154"/>
      <x:c r="AU7" s="154"/>
      <x:c r="AV7" s="154"/>
      <x:c r="AW7" s="152"/>
      <x:c r="AX7" s="154"/>
      <x:c r="AY7" s="154"/>
      <x:c r="AZ7" s="151"/>
      <x:c r="BA7" s="151"/>
    </x:row>
    <x:row r="8">
      <x:c r="A8" s="151" t="str">
        <x:f>IF(B8="","",TEXT(B8,"yyyymmdd")&amp;"-"&amp;TEXT(COUNTIF($B$5:B8,B8),"000"))</x:f>
      </x:c>
      <x:c r="B8" s="152"/>
      <x:c r="C8" s="153"/>
      <x:c r="D8" s="151" t="str">
        <x:f>IF(B8="","",'Configuracion'!$B$4)</x:f>
      </x:c>
      <x:c r="E8" s="154"/>
      <x:c r="F8" s="154"/>
      <x:c r="G8" s="151" t="str">
        <x:f>IFERROR(VLOOKUP(F8,'Base Sectores'!$A$5:$J$47,2,FALSE),"")</x:f>
      </x:c>
      <x:c r="H8" s="151" t="str">
        <x:f>IFERROR(VLOOKUP(F8,'Base Sectores'!$A$5:$J$47,3,FALSE),"")</x:f>
      </x:c>
      <x:c r="I8" s="151" t="str">
        <x:f>IFERROR(VLOOKUP(F8,'Base Sectores'!$A$5:$J$47,4,FALSE),"")</x:f>
      </x:c>
      <x:c r="J8" s="151" t="str">
        <x:f>IFERROR(VLOOKUP(F8,'Base Sectores'!$A$5:$J$47,5,FALSE),"")</x:f>
      </x:c>
      <x:c r="K8" s="151" t="str">
        <x:f>IFERROR(VLOOKUP(F8,'Base Sectores'!$A$5:$J$47,6,FALSE),"")</x:f>
      </x:c>
      <x:c r="L8" s="151" t="str">
        <x:f>IFERROR(VLOOKUP(F8,'Base Sectores'!$A$5:$J$47,7,FALSE),"")</x:f>
      </x:c>
      <x:c r="M8" s="151" t="str">
        <x:f>IFERROR(VLOOKUP(F8,'Base Sectores'!$A$5:$J$47,9,FALSE),"")</x:f>
      </x:c>
      <x:c r="N8" s="154"/>
      <x:c r="O8" s="151" t="str">
        <x:f>IFERROR(VLOOKUP(N8,'Configuracion'!$D$4:$H$15,2,FALSE),"")</x:f>
      </x:c>
      <x:c r="P8" s="151" t="str">
        <x:f>IFERROR(VLOOKUP(N8,'Configuracion'!$D$4:$H$15,3,FALSE),"")</x:f>
      </x:c>
      <x:c r="Q8" s="155"/>
      <x:c r="R8" s="156" t="str">
        <x:f>IFERROR(VLOOKUP(N8,'Configuracion'!$D$4:$H$15,4,FALSE),"")</x:f>
      </x:c>
      <x:c r="S8" s="153"/>
      <x:c r="T8" s="153"/>
      <x:c r="U8" s="156" t="str">
        <x:f>IF(OR(S8="",T8=""),"",MOD(T8-S8,1)*24)</x:f>
      </x:c>
      <x:c r="V8" s="154"/>
      <x:c r="W8" s="154"/>
      <x:c r="X8" s="151" t="str">
        <x:f>IFERROR(VLOOKUP(N8,'Configuracion'!$D$4:$H$15,5,FALSE),"")</x:f>
      </x:c>
      <x:c r="Y8" s="151" t="str">
        <x:f>IFERROR(VLOOKUP(V8,'Cuadrillas'!$A$5:$J$14,2,FALSE),"")</x:f>
      </x:c>
      <x:c r="Z8" s="154"/>
      <x:c r="AA8" s="154"/>
      <x:c r="AB8" s="154"/>
      <x:c r="AC8" s="153"/>
      <x:c r="AD8" s="153"/>
      <x:c r="AE8" s="156" t="str">
        <x:f>IF(OR(AC8="",AD8=""),"",MOD(AD8-AC8,1)*24)</x:f>
      </x:c>
      <x:c r="AF8" s="154"/>
      <x:c r="AG8" s="156" t="str">
        <x:f>IF(AE8="","",MAX(0,AE8-IF(AF8="",0,AF8/60)))</x:f>
      </x:c>
      <x:c r="AH8" s="155"/>
      <x:c r="AI8" s="154"/>
      <x:c r="AJ8" s="154"/>
      <x:c r="AK8" s="156" t="n">
        <x:f>IFERROR(U8*W8,"")</x:f>
        <x:v>0</x:v>
      </x:c>
      <x:c r="AL8" s="156" t="n">
        <x:f>IFERROR(AE8*AI8,"")</x:f>
        <x:v>0</x:v>
      </x:c>
      <x:c r="AM8" s="157" t="str">
        <x:f>IFERROR(AH8/Q8,"")</x:f>
      </x:c>
      <x:c r="AN8" s="156" t="str">
        <x:f>IFERROR(AH8/AG8,"")</x:f>
      </x:c>
      <x:c r="AO8" s="156" t="str">
        <x:f>IFERROR(AL8/AH8,"")</x:f>
      </x:c>
      <x:c r="AP8" s="157" t="str">
        <x:f>IFERROR(AG8/AE8,"")</x:f>
      </x:c>
      <x:c r="AQ8" s="157" t="str">
        <x:f>IFERROR(AN8/(R8/'Configuracion'!$B$13),"")</x:f>
      </x:c>
      <x:c r="AR8" s="156" t="n">
        <x:f>IFERROR(AE8-U8,"")</x:f>
        <x:v>0</x:v>
      </x:c>
      <x:c r="AS8" s="154"/>
      <x:c r="AT8" s="154"/>
      <x:c r="AU8" s="154"/>
      <x:c r="AV8" s="154"/>
      <x:c r="AW8" s="152"/>
      <x:c r="AX8" s="154"/>
      <x:c r="AY8" s="154"/>
      <x:c r="AZ8" s="151"/>
      <x:c r="BA8" s="151"/>
    </x:row>
    <x:row r="9">
      <x:c r="A9" s="151" t="str">
        <x:f>IF(B9="","",TEXT(B9,"yyyymmdd")&amp;"-"&amp;TEXT(COUNTIF($B$5:B9,B9),"000"))</x:f>
      </x:c>
      <x:c r="B9" s="152"/>
      <x:c r="C9" s="153"/>
      <x:c r="D9" s="151" t="str">
        <x:f>IF(B9="","",'Configuracion'!$B$4)</x:f>
      </x:c>
      <x:c r="E9" s="154"/>
      <x:c r="F9" s="154"/>
      <x:c r="G9" s="151" t="str">
        <x:f>IFERROR(VLOOKUP(F9,'Base Sectores'!$A$5:$J$47,2,FALSE),"")</x:f>
      </x:c>
      <x:c r="H9" s="151" t="str">
        <x:f>IFERROR(VLOOKUP(F9,'Base Sectores'!$A$5:$J$47,3,FALSE),"")</x:f>
      </x:c>
      <x:c r="I9" s="151" t="str">
        <x:f>IFERROR(VLOOKUP(F9,'Base Sectores'!$A$5:$J$47,4,FALSE),"")</x:f>
      </x:c>
      <x:c r="J9" s="151" t="str">
        <x:f>IFERROR(VLOOKUP(F9,'Base Sectores'!$A$5:$J$47,5,FALSE),"")</x:f>
      </x:c>
      <x:c r="K9" s="151" t="str">
        <x:f>IFERROR(VLOOKUP(F9,'Base Sectores'!$A$5:$J$47,6,FALSE),"")</x:f>
      </x:c>
      <x:c r="L9" s="151" t="str">
        <x:f>IFERROR(VLOOKUP(F9,'Base Sectores'!$A$5:$J$47,7,FALSE),"")</x:f>
      </x:c>
      <x:c r="M9" s="151" t="str">
        <x:f>IFERROR(VLOOKUP(F9,'Base Sectores'!$A$5:$J$47,9,FALSE),"")</x:f>
      </x:c>
      <x:c r="N9" s="154"/>
      <x:c r="O9" s="151" t="str">
        <x:f>IFERROR(VLOOKUP(N9,'Configuracion'!$D$4:$H$15,2,FALSE),"")</x:f>
      </x:c>
      <x:c r="P9" s="151" t="str">
        <x:f>IFERROR(VLOOKUP(N9,'Configuracion'!$D$4:$H$15,3,FALSE),"")</x:f>
      </x:c>
      <x:c r="Q9" s="155"/>
      <x:c r="R9" s="156" t="str">
        <x:f>IFERROR(VLOOKUP(N9,'Configuracion'!$D$4:$H$15,4,FALSE),"")</x:f>
      </x:c>
      <x:c r="S9" s="153"/>
      <x:c r="T9" s="153"/>
      <x:c r="U9" s="156" t="str">
        <x:f>IF(OR(S9="",T9=""),"",MOD(T9-S9,1)*24)</x:f>
      </x:c>
      <x:c r="V9" s="154"/>
      <x:c r="W9" s="154"/>
      <x:c r="X9" s="151" t="str">
        <x:f>IFERROR(VLOOKUP(N9,'Configuracion'!$D$4:$H$15,5,FALSE),"")</x:f>
      </x:c>
      <x:c r="Y9" s="151" t="str">
        <x:f>IFERROR(VLOOKUP(V9,'Cuadrillas'!$A$5:$J$14,2,FALSE),"")</x:f>
      </x:c>
      <x:c r="Z9" s="154"/>
      <x:c r="AA9" s="154"/>
      <x:c r="AB9" s="154"/>
      <x:c r="AC9" s="153"/>
      <x:c r="AD9" s="153"/>
      <x:c r="AE9" s="156" t="str">
        <x:f>IF(OR(AC9="",AD9=""),"",MOD(AD9-AC9,1)*24)</x:f>
      </x:c>
      <x:c r="AF9" s="154"/>
      <x:c r="AG9" s="156" t="str">
        <x:f>IF(AE9="","",MAX(0,AE9-IF(AF9="",0,AF9/60)))</x:f>
      </x:c>
      <x:c r="AH9" s="155"/>
      <x:c r="AI9" s="154"/>
      <x:c r="AJ9" s="154"/>
      <x:c r="AK9" s="156" t="n">
        <x:f>IFERROR(U9*W9,"")</x:f>
        <x:v>0</x:v>
      </x:c>
      <x:c r="AL9" s="156" t="n">
        <x:f>IFERROR(AE9*AI9,"")</x:f>
        <x:v>0</x:v>
      </x:c>
      <x:c r="AM9" s="157" t="str">
        <x:f>IFERROR(AH9/Q9,"")</x:f>
      </x:c>
      <x:c r="AN9" s="156" t="str">
        <x:f>IFERROR(AH9/AG9,"")</x:f>
      </x:c>
      <x:c r="AO9" s="156" t="str">
        <x:f>IFERROR(AL9/AH9,"")</x:f>
      </x:c>
      <x:c r="AP9" s="157" t="str">
        <x:f>IFERROR(AG9/AE9,"")</x:f>
      </x:c>
      <x:c r="AQ9" s="157" t="str">
        <x:f>IFERROR(AN9/(R9/'Configuracion'!$B$13),"")</x:f>
      </x:c>
      <x:c r="AR9" s="156" t="n">
        <x:f>IFERROR(AE9-U9,"")</x:f>
        <x:v>0</x:v>
      </x:c>
      <x:c r="AS9" s="154"/>
      <x:c r="AT9" s="154"/>
      <x:c r="AU9" s="154"/>
      <x:c r="AV9" s="154"/>
      <x:c r="AW9" s="152"/>
      <x:c r="AX9" s="154"/>
      <x:c r="AY9" s="154"/>
      <x:c r="AZ9" s="151"/>
      <x:c r="BA9" s="151"/>
    </x:row>
    <x:row r="10">
      <x:c r="A10" s="151" t="str">
        <x:f>IF(B10="","",TEXT(B10,"yyyymmdd")&amp;"-"&amp;TEXT(COUNTIF($B$5:B10,B10),"000"))</x:f>
      </x:c>
      <x:c r="B10" s="152"/>
      <x:c r="C10" s="153"/>
      <x:c r="D10" s="151" t="str">
        <x:f>IF(B10="","",'Configuracion'!$B$4)</x:f>
      </x:c>
      <x:c r="E10" s="154"/>
      <x:c r="F10" s="154"/>
      <x:c r="G10" s="151" t="str">
        <x:f>IFERROR(VLOOKUP(F10,'Base Sectores'!$A$5:$J$47,2,FALSE),"")</x:f>
      </x:c>
      <x:c r="H10" s="151" t="str">
        <x:f>IFERROR(VLOOKUP(F10,'Base Sectores'!$A$5:$J$47,3,FALSE),"")</x:f>
      </x:c>
      <x:c r="I10" s="151" t="str">
        <x:f>IFERROR(VLOOKUP(F10,'Base Sectores'!$A$5:$J$47,4,FALSE),"")</x:f>
      </x:c>
      <x:c r="J10" s="151" t="str">
        <x:f>IFERROR(VLOOKUP(F10,'Base Sectores'!$A$5:$J$47,5,FALSE),"")</x:f>
      </x:c>
      <x:c r="K10" s="151" t="str">
        <x:f>IFERROR(VLOOKUP(F10,'Base Sectores'!$A$5:$J$47,6,FALSE),"")</x:f>
      </x:c>
      <x:c r="L10" s="151" t="str">
        <x:f>IFERROR(VLOOKUP(F10,'Base Sectores'!$A$5:$J$47,7,FALSE),"")</x:f>
      </x:c>
      <x:c r="M10" s="151" t="str">
        <x:f>IFERROR(VLOOKUP(F10,'Base Sectores'!$A$5:$J$47,9,FALSE),"")</x:f>
      </x:c>
      <x:c r="N10" s="154"/>
      <x:c r="O10" s="151" t="str">
        <x:f>IFERROR(VLOOKUP(N10,'Configuracion'!$D$4:$H$15,2,FALSE),"")</x:f>
      </x:c>
      <x:c r="P10" s="151" t="str">
        <x:f>IFERROR(VLOOKUP(N10,'Configuracion'!$D$4:$H$15,3,FALSE),"")</x:f>
      </x:c>
      <x:c r="Q10" s="155"/>
      <x:c r="R10" s="156" t="str">
        <x:f>IFERROR(VLOOKUP(N10,'Configuracion'!$D$4:$H$15,4,FALSE),"")</x:f>
      </x:c>
      <x:c r="S10" s="153"/>
      <x:c r="T10" s="153"/>
      <x:c r="U10" s="156" t="str">
        <x:f>IF(OR(S10="",T10=""),"",MOD(T10-S10,1)*24)</x:f>
      </x:c>
      <x:c r="V10" s="154"/>
      <x:c r="W10" s="154"/>
      <x:c r="X10" s="151" t="str">
        <x:f>IFERROR(VLOOKUP(N10,'Configuracion'!$D$4:$H$15,5,FALSE),"")</x:f>
      </x:c>
      <x:c r="Y10" s="151" t="str">
        <x:f>IFERROR(VLOOKUP(V10,'Cuadrillas'!$A$5:$J$14,2,FALSE),"")</x:f>
      </x:c>
      <x:c r="Z10" s="154"/>
      <x:c r="AA10" s="154"/>
      <x:c r="AB10" s="154"/>
      <x:c r="AC10" s="153"/>
      <x:c r="AD10" s="153"/>
      <x:c r="AE10" s="156" t="str">
        <x:f>IF(OR(AC10="",AD10=""),"",MOD(AD10-AC10,1)*24)</x:f>
      </x:c>
      <x:c r="AF10" s="154"/>
      <x:c r="AG10" s="156" t="str">
        <x:f>IF(AE10="","",MAX(0,AE10-IF(AF10="",0,AF10/60)))</x:f>
      </x:c>
      <x:c r="AH10" s="155"/>
      <x:c r="AI10" s="154"/>
      <x:c r="AJ10" s="154"/>
      <x:c r="AK10" s="156" t="n">
        <x:f>IFERROR(U10*W10,"")</x:f>
        <x:v>0</x:v>
      </x:c>
      <x:c r="AL10" s="156" t="n">
        <x:f>IFERROR(AE10*AI10,"")</x:f>
        <x:v>0</x:v>
      </x:c>
      <x:c r="AM10" s="157" t="str">
        <x:f>IFERROR(AH10/Q10,"")</x:f>
      </x:c>
      <x:c r="AN10" s="156" t="str">
        <x:f>IFERROR(AH10/AG10,"")</x:f>
      </x:c>
      <x:c r="AO10" s="156" t="str">
        <x:f>IFERROR(AL10/AH10,"")</x:f>
      </x:c>
      <x:c r="AP10" s="157" t="str">
        <x:f>IFERROR(AG10/AE10,"")</x:f>
      </x:c>
      <x:c r="AQ10" s="157" t="str">
        <x:f>IFERROR(AN10/(R10/'Configuracion'!$B$13),"")</x:f>
      </x:c>
      <x:c r="AR10" s="156" t="n">
        <x:f>IFERROR(AE10-U10,"")</x:f>
        <x:v>0</x:v>
      </x:c>
      <x:c r="AS10" s="154"/>
      <x:c r="AT10" s="154"/>
      <x:c r="AU10" s="154"/>
      <x:c r="AV10" s="154"/>
      <x:c r="AW10" s="152"/>
      <x:c r="AX10" s="154"/>
      <x:c r="AY10" s="154"/>
      <x:c r="AZ10" s="151"/>
      <x:c r="BA10" s="151"/>
    </x:row>
    <x:row r="11">
      <x:c r="A11" s="151" t="str">
        <x:f>IF(B11="","",TEXT(B11,"yyyymmdd")&amp;"-"&amp;TEXT(COUNTIF($B$5:B11,B11),"000"))</x:f>
      </x:c>
      <x:c r="B11" s="152"/>
      <x:c r="C11" s="153"/>
      <x:c r="D11" s="151" t="str">
        <x:f>IF(B11="","",'Configuracion'!$B$4)</x:f>
      </x:c>
      <x:c r="E11" s="154"/>
      <x:c r="F11" s="154"/>
      <x:c r="G11" s="151" t="str">
        <x:f>IFERROR(VLOOKUP(F11,'Base Sectores'!$A$5:$J$47,2,FALSE),"")</x:f>
      </x:c>
      <x:c r="H11" s="151" t="str">
        <x:f>IFERROR(VLOOKUP(F11,'Base Sectores'!$A$5:$J$47,3,FALSE),"")</x:f>
      </x:c>
      <x:c r="I11" s="151" t="str">
        <x:f>IFERROR(VLOOKUP(F11,'Base Sectores'!$A$5:$J$47,4,FALSE),"")</x:f>
      </x:c>
      <x:c r="J11" s="151" t="str">
        <x:f>IFERROR(VLOOKUP(F11,'Base Sectores'!$A$5:$J$47,5,FALSE),"")</x:f>
      </x:c>
      <x:c r="K11" s="151" t="str">
        <x:f>IFERROR(VLOOKUP(F11,'Base Sectores'!$A$5:$J$47,6,FALSE),"")</x:f>
      </x:c>
      <x:c r="L11" s="151" t="str">
        <x:f>IFERROR(VLOOKUP(F11,'Base Sectores'!$A$5:$J$47,7,FALSE),"")</x:f>
      </x:c>
      <x:c r="M11" s="151" t="str">
        <x:f>IFERROR(VLOOKUP(F11,'Base Sectores'!$A$5:$J$47,9,FALSE),"")</x:f>
      </x:c>
      <x:c r="N11" s="154"/>
      <x:c r="O11" s="151" t="str">
        <x:f>IFERROR(VLOOKUP(N11,'Configuracion'!$D$4:$H$15,2,FALSE),"")</x:f>
      </x:c>
      <x:c r="P11" s="151" t="str">
        <x:f>IFERROR(VLOOKUP(N11,'Configuracion'!$D$4:$H$15,3,FALSE),"")</x:f>
      </x:c>
      <x:c r="Q11" s="155"/>
      <x:c r="R11" s="156" t="str">
        <x:f>IFERROR(VLOOKUP(N11,'Configuracion'!$D$4:$H$15,4,FALSE),"")</x:f>
      </x:c>
      <x:c r="S11" s="153"/>
      <x:c r="T11" s="153"/>
      <x:c r="U11" s="156" t="str">
        <x:f>IF(OR(S11="",T11=""),"",MOD(T11-S11,1)*24)</x:f>
      </x:c>
      <x:c r="V11" s="154"/>
      <x:c r="W11" s="154"/>
      <x:c r="X11" s="151" t="str">
        <x:f>IFERROR(VLOOKUP(N11,'Configuracion'!$D$4:$H$15,5,FALSE),"")</x:f>
      </x:c>
      <x:c r="Y11" s="151" t="str">
        <x:f>IFERROR(VLOOKUP(V11,'Cuadrillas'!$A$5:$J$14,2,FALSE),"")</x:f>
      </x:c>
      <x:c r="Z11" s="154"/>
      <x:c r="AA11" s="154"/>
      <x:c r="AB11" s="154"/>
      <x:c r="AC11" s="153"/>
      <x:c r="AD11" s="153"/>
      <x:c r="AE11" s="156" t="str">
        <x:f>IF(OR(AC11="",AD11=""),"",MOD(AD11-AC11,1)*24)</x:f>
      </x:c>
      <x:c r="AF11" s="154"/>
      <x:c r="AG11" s="156" t="str">
        <x:f>IF(AE11="","",MAX(0,AE11-IF(AF11="",0,AF11/60)))</x:f>
      </x:c>
      <x:c r="AH11" s="155"/>
      <x:c r="AI11" s="154"/>
      <x:c r="AJ11" s="154"/>
      <x:c r="AK11" s="156" t="n">
        <x:f>IFERROR(U11*W11,"")</x:f>
        <x:v>0</x:v>
      </x:c>
      <x:c r="AL11" s="156" t="n">
        <x:f>IFERROR(AE11*AI11,"")</x:f>
        <x:v>0</x:v>
      </x:c>
      <x:c r="AM11" s="157" t="str">
        <x:f>IFERROR(AH11/Q11,"")</x:f>
      </x:c>
      <x:c r="AN11" s="156" t="str">
        <x:f>IFERROR(AH11/AG11,"")</x:f>
      </x:c>
      <x:c r="AO11" s="156" t="str">
        <x:f>IFERROR(AL11/AH11,"")</x:f>
      </x:c>
      <x:c r="AP11" s="157" t="str">
        <x:f>IFERROR(AG11/AE11,"")</x:f>
      </x:c>
      <x:c r="AQ11" s="157" t="str">
        <x:f>IFERROR(AN11/(R11/'Configuracion'!$B$13),"")</x:f>
      </x:c>
      <x:c r="AR11" s="156" t="n">
        <x:f>IFERROR(AE11-U11,"")</x:f>
        <x:v>0</x:v>
      </x:c>
      <x:c r="AS11" s="154"/>
      <x:c r="AT11" s="154"/>
      <x:c r="AU11" s="154"/>
      <x:c r="AV11" s="154"/>
      <x:c r="AW11" s="152"/>
      <x:c r="AX11" s="154"/>
      <x:c r="AY11" s="154"/>
      <x:c r="AZ11" s="151"/>
      <x:c r="BA11" s="151"/>
    </x:row>
    <x:row r="12">
      <x:c r="A12" s="151" t="str">
        <x:f>IF(B12="","",TEXT(B12,"yyyymmdd")&amp;"-"&amp;TEXT(COUNTIF($B$5:B12,B12),"000"))</x:f>
      </x:c>
      <x:c r="B12" s="152"/>
      <x:c r="C12" s="153"/>
      <x:c r="D12" s="151" t="str">
        <x:f>IF(B12="","",'Configuracion'!$B$4)</x:f>
      </x:c>
      <x:c r="E12" s="154"/>
      <x:c r="F12" s="154"/>
      <x:c r="G12" s="151" t="str">
        <x:f>IFERROR(VLOOKUP(F12,'Base Sectores'!$A$5:$J$47,2,FALSE),"")</x:f>
      </x:c>
      <x:c r="H12" s="151" t="str">
        <x:f>IFERROR(VLOOKUP(F12,'Base Sectores'!$A$5:$J$47,3,FALSE),"")</x:f>
      </x:c>
      <x:c r="I12" s="151" t="str">
        <x:f>IFERROR(VLOOKUP(F12,'Base Sectores'!$A$5:$J$47,4,FALSE),"")</x:f>
      </x:c>
      <x:c r="J12" s="151" t="str">
        <x:f>IFERROR(VLOOKUP(F12,'Base Sectores'!$A$5:$J$47,5,FALSE),"")</x:f>
      </x:c>
      <x:c r="K12" s="151" t="str">
        <x:f>IFERROR(VLOOKUP(F12,'Base Sectores'!$A$5:$J$47,6,FALSE),"")</x:f>
      </x:c>
      <x:c r="L12" s="151" t="str">
        <x:f>IFERROR(VLOOKUP(F12,'Base Sectores'!$A$5:$J$47,7,FALSE),"")</x:f>
      </x:c>
      <x:c r="M12" s="151" t="str">
        <x:f>IFERROR(VLOOKUP(F12,'Base Sectores'!$A$5:$J$47,9,FALSE),"")</x:f>
      </x:c>
      <x:c r="N12" s="154"/>
      <x:c r="O12" s="151" t="str">
        <x:f>IFERROR(VLOOKUP(N12,'Configuracion'!$D$4:$H$15,2,FALSE),"")</x:f>
      </x:c>
      <x:c r="P12" s="151" t="str">
        <x:f>IFERROR(VLOOKUP(N12,'Configuracion'!$D$4:$H$15,3,FALSE),"")</x:f>
      </x:c>
      <x:c r="Q12" s="155"/>
      <x:c r="R12" s="156" t="str">
        <x:f>IFERROR(VLOOKUP(N12,'Configuracion'!$D$4:$H$15,4,FALSE),"")</x:f>
      </x:c>
      <x:c r="S12" s="153"/>
      <x:c r="T12" s="153"/>
      <x:c r="U12" s="156" t="str">
        <x:f>IF(OR(S12="",T12=""),"",MOD(T12-S12,1)*24)</x:f>
      </x:c>
      <x:c r="V12" s="154"/>
      <x:c r="W12" s="154"/>
      <x:c r="X12" s="151" t="str">
        <x:f>IFERROR(VLOOKUP(N12,'Configuracion'!$D$4:$H$15,5,FALSE),"")</x:f>
      </x:c>
      <x:c r="Y12" s="151" t="str">
        <x:f>IFERROR(VLOOKUP(V12,'Cuadrillas'!$A$5:$J$14,2,FALSE),"")</x:f>
      </x:c>
      <x:c r="Z12" s="154"/>
      <x:c r="AA12" s="154"/>
      <x:c r="AB12" s="154"/>
      <x:c r="AC12" s="153"/>
      <x:c r="AD12" s="153"/>
      <x:c r="AE12" s="156" t="str">
        <x:f>IF(OR(AC12="",AD12=""),"",MOD(AD12-AC12,1)*24)</x:f>
      </x:c>
      <x:c r="AF12" s="154"/>
      <x:c r="AG12" s="156" t="str">
        <x:f>IF(AE12="","",MAX(0,AE12-IF(AF12="",0,AF12/60)))</x:f>
      </x:c>
      <x:c r="AH12" s="155"/>
      <x:c r="AI12" s="154"/>
      <x:c r="AJ12" s="154"/>
      <x:c r="AK12" s="156" t="n">
        <x:f>IFERROR(U12*W12,"")</x:f>
        <x:v>0</x:v>
      </x:c>
      <x:c r="AL12" s="156" t="n">
        <x:f>IFERROR(AE12*AI12,"")</x:f>
        <x:v>0</x:v>
      </x:c>
      <x:c r="AM12" s="157" t="str">
        <x:f>IFERROR(AH12/Q12,"")</x:f>
      </x:c>
      <x:c r="AN12" s="156" t="str">
        <x:f>IFERROR(AH12/AG12,"")</x:f>
      </x:c>
      <x:c r="AO12" s="156" t="str">
        <x:f>IFERROR(AL12/AH12,"")</x:f>
      </x:c>
      <x:c r="AP12" s="157" t="str">
        <x:f>IFERROR(AG12/AE12,"")</x:f>
      </x:c>
      <x:c r="AQ12" s="157" t="str">
        <x:f>IFERROR(AN12/(R12/'Configuracion'!$B$13),"")</x:f>
      </x:c>
      <x:c r="AR12" s="156" t="n">
        <x:f>IFERROR(AE12-U12,"")</x:f>
        <x:v>0</x:v>
      </x:c>
      <x:c r="AS12" s="154"/>
      <x:c r="AT12" s="154"/>
      <x:c r="AU12" s="154"/>
      <x:c r="AV12" s="154"/>
      <x:c r="AW12" s="152"/>
      <x:c r="AX12" s="154"/>
      <x:c r="AY12" s="154"/>
      <x:c r="AZ12" s="151"/>
      <x:c r="BA12" s="151"/>
    </x:row>
    <x:row r="13">
      <x:c r="A13" s="151" t="str">
        <x:f>IF(B13="","",TEXT(B13,"yyyymmdd")&amp;"-"&amp;TEXT(COUNTIF($B$5:B13,B13),"000"))</x:f>
      </x:c>
      <x:c r="B13" s="152"/>
      <x:c r="C13" s="153"/>
      <x:c r="D13" s="151" t="str">
        <x:f>IF(B13="","",'Configuracion'!$B$4)</x:f>
      </x:c>
      <x:c r="E13" s="154"/>
      <x:c r="F13" s="154"/>
      <x:c r="G13" s="151" t="str">
        <x:f>IFERROR(VLOOKUP(F13,'Base Sectores'!$A$5:$J$47,2,FALSE),"")</x:f>
      </x:c>
      <x:c r="H13" s="151" t="str">
        <x:f>IFERROR(VLOOKUP(F13,'Base Sectores'!$A$5:$J$47,3,FALSE),"")</x:f>
      </x:c>
      <x:c r="I13" s="151" t="str">
        <x:f>IFERROR(VLOOKUP(F13,'Base Sectores'!$A$5:$J$47,4,FALSE),"")</x:f>
      </x:c>
      <x:c r="J13" s="151" t="str">
        <x:f>IFERROR(VLOOKUP(F13,'Base Sectores'!$A$5:$J$47,5,FALSE),"")</x:f>
      </x:c>
      <x:c r="K13" s="151" t="str">
        <x:f>IFERROR(VLOOKUP(F13,'Base Sectores'!$A$5:$J$47,6,FALSE),"")</x:f>
      </x:c>
      <x:c r="L13" s="151" t="str">
        <x:f>IFERROR(VLOOKUP(F13,'Base Sectores'!$A$5:$J$47,7,FALSE),"")</x:f>
      </x:c>
      <x:c r="M13" s="151" t="str">
        <x:f>IFERROR(VLOOKUP(F13,'Base Sectores'!$A$5:$J$47,9,FALSE),"")</x:f>
      </x:c>
      <x:c r="N13" s="154"/>
      <x:c r="O13" s="151" t="str">
        <x:f>IFERROR(VLOOKUP(N13,'Configuracion'!$D$4:$H$15,2,FALSE),"")</x:f>
      </x:c>
      <x:c r="P13" s="151" t="str">
        <x:f>IFERROR(VLOOKUP(N13,'Configuracion'!$D$4:$H$15,3,FALSE),"")</x:f>
      </x:c>
      <x:c r="Q13" s="155"/>
      <x:c r="R13" s="156" t="str">
        <x:f>IFERROR(VLOOKUP(N13,'Configuracion'!$D$4:$H$15,4,FALSE),"")</x:f>
      </x:c>
      <x:c r="S13" s="153"/>
      <x:c r="T13" s="153"/>
      <x:c r="U13" s="156" t="str">
        <x:f>IF(OR(S13="",T13=""),"",MOD(T13-S13,1)*24)</x:f>
      </x:c>
      <x:c r="V13" s="154"/>
      <x:c r="W13" s="154"/>
      <x:c r="X13" s="151" t="str">
        <x:f>IFERROR(VLOOKUP(N13,'Configuracion'!$D$4:$H$15,5,FALSE),"")</x:f>
      </x:c>
      <x:c r="Y13" s="151" t="str">
        <x:f>IFERROR(VLOOKUP(V13,'Cuadrillas'!$A$5:$J$14,2,FALSE),"")</x:f>
      </x:c>
      <x:c r="Z13" s="154"/>
      <x:c r="AA13" s="154"/>
      <x:c r="AB13" s="154"/>
      <x:c r="AC13" s="153"/>
      <x:c r="AD13" s="153"/>
      <x:c r="AE13" s="156" t="str">
        <x:f>IF(OR(AC13="",AD13=""),"",MOD(AD13-AC13,1)*24)</x:f>
      </x:c>
      <x:c r="AF13" s="154"/>
      <x:c r="AG13" s="156" t="str">
        <x:f>IF(AE13="","",MAX(0,AE13-IF(AF13="",0,AF13/60)))</x:f>
      </x:c>
      <x:c r="AH13" s="155"/>
      <x:c r="AI13" s="154"/>
      <x:c r="AJ13" s="154"/>
      <x:c r="AK13" s="156" t="n">
        <x:f>IFERROR(U13*W13,"")</x:f>
        <x:v>0</x:v>
      </x:c>
      <x:c r="AL13" s="156" t="n">
        <x:f>IFERROR(AE13*AI13,"")</x:f>
        <x:v>0</x:v>
      </x:c>
      <x:c r="AM13" s="157" t="str">
        <x:f>IFERROR(AH13/Q13,"")</x:f>
      </x:c>
      <x:c r="AN13" s="156" t="str">
        <x:f>IFERROR(AH13/AG13,"")</x:f>
      </x:c>
      <x:c r="AO13" s="156" t="str">
        <x:f>IFERROR(AL13/AH13,"")</x:f>
      </x:c>
      <x:c r="AP13" s="157" t="str">
        <x:f>IFERROR(AG13/AE13,"")</x:f>
      </x:c>
      <x:c r="AQ13" s="157" t="str">
        <x:f>IFERROR(AN13/(R13/'Configuracion'!$B$13),"")</x:f>
      </x:c>
      <x:c r="AR13" s="156" t="n">
        <x:f>IFERROR(AE13-U13,"")</x:f>
        <x:v>0</x:v>
      </x:c>
      <x:c r="AS13" s="154"/>
      <x:c r="AT13" s="154"/>
      <x:c r="AU13" s="154"/>
      <x:c r="AV13" s="154"/>
      <x:c r="AW13" s="152"/>
      <x:c r="AX13" s="154"/>
      <x:c r="AY13" s="154"/>
      <x:c r="AZ13" s="151"/>
      <x:c r="BA13" s="151"/>
    </x:row>
    <x:row r="14">
      <x:c r="A14" s="151" t="str">
        <x:f>IF(B14="","",TEXT(B14,"yyyymmdd")&amp;"-"&amp;TEXT(COUNTIF($B$5:B14,B14),"000"))</x:f>
      </x:c>
      <x:c r="B14" s="152"/>
      <x:c r="C14" s="153"/>
      <x:c r="D14" s="151" t="str">
        <x:f>IF(B14="","",'Configuracion'!$B$4)</x:f>
      </x:c>
      <x:c r="E14" s="154"/>
      <x:c r="F14" s="154"/>
      <x:c r="G14" s="151" t="str">
        <x:f>IFERROR(VLOOKUP(F14,'Base Sectores'!$A$5:$J$47,2,FALSE),"")</x:f>
      </x:c>
      <x:c r="H14" s="151" t="str">
        <x:f>IFERROR(VLOOKUP(F14,'Base Sectores'!$A$5:$J$47,3,FALSE),"")</x:f>
      </x:c>
      <x:c r="I14" s="151" t="str">
        <x:f>IFERROR(VLOOKUP(F14,'Base Sectores'!$A$5:$J$47,4,FALSE),"")</x:f>
      </x:c>
      <x:c r="J14" s="151" t="str">
        <x:f>IFERROR(VLOOKUP(F14,'Base Sectores'!$A$5:$J$47,5,FALSE),"")</x:f>
      </x:c>
      <x:c r="K14" s="151" t="str">
        <x:f>IFERROR(VLOOKUP(F14,'Base Sectores'!$A$5:$J$47,6,FALSE),"")</x:f>
      </x:c>
      <x:c r="L14" s="151" t="str">
        <x:f>IFERROR(VLOOKUP(F14,'Base Sectores'!$A$5:$J$47,7,FALSE),"")</x:f>
      </x:c>
      <x:c r="M14" s="151" t="str">
        <x:f>IFERROR(VLOOKUP(F14,'Base Sectores'!$A$5:$J$47,9,FALSE),"")</x:f>
      </x:c>
      <x:c r="N14" s="154"/>
      <x:c r="O14" s="151" t="str">
        <x:f>IFERROR(VLOOKUP(N14,'Configuracion'!$D$4:$H$15,2,FALSE),"")</x:f>
      </x:c>
      <x:c r="P14" s="151" t="str">
        <x:f>IFERROR(VLOOKUP(N14,'Configuracion'!$D$4:$H$15,3,FALSE),"")</x:f>
      </x:c>
      <x:c r="Q14" s="155"/>
      <x:c r="R14" s="156" t="str">
        <x:f>IFERROR(VLOOKUP(N14,'Configuracion'!$D$4:$H$15,4,FALSE),"")</x:f>
      </x:c>
      <x:c r="S14" s="153"/>
      <x:c r="T14" s="153"/>
      <x:c r="U14" s="156" t="str">
        <x:f>IF(OR(S14="",T14=""),"",MOD(T14-S14,1)*24)</x:f>
      </x:c>
      <x:c r="V14" s="154"/>
      <x:c r="W14" s="154"/>
      <x:c r="X14" s="151" t="str">
        <x:f>IFERROR(VLOOKUP(N14,'Configuracion'!$D$4:$H$15,5,FALSE),"")</x:f>
      </x:c>
      <x:c r="Y14" s="151" t="str">
        <x:f>IFERROR(VLOOKUP(V14,'Cuadrillas'!$A$5:$J$14,2,FALSE),"")</x:f>
      </x:c>
      <x:c r="Z14" s="154"/>
      <x:c r="AA14" s="154"/>
      <x:c r="AB14" s="154"/>
      <x:c r="AC14" s="153"/>
      <x:c r="AD14" s="153"/>
      <x:c r="AE14" s="156" t="str">
        <x:f>IF(OR(AC14="",AD14=""),"",MOD(AD14-AC14,1)*24)</x:f>
      </x:c>
      <x:c r="AF14" s="154"/>
      <x:c r="AG14" s="156" t="str">
        <x:f>IF(AE14="","",MAX(0,AE14-IF(AF14="",0,AF14/60)))</x:f>
      </x:c>
      <x:c r="AH14" s="155"/>
      <x:c r="AI14" s="154"/>
      <x:c r="AJ14" s="154"/>
      <x:c r="AK14" s="156" t="n">
        <x:f>IFERROR(U14*W14,"")</x:f>
        <x:v>0</x:v>
      </x:c>
      <x:c r="AL14" s="156" t="n">
        <x:f>IFERROR(AE14*AI14,"")</x:f>
        <x:v>0</x:v>
      </x:c>
      <x:c r="AM14" s="157" t="str">
        <x:f>IFERROR(AH14/Q14,"")</x:f>
      </x:c>
      <x:c r="AN14" s="156" t="str">
        <x:f>IFERROR(AH14/AG14,"")</x:f>
      </x:c>
      <x:c r="AO14" s="156" t="str">
        <x:f>IFERROR(AL14/AH14,"")</x:f>
      </x:c>
      <x:c r="AP14" s="157" t="str">
        <x:f>IFERROR(AG14/AE14,"")</x:f>
      </x:c>
      <x:c r="AQ14" s="157" t="str">
        <x:f>IFERROR(AN14/(R14/'Configuracion'!$B$13),"")</x:f>
      </x:c>
      <x:c r="AR14" s="156" t="n">
        <x:f>IFERROR(AE14-U14,"")</x:f>
        <x:v>0</x:v>
      </x:c>
      <x:c r="AS14" s="154"/>
      <x:c r="AT14" s="154"/>
      <x:c r="AU14" s="154"/>
      <x:c r="AV14" s="154"/>
      <x:c r="AW14" s="152"/>
      <x:c r="AX14" s="154"/>
      <x:c r="AY14" s="154"/>
      <x:c r="AZ14" s="151"/>
      <x:c r="BA14" s="151"/>
    </x:row>
    <x:row r="15">
      <x:c r="A15" s="151" t="str">
        <x:f>IF(B15="","",TEXT(B15,"yyyymmdd")&amp;"-"&amp;TEXT(COUNTIF($B$5:B15,B15),"000"))</x:f>
      </x:c>
      <x:c r="B15" s="152"/>
      <x:c r="C15" s="153"/>
      <x:c r="D15" s="151" t="str">
        <x:f>IF(B15="","",'Configuracion'!$B$4)</x:f>
      </x:c>
      <x:c r="E15" s="154"/>
      <x:c r="F15" s="154"/>
      <x:c r="G15" s="151" t="str">
        <x:f>IFERROR(VLOOKUP(F15,'Base Sectores'!$A$5:$J$47,2,FALSE),"")</x:f>
      </x:c>
      <x:c r="H15" s="151" t="str">
        <x:f>IFERROR(VLOOKUP(F15,'Base Sectores'!$A$5:$J$47,3,FALSE),"")</x:f>
      </x:c>
      <x:c r="I15" s="151" t="str">
        <x:f>IFERROR(VLOOKUP(F15,'Base Sectores'!$A$5:$J$47,4,FALSE),"")</x:f>
      </x:c>
      <x:c r="J15" s="151" t="str">
        <x:f>IFERROR(VLOOKUP(F15,'Base Sectores'!$A$5:$J$47,5,FALSE),"")</x:f>
      </x:c>
      <x:c r="K15" s="151" t="str">
        <x:f>IFERROR(VLOOKUP(F15,'Base Sectores'!$A$5:$J$47,6,FALSE),"")</x:f>
      </x:c>
      <x:c r="L15" s="151" t="str">
        <x:f>IFERROR(VLOOKUP(F15,'Base Sectores'!$A$5:$J$47,7,FALSE),"")</x:f>
      </x:c>
      <x:c r="M15" s="151" t="str">
        <x:f>IFERROR(VLOOKUP(F15,'Base Sectores'!$A$5:$J$47,9,FALSE),"")</x:f>
      </x:c>
      <x:c r="N15" s="154"/>
      <x:c r="O15" s="151" t="str">
        <x:f>IFERROR(VLOOKUP(N15,'Configuracion'!$D$4:$H$15,2,FALSE),"")</x:f>
      </x:c>
      <x:c r="P15" s="151" t="str">
        <x:f>IFERROR(VLOOKUP(N15,'Configuracion'!$D$4:$H$15,3,FALSE),"")</x:f>
      </x:c>
      <x:c r="Q15" s="155"/>
      <x:c r="R15" s="156" t="str">
        <x:f>IFERROR(VLOOKUP(N15,'Configuracion'!$D$4:$H$15,4,FALSE),"")</x:f>
      </x:c>
      <x:c r="S15" s="153"/>
      <x:c r="T15" s="153"/>
      <x:c r="U15" s="156" t="str">
        <x:f>IF(OR(S15="",T15=""),"",MOD(T15-S15,1)*24)</x:f>
      </x:c>
      <x:c r="V15" s="154"/>
      <x:c r="W15" s="154"/>
      <x:c r="X15" s="151" t="str">
        <x:f>IFERROR(VLOOKUP(N15,'Configuracion'!$D$4:$H$15,5,FALSE),"")</x:f>
      </x:c>
      <x:c r="Y15" s="151" t="str">
        <x:f>IFERROR(VLOOKUP(V15,'Cuadrillas'!$A$5:$J$14,2,FALSE),"")</x:f>
      </x:c>
      <x:c r="Z15" s="154"/>
      <x:c r="AA15" s="154"/>
      <x:c r="AB15" s="154"/>
      <x:c r="AC15" s="153"/>
      <x:c r="AD15" s="153"/>
      <x:c r="AE15" s="156" t="str">
        <x:f>IF(OR(AC15="",AD15=""),"",MOD(AD15-AC15,1)*24)</x:f>
      </x:c>
      <x:c r="AF15" s="154"/>
      <x:c r="AG15" s="156" t="str">
        <x:f>IF(AE15="","",MAX(0,AE15-IF(AF15="",0,AF15/60)))</x:f>
      </x:c>
      <x:c r="AH15" s="155"/>
      <x:c r="AI15" s="154"/>
      <x:c r="AJ15" s="154"/>
      <x:c r="AK15" s="156" t="n">
        <x:f>IFERROR(U15*W15,"")</x:f>
        <x:v>0</x:v>
      </x:c>
      <x:c r="AL15" s="156" t="n">
        <x:f>IFERROR(AE15*AI15,"")</x:f>
        <x:v>0</x:v>
      </x:c>
      <x:c r="AM15" s="157" t="str">
        <x:f>IFERROR(AH15/Q15,"")</x:f>
      </x:c>
      <x:c r="AN15" s="156" t="str">
        <x:f>IFERROR(AH15/AG15,"")</x:f>
      </x:c>
      <x:c r="AO15" s="156" t="str">
        <x:f>IFERROR(AL15/AH15,"")</x:f>
      </x:c>
      <x:c r="AP15" s="157" t="str">
        <x:f>IFERROR(AG15/AE15,"")</x:f>
      </x:c>
      <x:c r="AQ15" s="157" t="str">
        <x:f>IFERROR(AN15/(R15/'Configuracion'!$B$13),"")</x:f>
      </x:c>
      <x:c r="AR15" s="156" t="n">
        <x:f>IFERROR(AE15-U15,"")</x:f>
        <x:v>0</x:v>
      </x:c>
      <x:c r="AS15" s="154"/>
      <x:c r="AT15" s="154"/>
      <x:c r="AU15" s="154"/>
      <x:c r="AV15" s="154"/>
      <x:c r="AW15" s="152"/>
      <x:c r="AX15" s="154"/>
      <x:c r="AY15" s="154"/>
      <x:c r="AZ15" s="151"/>
      <x:c r="BA15" s="151"/>
    </x:row>
    <x:row r="16">
      <x:c r="A16" s="151" t="str">
        <x:f>IF(B16="","",TEXT(B16,"yyyymmdd")&amp;"-"&amp;TEXT(COUNTIF($B$5:B16,B16),"000"))</x:f>
      </x:c>
      <x:c r="B16" s="152"/>
      <x:c r="C16" s="153"/>
      <x:c r="D16" s="151" t="str">
        <x:f>IF(B16="","",'Configuracion'!$B$4)</x:f>
      </x:c>
      <x:c r="E16" s="154"/>
      <x:c r="F16" s="154"/>
      <x:c r="G16" s="151" t="str">
        <x:f>IFERROR(VLOOKUP(F16,'Base Sectores'!$A$5:$J$47,2,FALSE),"")</x:f>
      </x:c>
      <x:c r="H16" s="151" t="str">
        <x:f>IFERROR(VLOOKUP(F16,'Base Sectores'!$A$5:$J$47,3,FALSE),"")</x:f>
      </x:c>
      <x:c r="I16" s="151" t="str">
        <x:f>IFERROR(VLOOKUP(F16,'Base Sectores'!$A$5:$J$47,4,FALSE),"")</x:f>
      </x:c>
      <x:c r="J16" s="151" t="str">
        <x:f>IFERROR(VLOOKUP(F16,'Base Sectores'!$A$5:$J$47,5,FALSE),"")</x:f>
      </x:c>
      <x:c r="K16" s="151" t="str">
        <x:f>IFERROR(VLOOKUP(F16,'Base Sectores'!$A$5:$J$47,6,FALSE),"")</x:f>
      </x:c>
      <x:c r="L16" s="151" t="str">
        <x:f>IFERROR(VLOOKUP(F16,'Base Sectores'!$A$5:$J$47,7,FALSE),"")</x:f>
      </x:c>
      <x:c r="M16" s="151" t="str">
        <x:f>IFERROR(VLOOKUP(F16,'Base Sectores'!$A$5:$J$47,9,FALSE),"")</x:f>
      </x:c>
      <x:c r="N16" s="154"/>
      <x:c r="O16" s="151" t="str">
        <x:f>IFERROR(VLOOKUP(N16,'Configuracion'!$D$4:$H$15,2,FALSE),"")</x:f>
      </x:c>
      <x:c r="P16" s="151" t="str">
        <x:f>IFERROR(VLOOKUP(N16,'Configuracion'!$D$4:$H$15,3,FALSE),"")</x:f>
      </x:c>
      <x:c r="Q16" s="155"/>
      <x:c r="R16" s="156" t="str">
        <x:f>IFERROR(VLOOKUP(N16,'Configuracion'!$D$4:$H$15,4,FALSE),"")</x:f>
      </x:c>
      <x:c r="S16" s="153"/>
      <x:c r="T16" s="153"/>
      <x:c r="U16" s="156" t="str">
        <x:f>IF(OR(S16="",T16=""),"",MOD(T16-S16,1)*24)</x:f>
      </x:c>
      <x:c r="V16" s="154"/>
      <x:c r="W16" s="154"/>
      <x:c r="X16" s="151" t="str">
        <x:f>IFERROR(VLOOKUP(N16,'Configuracion'!$D$4:$H$15,5,FALSE),"")</x:f>
      </x:c>
      <x:c r="Y16" s="151" t="str">
        <x:f>IFERROR(VLOOKUP(V16,'Cuadrillas'!$A$5:$J$14,2,FALSE),"")</x:f>
      </x:c>
      <x:c r="Z16" s="154"/>
      <x:c r="AA16" s="154"/>
      <x:c r="AB16" s="154"/>
      <x:c r="AC16" s="153"/>
      <x:c r="AD16" s="153"/>
      <x:c r="AE16" s="156" t="str">
        <x:f>IF(OR(AC16="",AD16=""),"",MOD(AD16-AC16,1)*24)</x:f>
      </x:c>
      <x:c r="AF16" s="154"/>
      <x:c r="AG16" s="156" t="str">
        <x:f>IF(AE16="","",MAX(0,AE16-IF(AF16="",0,AF16/60)))</x:f>
      </x:c>
      <x:c r="AH16" s="155"/>
      <x:c r="AI16" s="154"/>
      <x:c r="AJ16" s="154"/>
      <x:c r="AK16" s="156" t="n">
        <x:f>IFERROR(U16*W16,"")</x:f>
        <x:v>0</x:v>
      </x:c>
      <x:c r="AL16" s="156" t="n">
        <x:f>IFERROR(AE16*AI16,"")</x:f>
        <x:v>0</x:v>
      </x:c>
      <x:c r="AM16" s="157" t="str">
        <x:f>IFERROR(AH16/Q16,"")</x:f>
      </x:c>
      <x:c r="AN16" s="156" t="str">
        <x:f>IFERROR(AH16/AG16,"")</x:f>
      </x:c>
      <x:c r="AO16" s="156" t="str">
        <x:f>IFERROR(AL16/AH16,"")</x:f>
      </x:c>
      <x:c r="AP16" s="157" t="str">
        <x:f>IFERROR(AG16/AE16,"")</x:f>
      </x:c>
      <x:c r="AQ16" s="157" t="str">
        <x:f>IFERROR(AN16/(R16/'Configuracion'!$B$13),"")</x:f>
      </x:c>
      <x:c r="AR16" s="156" t="n">
        <x:f>IFERROR(AE16-U16,"")</x:f>
        <x:v>0</x:v>
      </x:c>
      <x:c r="AS16" s="154"/>
      <x:c r="AT16" s="154"/>
      <x:c r="AU16" s="154"/>
      <x:c r="AV16" s="154"/>
      <x:c r="AW16" s="152"/>
      <x:c r="AX16" s="154"/>
      <x:c r="AY16" s="154"/>
      <x:c r="AZ16" s="151"/>
      <x:c r="BA16" s="151"/>
    </x:row>
    <x:row r="17">
      <x:c r="A17" s="151" t="str">
        <x:f>IF(B17="","",TEXT(B17,"yyyymmdd")&amp;"-"&amp;TEXT(COUNTIF($B$5:B17,B17),"000"))</x:f>
      </x:c>
      <x:c r="B17" s="152"/>
      <x:c r="C17" s="153"/>
      <x:c r="D17" s="151" t="str">
        <x:f>IF(B17="","",'Configuracion'!$B$4)</x:f>
      </x:c>
      <x:c r="E17" s="154"/>
      <x:c r="F17" s="154"/>
      <x:c r="G17" s="151" t="str">
        <x:f>IFERROR(VLOOKUP(F17,'Base Sectores'!$A$5:$J$47,2,FALSE),"")</x:f>
      </x:c>
      <x:c r="H17" s="151" t="str">
        <x:f>IFERROR(VLOOKUP(F17,'Base Sectores'!$A$5:$J$47,3,FALSE),"")</x:f>
      </x:c>
      <x:c r="I17" s="151" t="str">
        <x:f>IFERROR(VLOOKUP(F17,'Base Sectores'!$A$5:$J$47,4,FALSE),"")</x:f>
      </x:c>
      <x:c r="J17" s="151" t="str">
        <x:f>IFERROR(VLOOKUP(F17,'Base Sectores'!$A$5:$J$47,5,FALSE),"")</x:f>
      </x:c>
      <x:c r="K17" s="151" t="str">
        <x:f>IFERROR(VLOOKUP(F17,'Base Sectores'!$A$5:$J$47,6,FALSE),"")</x:f>
      </x:c>
      <x:c r="L17" s="151" t="str">
        <x:f>IFERROR(VLOOKUP(F17,'Base Sectores'!$A$5:$J$47,7,FALSE),"")</x:f>
      </x:c>
      <x:c r="M17" s="151" t="str">
        <x:f>IFERROR(VLOOKUP(F17,'Base Sectores'!$A$5:$J$47,9,FALSE),"")</x:f>
      </x:c>
      <x:c r="N17" s="154"/>
      <x:c r="O17" s="151" t="str">
        <x:f>IFERROR(VLOOKUP(N17,'Configuracion'!$D$4:$H$15,2,FALSE),"")</x:f>
      </x:c>
      <x:c r="P17" s="151" t="str">
        <x:f>IFERROR(VLOOKUP(N17,'Configuracion'!$D$4:$H$15,3,FALSE),"")</x:f>
      </x:c>
      <x:c r="Q17" s="155"/>
      <x:c r="R17" s="156" t="str">
        <x:f>IFERROR(VLOOKUP(N17,'Configuracion'!$D$4:$H$15,4,FALSE),"")</x:f>
      </x:c>
      <x:c r="S17" s="153"/>
      <x:c r="T17" s="153"/>
      <x:c r="U17" s="156" t="str">
        <x:f>IF(OR(S17="",T17=""),"",MOD(T17-S17,1)*24)</x:f>
      </x:c>
      <x:c r="V17" s="154"/>
      <x:c r="W17" s="154"/>
      <x:c r="X17" s="151" t="str">
        <x:f>IFERROR(VLOOKUP(N17,'Configuracion'!$D$4:$H$15,5,FALSE),"")</x:f>
      </x:c>
      <x:c r="Y17" s="151" t="str">
        <x:f>IFERROR(VLOOKUP(V17,'Cuadrillas'!$A$5:$J$14,2,FALSE),"")</x:f>
      </x:c>
      <x:c r="Z17" s="154"/>
      <x:c r="AA17" s="154"/>
      <x:c r="AB17" s="154"/>
      <x:c r="AC17" s="153"/>
      <x:c r="AD17" s="153"/>
      <x:c r="AE17" s="156" t="str">
        <x:f>IF(OR(AC17="",AD17=""),"",MOD(AD17-AC17,1)*24)</x:f>
      </x:c>
      <x:c r="AF17" s="154"/>
      <x:c r="AG17" s="156" t="str">
        <x:f>IF(AE17="","",MAX(0,AE17-IF(AF17="",0,AF17/60)))</x:f>
      </x:c>
      <x:c r="AH17" s="155"/>
      <x:c r="AI17" s="154"/>
      <x:c r="AJ17" s="154"/>
      <x:c r="AK17" s="156" t="n">
        <x:f>IFERROR(U17*W17,"")</x:f>
        <x:v>0</x:v>
      </x:c>
      <x:c r="AL17" s="156" t="n">
        <x:f>IFERROR(AE17*AI17,"")</x:f>
        <x:v>0</x:v>
      </x:c>
      <x:c r="AM17" s="157" t="str">
        <x:f>IFERROR(AH17/Q17,"")</x:f>
      </x:c>
      <x:c r="AN17" s="156" t="str">
        <x:f>IFERROR(AH17/AG17,"")</x:f>
      </x:c>
      <x:c r="AO17" s="156" t="str">
        <x:f>IFERROR(AL17/AH17,"")</x:f>
      </x:c>
      <x:c r="AP17" s="157" t="str">
        <x:f>IFERROR(AG17/AE17,"")</x:f>
      </x:c>
      <x:c r="AQ17" s="157" t="str">
        <x:f>IFERROR(AN17/(R17/'Configuracion'!$B$13),"")</x:f>
      </x:c>
      <x:c r="AR17" s="156" t="n">
        <x:f>IFERROR(AE17-U17,"")</x:f>
        <x:v>0</x:v>
      </x:c>
      <x:c r="AS17" s="154"/>
      <x:c r="AT17" s="154"/>
      <x:c r="AU17" s="154"/>
      <x:c r="AV17" s="154"/>
      <x:c r="AW17" s="152"/>
      <x:c r="AX17" s="154"/>
      <x:c r="AY17" s="154"/>
      <x:c r="AZ17" s="151"/>
      <x:c r="BA17" s="151"/>
    </x:row>
    <x:row r="18">
      <x:c r="A18" s="151" t="str">
        <x:f>IF(B18="","",TEXT(B18,"yyyymmdd")&amp;"-"&amp;TEXT(COUNTIF($B$5:B18,B18),"000"))</x:f>
      </x:c>
      <x:c r="B18" s="152"/>
      <x:c r="C18" s="153"/>
      <x:c r="D18" s="151" t="str">
        <x:f>IF(B18="","",'Configuracion'!$B$4)</x:f>
      </x:c>
      <x:c r="E18" s="154"/>
      <x:c r="F18" s="154"/>
      <x:c r="G18" s="151" t="str">
        <x:f>IFERROR(VLOOKUP(F18,'Base Sectores'!$A$5:$J$47,2,FALSE),"")</x:f>
      </x:c>
      <x:c r="H18" s="151" t="str">
        <x:f>IFERROR(VLOOKUP(F18,'Base Sectores'!$A$5:$J$47,3,FALSE),"")</x:f>
      </x:c>
      <x:c r="I18" s="151" t="str">
        <x:f>IFERROR(VLOOKUP(F18,'Base Sectores'!$A$5:$J$47,4,FALSE),"")</x:f>
      </x:c>
      <x:c r="J18" s="151" t="str">
        <x:f>IFERROR(VLOOKUP(F18,'Base Sectores'!$A$5:$J$47,5,FALSE),"")</x:f>
      </x:c>
      <x:c r="K18" s="151" t="str">
        <x:f>IFERROR(VLOOKUP(F18,'Base Sectores'!$A$5:$J$47,6,FALSE),"")</x:f>
      </x:c>
      <x:c r="L18" s="151" t="str">
        <x:f>IFERROR(VLOOKUP(F18,'Base Sectores'!$A$5:$J$47,7,FALSE),"")</x:f>
      </x:c>
      <x:c r="M18" s="151" t="str">
        <x:f>IFERROR(VLOOKUP(F18,'Base Sectores'!$A$5:$J$47,9,FALSE),"")</x:f>
      </x:c>
      <x:c r="N18" s="154"/>
      <x:c r="O18" s="151" t="str">
        <x:f>IFERROR(VLOOKUP(N18,'Configuracion'!$D$4:$H$15,2,FALSE),"")</x:f>
      </x:c>
      <x:c r="P18" s="151" t="str">
        <x:f>IFERROR(VLOOKUP(N18,'Configuracion'!$D$4:$H$15,3,FALSE),"")</x:f>
      </x:c>
      <x:c r="Q18" s="155"/>
      <x:c r="R18" s="156" t="str">
        <x:f>IFERROR(VLOOKUP(N18,'Configuracion'!$D$4:$H$15,4,FALSE),"")</x:f>
      </x:c>
      <x:c r="S18" s="153"/>
      <x:c r="T18" s="153"/>
      <x:c r="U18" s="156" t="str">
        <x:f>IF(OR(S18="",T18=""),"",MOD(T18-S18,1)*24)</x:f>
      </x:c>
      <x:c r="V18" s="154"/>
      <x:c r="W18" s="154"/>
      <x:c r="X18" s="151" t="str">
        <x:f>IFERROR(VLOOKUP(N18,'Configuracion'!$D$4:$H$15,5,FALSE),"")</x:f>
      </x:c>
      <x:c r="Y18" s="151" t="str">
        <x:f>IFERROR(VLOOKUP(V18,'Cuadrillas'!$A$5:$J$14,2,FALSE),"")</x:f>
      </x:c>
      <x:c r="Z18" s="154"/>
      <x:c r="AA18" s="154"/>
      <x:c r="AB18" s="154"/>
      <x:c r="AC18" s="153"/>
      <x:c r="AD18" s="153"/>
      <x:c r="AE18" s="156" t="str">
        <x:f>IF(OR(AC18="",AD18=""),"",MOD(AD18-AC18,1)*24)</x:f>
      </x:c>
      <x:c r="AF18" s="154"/>
      <x:c r="AG18" s="156" t="str">
        <x:f>IF(AE18="","",MAX(0,AE18-IF(AF18="",0,AF18/60)))</x:f>
      </x:c>
      <x:c r="AH18" s="155"/>
      <x:c r="AI18" s="154"/>
      <x:c r="AJ18" s="154"/>
      <x:c r="AK18" s="156" t="n">
        <x:f>IFERROR(U18*W18,"")</x:f>
        <x:v>0</x:v>
      </x:c>
      <x:c r="AL18" s="156" t="n">
        <x:f>IFERROR(AE18*AI18,"")</x:f>
        <x:v>0</x:v>
      </x:c>
      <x:c r="AM18" s="157" t="str">
        <x:f>IFERROR(AH18/Q18,"")</x:f>
      </x:c>
      <x:c r="AN18" s="156" t="str">
        <x:f>IFERROR(AH18/AG18,"")</x:f>
      </x:c>
      <x:c r="AO18" s="156" t="str">
        <x:f>IFERROR(AL18/AH18,"")</x:f>
      </x:c>
      <x:c r="AP18" s="157" t="str">
        <x:f>IFERROR(AG18/AE18,"")</x:f>
      </x:c>
      <x:c r="AQ18" s="157" t="str">
        <x:f>IFERROR(AN18/(R18/'Configuracion'!$B$13),"")</x:f>
      </x:c>
      <x:c r="AR18" s="156" t="n">
        <x:f>IFERROR(AE18-U18,"")</x:f>
        <x:v>0</x:v>
      </x:c>
      <x:c r="AS18" s="154"/>
      <x:c r="AT18" s="154"/>
      <x:c r="AU18" s="154"/>
      <x:c r="AV18" s="154"/>
      <x:c r="AW18" s="152"/>
      <x:c r="AX18" s="154"/>
      <x:c r="AY18" s="154"/>
      <x:c r="AZ18" s="151"/>
      <x:c r="BA18" s="151"/>
    </x:row>
    <x:row r="19">
      <x:c r="A19" s="151" t="str">
        <x:f>IF(B19="","",TEXT(B19,"yyyymmdd")&amp;"-"&amp;TEXT(COUNTIF($B$5:B19,B19),"000"))</x:f>
      </x:c>
      <x:c r="B19" s="152"/>
      <x:c r="C19" s="153"/>
      <x:c r="D19" s="151" t="str">
        <x:f>IF(B19="","",'Configuracion'!$B$4)</x:f>
      </x:c>
      <x:c r="E19" s="154"/>
      <x:c r="F19" s="154"/>
      <x:c r="G19" s="151" t="str">
        <x:f>IFERROR(VLOOKUP(F19,'Base Sectores'!$A$5:$J$47,2,FALSE),"")</x:f>
      </x:c>
      <x:c r="H19" s="151" t="str">
        <x:f>IFERROR(VLOOKUP(F19,'Base Sectores'!$A$5:$J$47,3,FALSE),"")</x:f>
      </x:c>
      <x:c r="I19" s="151" t="str">
        <x:f>IFERROR(VLOOKUP(F19,'Base Sectores'!$A$5:$J$47,4,FALSE),"")</x:f>
      </x:c>
      <x:c r="J19" s="151" t="str">
        <x:f>IFERROR(VLOOKUP(F19,'Base Sectores'!$A$5:$J$47,5,FALSE),"")</x:f>
      </x:c>
      <x:c r="K19" s="151" t="str">
        <x:f>IFERROR(VLOOKUP(F19,'Base Sectores'!$A$5:$J$47,6,FALSE),"")</x:f>
      </x:c>
      <x:c r="L19" s="151" t="str">
        <x:f>IFERROR(VLOOKUP(F19,'Base Sectores'!$A$5:$J$47,7,FALSE),"")</x:f>
      </x:c>
      <x:c r="M19" s="151" t="str">
        <x:f>IFERROR(VLOOKUP(F19,'Base Sectores'!$A$5:$J$47,9,FALSE),"")</x:f>
      </x:c>
      <x:c r="N19" s="154"/>
      <x:c r="O19" s="151" t="str">
        <x:f>IFERROR(VLOOKUP(N19,'Configuracion'!$D$4:$H$15,2,FALSE),"")</x:f>
      </x:c>
      <x:c r="P19" s="151" t="str">
        <x:f>IFERROR(VLOOKUP(N19,'Configuracion'!$D$4:$H$15,3,FALSE),"")</x:f>
      </x:c>
      <x:c r="Q19" s="155"/>
      <x:c r="R19" s="156" t="str">
        <x:f>IFERROR(VLOOKUP(N19,'Configuracion'!$D$4:$H$15,4,FALSE),"")</x:f>
      </x:c>
      <x:c r="S19" s="153"/>
      <x:c r="T19" s="153"/>
      <x:c r="U19" s="156" t="str">
        <x:f>IF(OR(S19="",T19=""),"",MOD(T19-S19,1)*24)</x:f>
      </x:c>
      <x:c r="V19" s="154"/>
      <x:c r="W19" s="154"/>
      <x:c r="X19" s="151" t="str">
        <x:f>IFERROR(VLOOKUP(N19,'Configuracion'!$D$4:$H$15,5,FALSE),"")</x:f>
      </x:c>
      <x:c r="Y19" s="151" t="str">
        <x:f>IFERROR(VLOOKUP(V19,'Cuadrillas'!$A$5:$J$14,2,FALSE),"")</x:f>
      </x:c>
      <x:c r="Z19" s="154"/>
      <x:c r="AA19" s="154"/>
      <x:c r="AB19" s="154"/>
      <x:c r="AC19" s="153"/>
      <x:c r="AD19" s="153"/>
      <x:c r="AE19" s="156" t="str">
        <x:f>IF(OR(AC19="",AD19=""),"",MOD(AD19-AC19,1)*24)</x:f>
      </x:c>
      <x:c r="AF19" s="154"/>
      <x:c r="AG19" s="156" t="str">
        <x:f>IF(AE19="","",MAX(0,AE19-IF(AF19="",0,AF19/60)))</x:f>
      </x:c>
      <x:c r="AH19" s="155"/>
      <x:c r="AI19" s="154"/>
      <x:c r="AJ19" s="154"/>
      <x:c r="AK19" s="156" t="n">
        <x:f>IFERROR(U19*W19,"")</x:f>
        <x:v>0</x:v>
      </x:c>
      <x:c r="AL19" s="156" t="n">
        <x:f>IFERROR(AE19*AI19,"")</x:f>
        <x:v>0</x:v>
      </x:c>
      <x:c r="AM19" s="157" t="str">
        <x:f>IFERROR(AH19/Q19,"")</x:f>
      </x:c>
      <x:c r="AN19" s="156" t="str">
        <x:f>IFERROR(AH19/AG19,"")</x:f>
      </x:c>
      <x:c r="AO19" s="156" t="str">
        <x:f>IFERROR(AL19/AH19,"")</x:f>
      </x:c>
      <x:c r="AP19" s="157" t="str">
        <x:f>IFERROR(AG19/AE19,"")</x:f>
      </x:c>
      <x:c r="AQ19" s="157" t="str">
        <x:f>IFERROR(AN19/(R19/'Configuracion'!$B$13),"")</x:f>
      </x:c>
      <x:c r="AR19" s="156" t="n">
        <x:f>IFERROR(AE19-U19,"")</x:f>
        <x:v>0</x:v>
      </x:c>
      <x:c r="AS19" s="154"/>
      <x:c r="AT19" s="154"/>
      <x:c r="AU19" s="154"/>
      <x:c r="AV19" s="154"/>
      <x:c r="AW19" s="152"/>
      <x:c r="AX19" s="154"/>
      <x:c r="AY19" s="154"/>
      <x:c r="AZ19" s="151"/>
      <x:c r="BA19" s="151"/>
    </x:row>
    <x:row r="20">
      <x:c r="A20" s="151" t="str">
        <x:f>IF(B20="","",TEXT(B20,"yyyymmdd")&amp;"-"&amp;TEXT(COUNTIF($B$5:B20,B20),"000"))</x:f>
      </x:c>
      <x:c r="B20" s="152"/>
      <x:c r="C20" s="153"/>
      <x:c r="D20" s="151" t="str">
        <x:f>IF(B20="","",'Configuracion'!$B$4)</x:f>
      </x:c>
      <x:c r="E20" s="154"/>
      <x:c r="F20" s="154"/>
      <x:c r="G20" s="151" t="str">
        <x:f>IFERROR(VLOOKUP(F20,'Base Sectores'!$A$5:$J$47,2,FALSE),"")</x:f>
      </x:c>
      <x:c r="H20" s="151" t="str">
        <x:f>IFERROR(VLOOKUP(F20,'Base Sectores'!$A$5:$J$47,3,FALSE),"")</x:f>
      </x:c>
      <x:c r="I20" s="151" t="str">
        <x:f>IFERROR(VLOOKUP(F20,'Base Sectores'!$A$5:$J$47,4,FALSE),"")</x:f>
      </x:c>
      <x:c r="J20" s="151" t="str">
        <x:f>IFERROR(VLOOKUP(F20,'Base Sectores'!$A$5:$J$47,5,FALSE),"")</x:f>
      </x:c>
      <x:c r="K20" s="151" t="str">
        <x:f>IFERROR(VLOOKUP(F20,'Base Sectores'!$A$5:$J$47,6,FALSE),"")</x:f>
      </x:c>
      <x:c r="L20" s="151" t="str">
        <x:f>IFERROR(VLOOKUP(F20,'Base Sectores'!$A$5:$J$47,7,FALSE),"")</x:f>
      </x:c>
      <x:c r="M20" s="151" t="str">
        <x:f>IFERROR(VLOOKUP(F20,'Base Sectores'!$A$5:$J$47,9,FALSE),"")</x:f>
      </x:c>
      <x:c r="N20" s="154"/>
      <x:c r="O20" s="151" t="str">
        <x:f>IFERROR(VLOOKUP(N20,'Configuracion'!$D$4:$H$15,2,FALSE),"")</x:f>
      </x:c>
      <x:c r="P20" s="151" t="str">
        <x:f>IFERROR(VLOOKUP(N20,'Configuracion'!$D$4:$H$15,3,FALSE),"")</x:f>
      </x:c>
      <x:c r="Q20" s="155"/>
      <x:c r="R20" s="156" t="str">
        <x:f>IFERROR(VLOOKUP(N20,'Configuracion'!$D$4:$H$15,4,FALSE),"")</x:f>
      </x:c>
      <x:c r="S20" s="153"/>
      <x:c r="T20" s="153"/>
      <x:c r="U20" s="156" t="str">
        <x:f>IF(OR(S20="",T20=""),"",MOD(T20-S20,1)*24)</x:f>
      </x:c>
      <x:c r="V20" s="154"/>
      <x:c r="W20" s="154"/>
      <x:c r="X20" s="151" t="str">
        <x:f>IFERROR(VLOOKUP(N20,'Configuracion'!$D$4:$H$15,5,FALSE),"")</x:f>
      </x:c>
      <x:c r="Y20" s="151" t="str">
        <x:f>IFERROR(VLOOKUP(V20,'Cuadrillas'!$A$5:$J$14,2,FALSE),"")</x:f>
      </x:c>
      <x:c r="Z20" s="154"/>
      <x:c r="AA20" s="154"/>
      <x:c r="AB20" s="154"/>
      <x:c r="AC20" s="153"/>
      <x:c r="AD20" s="153"/>
      <x:c r="AE20" s="156" t="str">
        <x:f>IF(OR(AC20="",AD20=""),"",MOD(AD20-AC20,1)*24)</x:f>
      </x:c>
      <x:c r="AF20" s="154"/>
      <x:c r="AG20" s="156" t="str">
        <x:f>IF(AE20="","",MAX(0,AE20-IF(AF20="",0,AF20/60)))</x:f>
      </x:c>
      <x:c r="AH20" s="155"/>
      <x:c r="AI20" s="154"/>
      <x:c r="AJ20" s="154"/>
      <x:c r="AK20" s="156" t="n">
        <x:f>IFERROR(U20*W20,"")</x:f>
        <x:v>0</x:v>
      </x:c>
      <x:c r="AL20" s="156" t="n">
        <x:f>IFERROR(AE20*AI20,"")</x:f>
        <x:v>0</x:v>
      </x:c>
      <x:c r="AM20" s="157" t="str">
        <x:f>IFERROR(AH20/Q20,"")</x:f>
      </x:c>
      <x:c r="AN20" s="156" t="str">
        <x:f>IFERROR(AH20/AG20,"")</x:f>
      </x:c>
      <x:c r="AO20" s="156" t="str">
        <x:f>IFERROR(AL20/AH20,"")</x:f>
      </x:c>
      <x:c r="AP20" s="157" t="str">
        <x:f>IFERROR(AG20/AE20,"")</x:f>
      </x:c>
      <x:c r="AQ20" s="157" t="str">
        <x:f>IFERROR(AN20/(R20/'Configuracion'!$B$13),"")</x:f>
      </x:c>
      <x:c r="AR20" s="156" t="n">
        <x:f>IFERROR(AE20-U20,"")</x:f>
        <x:v>0</x:v>
      </x:c>
      <x:c r="AS20" s="154"/>
      <x:c r="AT20" s="154"/>
      <x:c r="AU20" s="154"/>
      <x:c r="AV20" s="154"/>
      <x:c r="AW20" s="152"/>
      <x:c r="AX20" s="154"/>
      <x:c r="AY20" s="154"/>
      <x:c r="AZ20" s="151"/>
      <x:c r="BA20" s="151"/>
    </x:row>
    <x:row r="21">
      <x:c r="A21" s="151" t="str">
        <x:f>IF(B21="","",TEXT(B21,"yyyymmdd")&amp;"-"&amp;TEXT(COUNTIF($B$5:B21,B21),"000"))</x:f>
      </x:c>
      <x:c r="B21" s="152"/>
      <x:c r="C21" s="153"/>
      <x:c r="D21" s="151" t="str">
        <x:f>IF(B21="","",'Configuracion'!$B$4)</x:f>
      </x:c>
      <x:c r="E21" s="154"/>
      <x:c r="F21" s="154"/>
      <x:c r="G21" s="151" t="str">
        <x:f>IFERROR(VLOOKUP(F21,'Base Sectores'!$A$5:$J$47,2,FALSE),"")</x:f>
      </x:c>
      <x:c r="H21" s="151" t="str">
        <x:f>IFERROR(VLOOKUP(F21,'Base Sectores'!$A$5:$J$47,3,FALSE),"")</x:f>
      </x:c>
      <x:c r="I21" s="151" t="str">
        <x:f>IFERROR(VLOOKUP(F21,'Base Sectores'!$A$5:$J$47,4,FALSE),"")</x:f>
      </x:c>
      <x:c r="J21" s="151" t="str">
        <x:f>IFERROR(VLOOKUP(F21,'Base Sectores'!$A$5:$J$47,5,FALSE),"")</x:f>
      </x:c>
      <x:c r="K21" s="151" t="str">
        <x:f>IFERROR(VLOOKUP(F21,'Base Sectores'!$A$5:$J$47,6,FALSE),"")</x:f>
      </x:c>
      <x:c r="L21" s="151" t="str">
        <x:f>IFERROR(VLOOKUP(F21,'Base Sectores'!$A$5:$J$47,7,FALSE),"")</x:f>
      </x:c>
      <x:c r="M21" s="151" t="str">
        <x:f>IFERROR(VLOOKUP(F21,'Base Sectores'!$A$5:$J$47,9,FALSE),"")</x:f>
      </x:c>
      <x:c r="N21" s="154"/>
      <x:c r="O21" s="151" t="str">
        <x:f>IFERROR(VLOOKUP(N21,'Configuracion'!$D$4:$H$15,2,FALSE),"")</x:f>
      </x:c>
      <x:c r="P21" s="151" t="str">
        <x:f>IFERROR(VLOOKUP(N21,'Configuracion'!$D$4:$H$15,3,FALSE),"")</x:f>
      </x:c>
      <x:c r="Q21" s="155"/>
      <x:c r="R21" s="156" t="str">
        <x:f>IFERROR(VLOOKUP(N21,'Configuracion'!$D$4:$H$15,4,FALSE),"")</x:f>
      </x:c>
      <x:c r="S21" s="153"/>
      <x:c r="T21" s="153"/>
      <x:c r="U21" s="156" t="str">
        <x:f>IF(OR(S21="",T21=""),"",MOD(T21-S21,1)*24)</x:f>
      </x:c>
      <x:c r="V21" s="154"/>
      <x:c r="W21" s="154"/>
      <x:c r="X21" s="151" t="str">
        <x:f>IFERROR(VLOOKUP(N21,'Configuracion'!$D$4:$H$15,5,FALSE),"")</x:f>
      </x:c>
      <x:c r="Y21" s="151" t="str">
        <x:f>IFERROR(VLOOKUP(V21,'Cuadrillas'!$A$5:$J$14,2,FALSE),"")</x:f>
      </x:c>
      <x:c r="Z21" s="154"/>
      <x:c r="AA21" s="154"/>
      <x:c r="AB21" s="154"/>
      <x:c r="AC21" s="153"/>
      <x:c r="AD21" s="153"/>
      <x:c r="AE21" s="156" t="str">
        <x:f>IF(OR(AC21="",AD21=""),"",MOD(AD21-AC21,1)*24)</x:f>
      </x:c>
      <x:c r="AF21" s="154"/>
      <x:c r="AG21" s="156" t="str">
        <x:f>IF(AE21="","",MAX(0,AE21-IF(AF21="",0,AF21/60)))</x:f>
      </x:c>
      <x:c r="AH21" s="155"/>
      <x:c r="AI21" s="154"/>
      <x:c r="AJ21" s="154"/>
      <x:c r="AK21" s="156" t="n">
        <x:f>IFERROR(U21*W21,"")</x:f>
        <x:v>0</x:v>
      </x:c>
      <x:c r="AL21" s="156" t="n">
        <x:f>IFERROR(AE21*AI21,"")</x:f>
        <x:v>0</x:v>
      </x:c>
      <x:c r="AM21" s="157" t="str">
        <x:f>IFERROR(AH21/Q21,"")</x:f>
      </x:c>
      <x:c r="AN21" s="156" t="str">
        <x:f>IFERROR(AH21/AG21,"")</x:f>
      </x:c>
      <x:c r="AO21" s="156" t="str">
        <x:f>IFERROR(AL21/AH21,"")</x:f>
      </x:c>
      <x:c r="AP21" s="157" t="str">
        <x:f>IFERROR(AG21/AE21,"")</x:f>
      </x:c>
      <x:c r="AQ21" s="157" t="str">
        <x:f>IFERROR(AN21/(R21/'Configuracion'!$B$13),"")</x:f>
      </x:c>
      <x:c r="AR21" s="156" t="n">
        <x:f>IFERROR(AE21-U21,"")</x:f>
        <x:v>0</x:v>
      </x:c>
      <x:c r="AS21" s="154"/>
      <x:c r="AT21" s="154"/>
      <x:c r="AU21" s="154"/>
      <x:c r="AV21" s="154"/>
      <x:c r="AW21" s="152"/>
      <x:c r="AX21" s="154"/>
      <x:c r="AY21" s="154"/>
      <x:c r="AZ21" s="151"/>
      <x:c r="BA21" s="151"/>
    </x:row>
    <x:row r="22">
      <x:c r="A22" s="151" t="str">
        <x:f>IF(B22="","",TEXT(B22,"yyyymmdd")&amp;"-"&amp;TEXT(COUNTIF($B$5:B22,B22),"000"))</x:f>
      </x:c>
      <x:c r="B22" s="152"/>
      <x:c r="C22" s="153"/>
      <x:c r="D22" s="151" t="str">
        <x:f>IF(B22="","",'Configuracion'!$B$4)</x:f>
      </x:c>
      <x:c r="E22" s="154"/>
      <x:c r="F22" s="154"/>
      <x:c r="G22" s="151" t="str">
        <x:f>IFERROR(VLOOKUP(F22,'Base Sectores'!$A$5:$J$47,2,FALSE),"")</x:f>
      </x:c>
      <x:c r="H22" s="151" t="str">
        <x:f>IFERROR(VLOOKUP(F22,'Base Sectores'!$A$5:$J$47,3,FALSE),"")</x:f>
      </x:c>
      <x:c r="I22" s="151" t="str">
        <x:f>IFERROR(VLOOKUP(F22,'Base Sectores'!$A$5:$J$47,4,FALSE),"")</x:f>
      </x:c>
      <x:c r="J22" s="151" t="str">
        <x:f>IFERROR(VLOOKUP(F22,'Base Sectores'!$A$5:$J$47,5,FALSE),"")</x:f>
      </x:c>
      <x:c r="K22" s="151" t="str">
        <x:f>IFERROR(VLOOKUP(F22,'Base Sectores'!$A$5:$J$47,6,FALSE),"")</x:f>
      </x:c>
      <x:c r="L22" s="151" t="str">
        <x:f>IFERROR(VLOOKUP(F22,'Base Sectores'!$A$5:$J$47,7,FALSE),"")</x:f>
      </x:c>
      <x:c r="M22" s="151" t="str">
        <x:f>IFERROR(VLOOKUP(F22,'Base Sectores'!$A$5:$J$47,9,FALSE),"")</x:f>
      </x:c>
      <x:c r="N22" s="154"/>
      <x:c r="O22" s="151" t="str">
        <x:f>IFERROR(VLOOKUP(N22,'Configuracion'!$D$4:$H$15,2,FALSE),"")</x:f>
      </x:c>
      <x:c r="P22" s="151" t="str">
        <x:f>IFERROR(VLOOKUP(N22,'Configuracion'!$D$4:$H$15,3,FALSE),"")</x:f>
      </x:c>
      <x:c r="Q22" s="155"/>
      <x:c r="R22" s="156" t="str">
        <x:f>IFERROR(VLOOKUP(N22,'Configuracion'!$D$4:$H$15,4,FALSE),"")</x:f>
      </x:c>
      <x:c r="S22" s="153"/>
      <x:c r="T22" s="153"/>
      <x:c r="U22" s="156" t="str">
        <x:f>IF(OR(S22="",T22=""),"",MOD(T22-S22,1)*24)</x:f>
      </x:c>
      <x:c r="V22" s="154"/>
      <x:c r="W22" s="154"/>
      <x:c r="X22" s="151" t="str">
        <x:f>IFERROR(VLOOKUP(N22,'Configuracion'!$D$4:$H$15,5,FALSE),"")</x:f>
      </x:c>
      <x:c r="Y22" s="151" t="str">
        <x:f>IFERROR(VLOOKUP(V22,'Cuadrillas'!$A$5:$J$14,2,FALSE),"")</x:f>
      </x:c>
      <x:c r="Z22" s="154"/>
      <x:c r="AA22" s="154"/>
      <x:c r="AB22" s="154"/>
      <x:c r="AC22" s="153"/>
      <x:c r="AD22" s="153"/>
      <x:c r="AE22" s="156" t="str">
        <x:f>IF(OR(AC22="",AD22=""),"",MOD(AD22-AC22,1)*24)</x:f>
      </x:c>
      <x:c r="AF22" s="154"/>
      <x:c r="AG22" s="156" t="str">
        <x:f>IF(AE22="","",MAX(0,AE22-IF(AF22="",0,AF22/60)))</x:f>
      </x:c>
      <x:c r="AH22" s="155"/>
      <x:c r="AI22" s="154"/>
      <x:c r="AJ22" s="154"/>
      <x:c r="AK22" s="156" t="n">
        <x:f>IFERROR(U22*W22,"")</x:f>
        <x:v>0</x:v>
      </x:c>
      <x:c r="AL22" s="156" t="n">
        <x:f>IFERROR(AE22*AI22,"")</x:f>
        <x:v>0</x:v>
      </x:c>
      <x:c r="AM22" s="157" t="str">
        <x:f>IFERROR(AH22/Q22,"")</x:f>
      </x:c>
      <x:c r="AN22" s="156" t="str">
        <x:f>IFERROR(AH22/AG22,"")</x:f>
      </x:c>
      <x:c r="AO22" s="156" t="str">
        <x:f>IFERROR(AL22/AH22,"")</x:f>
      </x:c>
      <x:c r="AP22" s="157" t="str">
        <x:f>IFERROR(AG22/AE22,"")</x:f>
      </x:c>
      <x:c r="AQ22" s="157" t="str">
        <x:f>IFERROR(AN22/(R22/'Configuracion'!$B$13),"")</x:f>
      </x:c>
      <x:c r="AR22" s="156" t="n">
        <x:f>IFERROR(AE22-U22,"")</x:f>
        <x:v>0</x:v>
      </x:c>
      <x:c r="AS22" s="154"/>
      <x:c r="AT22" s="154"/>
      <x:c r="AU22" s="154"/>
      <x:c r="AV22" s="154"/>
      <x:c r="AW22" s="152"/>
      <x:c r="AX22" s="154"/>
      <x:c r="AY22" s="154"/>
      <x:c r="AZ22" s="151"/>
      <x:c r="BA22" s="151"/>
    </x:row>
    <x:row r="23">
      <x:c r="A23" s="151" t="str">
        <x:f>IF(B23="","",TEXT(B23,"yyyymmdd")&amp;"-"&amp;TEXT(COUNTIF($B$5:B23,B23),"000"))</x:f>
      </x:c>
      <x:c r="B23" s="152"/>
      <x:c r="C23" s="153"/>
      <x:c r="D23" s="151" t="str">
        <x:f>IF(B23="","",'Configuracion'!$B$4)</x:f>
      </x:c>
      <x:c r="E23" s="154"/>
      <x:c r="F23" s="154"/>
      <x:c r="G23" s="151" t="str">
        <x:f>IFERROR(VLOOKUP(F23,'Base Sectores'!$A$5:$J$47,2,FALSE),"")</x:f>
      </x:c>
      <x:c r="H23" s="151" t="str">
        <x:f>IFERROR(VLOOKUP(F23,'Base Sectores'!$A$5:$J$47,3,FALSE),"")</x:f>
      </x:c>
      <x:c r="I23" s="151" t="str">
        <x:f>IFERROR(VLOOKUP(F23,'Base Sectores'!$A$5:$J$47,4,FALSE),"")</x:f>
      </x:c>
      <x:c r="J23" s="151" t="str">
        <x:f>IFERROR(VLOOKUP(F23,'Base Sectores'!$A$5:$J$47,5,FALSE),"")</x:f>
      </x:c>
      <x:c r="K23" s="151" t="str">
        <x:f>IFERROR(VLOOKUP(F23,'Base Sectores'!$A$5:$J$47,6,FALSE),"")</x:f>
      </x:c>
      <x:c r="L23" s="151" t="str">
        <x:f>IFERROR(VLOOKUP(F23,'Base Sectores'!$A$5:$J$47,7,FALSE),"")</x:f>
      </x:c>
      <x:c r="M23" s="151" t="str">
        <x:f>IFERROR(VLOOKUP(F23,'Base Sectores'!$A$5:$J$47,9,FALSE),"")</x:f>
      </x:c>
      <x:c r="N23" s="154"/>
      <x:c r="O23" s="151" t="str">
        <x:f>IFERROR(VLOOKUP(N23,'Configuracion'!$D$4:$H$15,2,FALSE),"")</x:f>
      </x:c>
      <x:c r="P23" s="151" t="str">
        <x:f>IFERROR(VLOOKUP(N23,'Configuracion'!$D$4:$H$15,3,FALSE),"")</x:f>
      </x:c>
      <x:c r="Q23" s="155"/>
      <x:c r="R23" s="156" t="str">
        <x:f>IFERROR(VLOOKUP(N23,'Configuracion'!$D$4:$H$15,4,FALSE),"")</x:f>
      </x:c>
      <x:c r="S23" s="153"/>
      <x:c r="T23" s="153"/>
      <x:c r="U23" s="156" t="str">
        <x:f>IF(OR(S23="",T23=""),"",MOD(T23-S23,1)*24)</x:f>
      </x:c>
      <x:c r="V23" s="154"/>
      <x:c r="W23" s="154"/>
      <x:c r="X23" s="151" t="str">
        <x:f>IFERROR(VLOOKUP(N23,'Configuracion'!$D$4:$H$15,5,FALSE),"")</x:f>
      </x:c>
      <x:c r="Y23" s="151" t="str">
        <x:f>IFERROR(VLOOKUP(V23,'Cuadrillas'!$A$5:$J$14,2,FALSE),"")</x:f>
      </x:c>
      <x:c r="Z23" s="154"/>
      <x:c r="AA23" s="154"/>
      <x:c r="AB23" s="154"/>
      <x:c r="AC23" s="153"/>
      <x:c r="AD23" s="153"/>
      <x:c r="AE23" s="156" t="str">
        <x:f>IF(OR(AC23="",AD23=""),"",MOD(AD23-AC23,1)*24)</x:f>
      </x:c>
      <x:c r="AF23" s="154"/>
      <x:c r="AG23" s="156" t="str">
        <x:f>IF(AE23="","",MAX(0,AE23-IF(AF23="",0,AF23/60)))</x:f>
      </x:c>
      <x:c r="AH23" s="155"/>
      <x:c r="AI23" s="154"/>
      <x:c r="AJ23" s="154"/>
      <x:c r="AK23" s="156" t="n">
        <x:f>IFERROR(U23*W23,"")</x:f>
        <x:v>0</x:v>
      </x:c>
      <x:c r="AL23" s="156" t="n">
        <x:f>IFERROR(AE23*AI23,"")</x:f>
        <x:v>0</x:v>
      </x:c>
      <x:c r="AM23" s="157" t="str">
        <x:f>IFERROR(AH23/Q23,"")</x:f>
      </x:c>
      <x:c r="AN23" s="156" t="str">
        <x:f>IFERROR(AH23/AG23,"")</x:f>
      </x:c>
      <x:c r="AO23" s="156" t="str">
        <x:f>IFERROR(AL23/AH23,"")</x:f>
      </x:c>
      <x:c r="AP23" s="157" t="str">
        <x:f>IFERROR(AG23/AE23,"")</x:f>
      </x:c>
      <x:c r="AQ23" s="157" t="str">
        <x:f>IFERROR(AN23/(R23/'Configuracion'!$B$13),"")</x:f>
      </x:c>
      <x:c r="AR23" s="156" t="n">
        <x:f>IFERROR(AE23-U23,"")</x:f>
        <x:v>0</x:v>
      </x:c>
      <x:c r="AS23" s="154"/>
      <x:c r="AT23" s="154"/>
      <x:c r="AU23" s="154"/>
      <x:c r="AV23" s="154"/>
      <x:c r="AW23" s="152"/>
      <x:c r="AX23" s="154"/>
      <x:c r="AY23" s="154"/>
      <x:c r="AZ23" s="151"/>
      <x:c r="BA23" s="151"/>
    </x:row>
    <x:row r="24">
      <x:c r="A24" s="151" t="str">
        <x:f>IF(B24="","",TEXT(B24,"yyyymmdd")&amp;"-"&amp;TEXT(COUNTIF($B$5:B24,B24),"000"))</x:f>
      </x:c>
      <x:c r="B24" s="152"/>
      <x:c r="C24" s="153"/>
      <x:c r="D24" s="151" t="str">
        <x:f>IF(B24="","",'Configuracion'!$B$4)</x:f>
      </x:c>
      <x:c r="E24" s="154"/>
      <x:c r="F24" s="154"/>
      <x:c r="G24" s="151" t="str">
        <x:f>IFERROR(VLOOKUP(F24,'Base Sectores'!$A$5:$J$47,2,FALSE),"")</x:f>
      </x:c>
      <x:c r="H24" s="151" t="str">
        <x:f>IFERROR(VLOOKUP(F24,'Base Sectores'!$A$5:$J$47,3,FALSE),"")</x:f>
      </x:c>
      <x:c r="I24" s="151" t="str">
        <x:f>IFERROR(VLOOKUP(F24,'Base Sectores'!$A$5:$J$47,4,FALSE),"")</x:f>
      </x:c>
      <x:c r="J24" s="151" t="str">
        <x:f>IFERROR(VLOOKUP(F24,'Base Sectores'!$A$5:$J$47,5,FALSE),"")</x:f>
      </x:c>
      <x:c r="K24" s="151" t="str">
        <x:f>IFERROR(VLOOKUP(F24,'Base Sectores'!$A$5:$J$47,6,FALSE),"")</x:f>
      </x:c>
      <x:c r="L24" s="151" t="str">
        <x:f>IFERROR(VLOOKUP(F24,'Base Sectores'!$A$5:$J$47,7,FALSE),"")</x:f>
      </x:c>
      <x:c r="M24" s="151" t="str">
        <x:f>IFERROR(VLOOKUP(F24,'Base Sectores'!$A$5:$J$47,9,FALSE),"")</x:f>
      </x:c>
      <x:c r="N24" s="154"/>
      <x:c r="O24" s="151" t="str">
        <x:f>IFERROR(VLOOKUP(N24,'Configuracion'!$D$4:$H$15,2,FALSE),"")</x:f>
      </x:c>
      <x:c r="P24" s="151" t="str">
        <x:f>IFERROR(VLOOKUP(N24,'Configuracion'!$D$4:$H$15,3,FALSE),"")</x:f>
      </x:c>
      <x:c r="Q24" s="155"/>
      <x:c r="R24" s="156" t="str">
        <x:f>IFERROR(VLOOKUP(N24,'Configuracion'!$D$4:$H$15,4,FALSE),"")</x:f>
      </x:c>
      <x:c r="S24" s="153"/>
      <x:c r="T24" s="153"/>
      <x:c r="U24" s="156" t="str">
        <x:f>IF(OR(S24="",T24=""),"",MOD(T24-S24,1)*24)</x:f>
      </x:c>
      <x:c r="V24" s="154"/>
      <x:c r="W24" s="154"/>
      <x:c r="X24" s="151" t="str">
        <x:f>IFERROR(VLOOKUP(N24,'Configuracion'!$D$4:$H$15,5,FALSE),"")</x:f>
      </x:c>
      <x:c r="Y24" s="151" t="str">
        <x:f>IFERROR(VLOOKUP(V24,'Cuadrillas'!$A$5:$J$14,2,FALSE),"")</x:f>
      </x:c>
      <x:c r="Z24" s="154"/>
      <x:c r="AA24" s="154"/>
      <x:c r="AB24" s="154"/>
      <x:c r="AC24" s="153"/>
      <x:c r="AD24" s="153"/>
      <x:c r="AE24" s="156" t="str">
        <x:f>IF(OR(AC24="",AD24=""),"",MOD(AD24-AC24,1)*24)</x:f>
      </x:c>
      <x:c r="AF24" s="154"/>
      <x:c r="AG24" s="156" t="str">
        <x:f>IF(AE24="","",MAX(0,AE24-IF(AF24="",0,AF24/60)))</x:f>
      </x:c>
      <x:c r="AH24" s="155"/>
      <x:c r="AI24" s="154"/>
      <x:c r="AJ24" s="154"/>
      <x:c r="AK24" s="156" t="n">
        <x:f>IFERROR(U24*W24,"")</x:f>
        <x:v>0</x:v>
      </x:c>
      <x:c r="AL24" s="156" t="n">
        <x:f>IFERROR(AE24*AI24,"")</x:f>
        <x:v>0</x:v>
      </x:c>
      <x:c r="AM24" s="157" t="str">
        <x:f>IFERROR(AH24/Q24,"")</x:f>
      </x:c>
      <x:c r="AN24" s="156" t="str">
        <x:f>IFERROR(AH24/AG24,"")</x:f>
      </x:c>
      <x:c r="AO24" s="156" t="str">
        <x:f>IFERROR(AL24/AH24,"")</x:f>
      </x:c>
      <x:c r="AP24" s="157" t="str">
        <x:f>IFERROR(AG24/AE24,"")</x:f>
      </x:c>
      <x:c r="AQ24" s="157" t="str">
        <x:f>IFERROR(AN24/(R24/'Configuracion'!$B$13),"")</x:f>
      </x:c>
      <x:c r="AR24" s="156" t="n">
        <x:f>IFERROR(AE24-U24,"")</x:f>
        <x:v>0</x:v>
      </x:c>
      <x:c r="AS24" s="154"/>
      <x:c r="AT24" s="154"/>
      <x:c r="AU24" s="154"/>
      <x:c r="AV24" s="154"/>
      <x:c r="AW24" s="152"/>
      <x:c r="AX24" s="154"/>
      <x:c r="AY24" s="154"/>
      <x:c r="AZ24" s="151"/>
      <x:c r="BA24" s="151"/>
    </x:row>
    <x:row r="25">
      <x:c r="A25" s="151" t="str">
        <x:f>IF(B25="","",TEXT(B25,"yyyymmdd")&amp;"-"&amp;TEXT(COUNTIF($B$5:B25,B25),"000"))</x:f>
      </x:c>
      <x:c r="B25" s="152"/>
      <x:c r="C25" s="153"/>
      <x:c r="D25" s="151" t="str">
        <x:f>IF(B25="","",'Configuracion'!$B$4)</x:f>
      </x:c>
      <x:c r="E25" s="154"/>
      <x:c r="F25" s="154"/>
      <x:c r="G25" s="151" t="str">
        <x:f>IFERROR(VLOOKUP(F25,'Base Sectores'!$A$5:$J$47,2,FALSE),"")</x:f>
      </x:c>
      <x:c r="H25" s="151" t="str">
        <x:f>IFERROR(VLOOKUP(F25,'Base Sectores'!$A$5:$J$47,3,FALSE),"")</x:f>
      </x:c>
      <x:c r="I25" s="151" t="str">
        <x:f>IFERROR(VLOOKUP(F25,'Base Sectores'!$A$5:$J$47,4,FALSE),"")</x:f>
      </x:c>
      <x:c r="J25" s="151" t="str">
        <x:f>IFERROR(VLOOKUP(F25,'Base Sectores'!$A$5:$J$47,5,FALSE),"")</x:f>
      </x:c>
      <x:c r="K25" s="151" t="str">
        <x:f>IFERROR(VLOOKUP(F25,'Base Sectores'!$A$5:$J$47,6,FALSE),"")</x:f>
      </x:c>
      <x:c r="L25" s="151" t="str">
        <x:f>IFERROR(VLOOKUP(F25,'Base Sectores'!$A$5:$J$47,7,FALSE),"")</x:f>
      </x:c>
      <x:c r="M25" s="151" t="str">
        <x:f>IFERROR(VLOOKUP(F25,'Base Sectores'!$A$5:$J$47,9,FALSE),"")</x:f>
      </x:c>
      <x:c r="N25" s="154"/>
      <x:c r="O25" s="151" t="str">
        <x:f>IFERROR(VLOOKUP(N25,'Configuracion'!$D$4:$H$15,2,FALSE),"")</x:f>
      </x:c>
      <x:c r="P25" s="151" t="str">
        <x:f>IFERROR(VLOOKUP(N25,'Configuracion'!$D$4:$H$15,3,FALSE),"")</x:f>
      </x:c>
      <x:c r="Q25" s="155"/>
      <x:c r="R25" s="156" t="str">
        <x:f>IFERROR(VLOOKUP(N25,'Configuracion'!$D$4:$H$15,4,FALSE),"")</x:f>
      </x:c>
      <x:c r="S25" s="153"/>
      <x:c r="T25" s="153"/>
      <x:c r="U25" s="156" t="str">
        <x:f>IF(OR(S25="",T25=""),"",MOD(T25-S25,1)*24)</x:f>
      </x:c>
      <x:c r="V25" s="154"/>
      <x:c r="W25" s="154"/>
      <x:c r="X25" s="151" t="str">
        <x:f>IFERROR(VLOOKUP(N25,'Configuracion'!$D$4:$H$15,5,FALSE),"")</x:f>
      </x:c>
      <x:c r="Y25" s="151" t="str">
        <x:f>IFERROR(VLOOKUP(V25,'Cuadrillas'!$A$5:$J$14,2,FALSE),"")</x:f>
      </x:c>
      <x:c r="Z25" s="154"/>
      <x:c r="AA25" s="154"/>
      <x:c r="AB25" s="154"/>
      <x:c r="AC25" s="153"/>
      <x:c r="AD25" s="153"/>
      <x:c r="AE25" s="156" t="str">
        <x:f>IF(OR(AC25="",AD25=""),"",MOD(AD25-AC25,1)*24)</x:f>
      </x:c>
      <x:c r="AF25" s="154"/>
      <x:c r="AG25" s="156" t="str">
        <x:f>IF(AE25="","",MAX(0,AE25-IF(AF25="",0,AF25/60)))</x:f>
      </x:c>
      <x:c r="AH25" s="155"/>
      <x:c r="AI25" s="154"/>
      <x:c r="AJ25" s="154"/>
      <x:c r="AK25" s="156" t="n">
        <x:f>IFERROR(U25*W25,"")</x:f>
        <x:v>0</x:v>
      </x:c>
      <x:c r="AL25" s="156" t="n">
        <x:f>IFERROR(AE25*AI25,"")</x:f>
        <x:v>0</x:v>
      </x:c>
      <x:c r="AM25" s="157" t="str">
        <x:f>IFERROR(AH25/Q25,"")</x:f>
      </x:c>
      <x:c r="AN25" s="156" t="str">
        <x:f>IFERROR(AH25/AG25,"")</x:f>
      </x:c>
      <x:c r="AO25" s="156" t="str">
        <x:f>IFERROR(AL25/AH25,"")</x:f>
      </x:c>
      <x:c r="AP25" s="157" t="str">
        <x:f>IFERROR(AG25/AE25,"")</x:f>
      </x:c>
      <x:c r="AQ25" s="157" t="str">
        <x:f>IFERROR(AN25/(R25/'Configuracion'!$B$13),"")</x:f>
      </x:c>
      <x:c r="AR25" s="156" t="n">
        <x:f>IFERROR(AE25-U25,"")</x:f>
        <x:v>0</x:v>
      </x:c>
      <x:c r="AS25" s="154"/>
      <x:c r="AT25" s="154"/>
      <x:c r="AU25" s="154"/>
      <x:c r="AV25" s="154"/>
      <x:c r="AW25" s="152"/>
      <x:c r="AX25" s="154"/>
      <x:c r="AY25" s="154"/>
      <x:c r="AZ25" s="151"/>
      <x:c r="BA25" s="151"/>
    </x:row>
    <x:row r="26">
      <x:c r="A26" s="151" t="str">
        <x:f>IF(B26="","",TEXT(B26,"yyyymmdd")&amp;"-"&amp;TEXT(COUNTIF($B$5:B26,B26),"000"))</x:f>
      </x:c>
      <x:c r="B26" s="152"/>
      <x:c r="C26" s="153"/>
      <x:c r="D26" s="151" t="str">
        <x:f>IF(B26="","",'Configuracion'!$B$4)</x:f>
      </x:c>
      <x:c r="E26" s="154"/>
      <x:c r="F26" s="154"/>
      <x:c r="G26" s="151" t="str">
        <x:f>IFERROR(VLOOKUP(F26,'Base Sectores'!$A$5:$J$47,2,FALSE),"")</x:f>
      </x:c>
      <x:c r="H26" s="151" t="str">
        <x:f>IFERROR(VLOOKUP(F26,'Base Sectores'!$A$5:$J$47,3,FALSE),"")</x:f>
      </x:c>
      <x:c r="I26" s="151" t="str">
        <x:f>IFERROR(VLOOKUP(F26,'Base Sectores'!$A$5:$J$47,4,FALSE),"")</x:f>
      </x:c>
      <x:c r="J26" s="151" t="str">
        <x:f>IFERROR(VLOOKUP(F26,'Base Sectores'!$A$5:$J$47,5,FALSE),"")</x:f>
      </x:c>
      <x:c r="K26" s="151" t="str">
        <x:f>IFERROR(VLOOKUP(F26,'Base Sectores'!$A$5:$J$47,6,FALSE),"")</x:f>
      </x:c>
      <x:c r="L26" s="151" t="str">
        <x:f>IFERROR(VLOOKUP(F26,'Base Sectores'!$A$5:$J$47,7,FALSE),"")</x:f>
      </x:c>
      <x:c r="M26" s="151" t="str">
        <x:f>IFERROR(VLOOKUP(F26,'Base Sectores'!$A$5:$J$47,9,FALSE),"")</x:f>
      </x:c>
      <x:c r="N26" s="154"/>
      <x:c r="O26" s="151" t="str">
        <x:f>IFERROR(VLOOKUP(N26,'Configuracion'!$D$4:$H$15,2,FALSE),"")</x:f>
      </x:c>
      <x:c r="P26" s="151" t="str">
        <x:f>IFERROR(VLOOKUP(N26,'Configuracion'!$D$4:$H$15,3,FALSE),"")</x:f>
      </x:c>
      <x:c r="Q26" s="155"/>
      <x:c r="R26" s="156" t="str">
        <x:f>IFERROR(VLOOKUP(N26,'Configuracion'!$D$4:$H$15,4,FALSE),"")</x:f>
      </x:c>
      <x:c r="S26" s="153"/>
      <x:c r="T26" s="153"/>
      <x:c r="U26" s="156" t="str">
        <x:f>IF(OR(S26="",T26=""),"",MOD(T26-S26,1)*24)</x:f>
      </x:c>
      <x:c r="V26" s="154"/>
      <x:c r="W26" s="154"/>
      <x:c r="X26" s="151" t="str">
        <x:f>IFERROR(VLOOKUP(N26,'Configuracion'!$D$4:$H$15,5,FALSE),"")</x:f>
      </x:c>
      <x:c r="Y26" s="151" t="str">
        <x:f>IFERROR(VLOOKUP(V26,'Cuadrillas'!$A$5:$J$14,2,FALSE),"")</x:f>
      </x:c>
      <x:c r="Z26" s="154"/>
      <x:c r="AA26" s="154"/>
      <x:c r="AB26" s="154"/>
      <x:c r="AC26" s="153"/>
      <x:c r="AD26" s="153"/>
      <x:c r="AE26" s="156" t="str">
        <x:f>IF(OR(AC26="",AD26=""),"",MOD(AD26-AC26,1)*24)</x:f>
      </x:c>
      <x:c r="AF26" s="154"/>
      <x:c r="AG26" s="156" t="str">
        <x:f>IF(AE26="","",MAX(0,AE26-IF(AF26="",0,AF26/60)))</x:f>
      </x:c>
      <x:c r="AH26" s="155"/>
      <x:c r="AI26" s="154"/>
      <x:c r="AJ26" s="154"/>
      <x:c r="AK26" s="156" t="n">
        <x:f>IFERROR(U26*W26,"")</x:f>
        <x:v>0</x:v>
      </x:c>
      <x:c r="AL26" s="156" t="n">
        <x:f>IFERROR(AE26*AI26,"")</x:f>
        <x:v>0</x:v>
      </x:c>
      <x:c r="AM26" s="157" t="str">
        <x:f>IFERROR(AH26/Q26,"")</x:f>
      </x:c>
      <x:c r="AN26" s="156" t="str">
        <x:f>IFERROR(AH26/AG26,"")</x:f>
      </x:c>
      <x:c r="AO26" s="156" t="str">
        <x:f>IFERROR(AL26/AH26,"")</x:f>
      </x:c>
      <x:c r="AP26" s="157" t="str">
        <x:f>IFERROR(AG26/AE26,"")</x:f>
      </x:c>
      <x:c r="AQ26" s="157" t="str">
        <x:f>IFERROR(AN26/(R26/'Configuracion'!$B$13),"")</x:f>
      </x:c>
      <x:c r="AR26" s="156" t="n">
        <x:f>IFERROR(AE26-U26,"")</x:f>
        <x:v>0</x:v>
      </x:c>
      <x:c r="AS26" s="154"/>
      <x:c r="AT26" s="154"/>
      <x:c r="AU26" s="154"/>
      <x:c r="AV26" s="154"/>
      <x:c r="AW26" s="152"/>
      <x:c r="AX26" s="154"/>
      <x:c r="AY26" s="154"/>
      <x:c r="AZ26" s="151"/>
      <x:c r="BA26" s="151"/>
    </x:row>
    <x:row r="27">
      <x:c r="A27" s="151" t="str">
        <x:f>IF(B27="","",TEXT(B27,"yyyymmdd")&amp;"-"&amp;TEXT(COUNTIF($B$5:B27,B27),"000"))</x:f>
      </x:c>
      <x:c r="B27" s="152"/>
      <x:c r="C27" s="153"/>
      <x:c r="D27" s="151" t="str">
        <x:f>IF(B27="","",'Configuracion'!$B$4)</x:f>
      </x:c>
      <x:c r="E27" s="154"/>
      <x:c r="F27" s="154"/>
      <x:c r="G27" s="151" t="str">
        <x:f>IFERROR(VLOOKUP(F27,'Base Sectores'!$A$5:$J$47,2,FALSE),"")</x:f>
      </x:c>
      <x:c r="H27" s="151" t="str">
        <x:f>IFERROR(VLOOKUP(F27,'Base Sectores'!$A$5:$J$47,3,FALSE),"")</x:f>
      </x:c>
      <x:c r="I27" s="151" t="str">
        <x:f>IFERROR(VLOOKUP(F27,'Base Sectores'!$A$5:$J$47,4,FALSE),"")</x:f>
      </x:c>
      <x:c r="J27" s="151" t="str">
        <x:f>IFERROR(VLOOKUP(F27,'Base Sectores'!$A$5:$J$47,5,FALSE),"")</x:f>
      </x:c>
      <x:c r="K27" s="151" t="str">
        <x:f>IFERROR(VLOOKUP(F27,'Base Sectores'!$A$5:$J$47,6,FALSE),"")</x:f>
      </x:c>
      <x:c r="L27" s="151" t="str">
        <x:f>IFERROR(VLOOKUP(F27,'Base Sectores'!$A$5:$J$47,7,FALSE),"")</x:f>
      </x:c>
      <x:c r="M27" s="151" t="str">
        <x:f>IFERROR(VLOOKUP(F27,'Base Sectores'!$A$5:$J$47,9,FALSE),"")</x:f>
      </x:c>
      <x:c r="N27" s="154"/>
      <x:c r="O27" s="151" t="str">
        <x:f>IFERROR(VLOOKUP(N27,'Configuracion'!$D$4:$H$15,2,FALSE),"")</x:f>
      </x:c>
      <x:c r="P27" s="151" t="str">
        <x:f>IFERROR(VLOOKUP(N27,'Configuracion'!$D$4:$H$15,3,FALSE),"")</x:f>
      </x:c>
      <x:c r="Q27" s="155"/>
      <x:c r="R27" s="156" t="str">
        <x:f>IFERROR(VLOOKUP(N27,'Configuracion'!$D$4:$H$15,4,FALSE),"")</x:f>
      </x:c>
      <x:c r="S27" s="153"/>
      <x:c r="T27" s="153"/>
      <x:c r="U27" s="156" t="str">
        <x:f>IF(OR(S27="",T27=""),"",MOD(T27-S27,1)*24)</x:f>
      </x:c>
      <x:c r="V27" s="154"/>
      <x:c r="W27" s="154"/>
      <x:c r="X27" s="151" t="str">
        <x:f>IFERROR(VLOOKUP(N27,'Configuracion'!$D$4:$H$15,5,FALSE),"")</x:f>
      </x:c>
      <x:c r="Y27" s="151" t="str">
        <x:f>IFERROR(VLOOKUP(V27,'Cuadrillas'!$A$5:$J$14,2,FALSE),"")</x:f>
      </x:c>
      <x:c r="Z27" s="154"/>
      <x:c r="AA27" s="154"/>
      <x:c r="AB27" s="154"/>
      <x:c r="AC27" s="153"/>
      <x:c r="AD27" s="153"/>
      <x:c r="AE27" s="156" t="str">
        <x:f>IF(OR(AC27="",AD27=""),"",MOD(AD27-AC27,1)*24)</x:f>
      </x:c>
      <x:c r="AF27" s="154"/>
      <x:c r="AG27" s="156" t="str">
        <x:f>IF(AE27="","",MAX(0,AE27-IF(AF27="",0,AF27/60)))</x:f>
      </x:c>
      <x:c r="AH27" s="155"/>
      <x:c r="AI27" s="154"/>
      <x:c r="AJ27" s="154"/>
      <x:c r="AK27" s="156" t="n">
        <x:f>IFERROR(U27*W27,"")</x:f>
        <x:v>0</x:v>
      </x:c>
      <x:c r="AL27" s="156" t="n">
        <x:f>IFERROR(AE27*AI27,"")</x:f>
        <x:v>0</x:v>
      </x:c>
      <x:c r="AM27" s="157" t="str">
        <x:f>IFERROR(AH27/Q27,"")</x:f>
      </x:c>
      <x:c r="AN27" s="156" t="str">
        <x:f>IFERROR(AH27/AG27,"")</x:f>
      </x:c>
      <x:c r="AO27" s="156" t="str">
        <x:f>IFERROR(AL27/AH27,"")</x:f>
      </x:c>
      <x:c r="AP27" s="157" t="str">
        <x:f>IFERROR(AG27/AE27,"")</x:f>
      </x:c>
      <x:c r="AQ27" s="157" t="str">
        <x:f>IFERROR(AN27/(R27/'Configuracion'!$B$13),"")</x:f>
      </x:c>
      <x:c r="AR27" s="156" t="n">
        <x:f>IFERROR(AE27-U27,"")</x:f>
        <x:v>0</x:v>
      </x:c>
      <x:c r="AS27" s="154"/>
      <x:c r="AT27" s="154"/>
      <x:c r="AU27" s="154"/>
      <x:c r="AV27" s="154"/>
      <x:c r="AW27" s="152"/>
      <x:c r="AX27" s="154"/>
      <x:c r="AY27" s="154"/>
      <x:c r="AZ27" s="151"/>
      <x:c r="BA27" s="151"/>
    </x:row>
    <x:row r="28">
      <x:c r="A28" s="151" t="str">
        <x:f>IF(B28="","",TEXT(B28,"yyyymmdd")&amp;"-"&amp;TEXT(COUNTIF($B$5:B28,B28),"000"))</x:f>
      </x:c>
      <x:c r="B28" s="152"/>
      <x:c r="C28" s="153"/>
      <x:c r="D28" s="151" t="str">
        <x:f>IF(B28="","",'Configuracion'!$B$4)</x:f>
      </x:c>
      <x:c r="E28" s="154"/>
      <x:c r="F28" s="154"/>
      <x:c r="G28" s="151" t="str">
        <x:f>IFERROR(VLOOKUP(F28,'Base Sectores'!$A$5:$J$47,2,FALSE),"")</x:f>
      </x:c>
      <x:c r="H28" s="151" t="str">
        <x:f>IFERROR(VLOOKUP(F28,'Base Sectores'!$A$5:$J$47,3,FALSE),"")</x:f>
      </x:c>
      <x:c r="I28" s="151" t="str">
        <x:f>IFERROR(VLOOKUP(F28,'Base Sectores'!$A$5:$J$47,4,FALSE),"")</x:f>
      </x:c>
      <x:c r="J28" s="151" t="str">
        <x:f>IFERROR(VLOOKUP(F28,'Base Sectores'!$A$5:$J$47,5,FALSE),"")</x:f>
      </x:c>
      <x:c r="K28" s="151" t="str">
        <x:f>IFERROR(VLOOKUP(F28,'Base Sectores'!$A$5:$J$47,6,FALSE),"")</x:f>
      </x:c>
      <x:c r="L28" s="151" t="str">
        <x:f>IFERROR(VLOOKUP(F28,'Base Sectores'!$A$5:$J$47,7,FALSE),"")</x:f>
      </x:c>
      <x:c r="M28" s="151" t="str">
        <x:f>IFERROR(VLOOKUP(F28,'Base Sectores'!$A$5:$J$47,9,FALSE),"")</x:f>
      </x:c>
      <x:c r="N28" s="154"/>
      <x:c r="O28" s="151" t="str">
        <x:f>IFERROR(VLOOKUP(N28,'Configuracion'!$D$4:$H$15,2,FALSE),"")</x:f>
      </x:c>
      <x:c r="P28" s="151" t="str">
        <x:f>IFERROR(VLOOKUP(N28,'Configuracion'!$D$4:$H$15,3,FALSE),"")</x:f>
      </x:c>
      <x:c r="Q28" s="155"/>
      <x:c r="R28" s="156" t="str">
        <x:f>IFERROR(VLOOKUP(N28,'Configuracion'!$D$4:$H$15,4,FALSE),"")</x:f>
      </x:c>
      <x:c r="S28" s="153"/>
      <x:c r="T28" s="153"/>
      <x:c r="U28" s="156" t="str">
        <x:f>IF(OR(S28="",T28=""),"",MOD(T28-S28,1)*24)</x:f>
      </x:c>
      <x:c r="V28" s="154"/>
      <x:c r="W28" s="154"/>
      <x:c r="X28" s="151" t="str">
        <x:f>IFERROR(VLOOKUP(N28,'Configuracion'!$D$4:$H$15,5,FALSE),"")</x:f>
      </x:c>
      <x:c r="Y28" s="151" t="str">
        <x:f>IFERROR(VLOOKUP(V28,'Cuadrillas'!$A$5:$J$14,2,FALSE),"")</x:f>
      </x:c>
      <x:c r="Z28" s="154"/>
      <x:c r="AA28" s="154"/>
      <x:c r="AB28" s="154"/>
      <x:c r="AC28" s="153"/>
      <x:c r="AD28" s="153"/>
      <x:c r="AE28" s="156" t="str">
        <x:f>IF(OR(AC28="",AD28=""),"",MOD(AD28-AC28,1)*24)</x:f>
      </x:c>
      <x:c r="AF28" s="154"/>
      <x:c r="AG28" s="156" t="str">
        <x:f>IF(AE28="","",MAX(0,AE28-IF(AF28="",0,AF28/60)))</x:f>
      </x:c>
      <x:c r="AH28" s="155"/>
      <x:c r="AI28" s="154"/>
      <x:c r="AJ28" s="154"/>
      <x:c r="AK28" s="156" t="n">
        <x:f>IFERROR(U28*W28,"")</x:f>
        <x:v>0</x:v>
      </x:c>
      <x:c r="AL28" s="156" t="n">
        <x:f>IFERROR(AE28*AI28,"")</x:f>
        <x:v>0</x:v>
      </x:c>
      <x:c r="AM28" s="157" t="str">
        <x:f>IFERROR(AH28/Q28,"")</x:f>
      </x:c>
      <x:c r="AN28" s="156" t="str">
        <x:f>IFERROR(AH28/AG28,"")</x:f>
      </x:c>
      <x:c r="AO28" s="156" t="str">
        <x:f>IFERROR(AL28/AH28,"")</x:f>
      </x:c>
      <x:c r="AP28" s="157" t="str">
        <x:f>IFERROR(AG28/AE28,"")</x:f>
      </x:c>
      <x:c r="AQ28" s="157" t="str">
        <x:f>IFERROR(AN28/(R28/'Configuracion'!$B$13),"")</x:f>
      </x:c>
      <x:c r="AR28" s="156" t="n">
        <x:f>IFERROR(AE28-U28,"")</x:f>
        <x:v>0</x:v>
      </x:c>
      <x:c r="AS28" s="154"/>
      <x:c r="AT28" s="154"/>
      <x:c r="AU28" s="154"/>
      <x:c r="AV28" s="154"/>
      <x:c r="AW28" s="152"/>
      <x:c r="AX28" s="154"/>
      <x:c r="AY28" s="154"/>
      <x:c r="AZ28" s="151"/>
      <x:c r="BA28" s="151"/>
    </x:row>
    <x:row r="29">
      <x:c r="A29" s="151" t="str">
        <x:f>IF(B29="","",TEXT(B29,"yyyymmdd")&amp;"-"&amp;TEXT(COUNTIF($B$5:B29,B29),"000"))</x:f>
      </x:c>
      <x:c r="B29" s="152"/>
      <x:c r="C29" s="153"/>
      <x:c r="D29" s="151" t="str">
        <x:f>IF(B29="","",'Configuracion'!$B$4)</x:f>
      </x:c>
      <x:c r="E29" s="154"/>
      <x:c r="F29" s="154"/>
      <x:c r="G29" s="151" t="str">
        <x:f>IFERROR(VLOOKUP(F29,'Base Sectores'!$A$5:$J$47,2,FALSE),"")</x:f>
      </x:c>
      <x:c r="H29" s="151" t="str">
        <x:f>IFERROR(VLOOKUP(F29,'Base Sectores'!$A$5:$J$47,3,FALSE),"")</x:f>
      </x:c>
      <x:c r="I29" s="151" t="str">
        <x:f>IFERROR(VLOOKUP(F29,'Base Sectores'!$A$5:$J$47,4,FALSE),"")</x:f>
      </x:c>
      <x:c r="J29" s="151" t="str">
        <x:f>IFERROR(VLOOKUP(F29,'Base Sectores'!$A$5:$J$47,5,FALSE),"")</x:f>
      </x:c>
      <x:c r="K29" s="151" t="str">
        <x:f>IFERROR(VLOOKUP(F29,'Base Sectores'!$A$5:$J$47,6,FALSE),"")</x:f>
      </x:c>
      <x:c r="L29" s="151" t="str">
        <x:f>IFERROR(VLOOKUP(F29,'Base Sectores'!$A$5:$J$47,7,FALSE),"")</x:f>
      </x:c>
      <x:c r="M29" s="151" t="str">
        <x:f>IFERROR(VLOOKUP(F29,'Base Sectores'!$A$5:$J$47,9,FALSE),"")</x:f>
      </x:c>
      <x:c r="N29" s="154"/>
      <x:c r="O29" s="151" t="str">
        <x:f>IFERROR(VLOOKUP(N29,'Configuracion'!$D$4:$H$15,2,FALSE),"")</x:f>
      </x:c>
      <x:c r="P29" s="151" t="str">
        <x:f>IFERROR(VLOOKUP(N29,'Configuracion'!$D$4:$H$15,3,FALSE),"")</x:f>
      </x:c>
      <x:c r="Q29" s="155"/>
      <x:c r="R29" s="156" t="str">
        <x:f>IFERROR(VLOOKUP(N29,'Configuracion'!$D$4:$H$15,4,FALSE),"")</x:f>
      </x:c>
      <x:c r="S29" s="153"/>
      <x:c r="T29" s="153"/>
      <x:c r="U29" s="156" t="str">
        <x:f>IF(OR(S29="",T29=""),"",MOD(T29-S29,1)*24)</x:f>
      </x:c>
      <x:c r="V29" s="154"/>
      <x:c r="W29" s="154"/>
      <x:c r="X29" s="151" t="str">
        <x:f>IFERROR(VLOOKUP(N29,'Configuracion'!$D$4:$H$15,5,FALSE),"")</x:f>
      </x:c>
      <x:c r="Y29" s="151" t="str">
        <x:f>IFERROR(VLOOKUP(V29,'Cuadrillas'!$A$5:$J$14,2,FALSE),"")</x:f>
      </x:c>
      <x:c r="Z29" s="154"/>
      <x:c r="AA29" s="154"/>
      <x:c r="AB29" s="154"/>
      <x:c r="AC29" s="153"/>
      <x:c r="AD29" s="153"/>
      <x:c r="AE29" s="156" t="str">
        <x:f>IF(OR(AC29="",AD29=""),"",MOD(AD29-AC29,1)*24)</x:f>
      </x:c>
      <x:c r="AF29" s="154"/>
      <x:c r="AG29" s="156" t="str">
        <x:f>IF(AE29="","",MAX(0,AE29-IF(AF29="",0,AF29/60)))</x:f>
      </x:c>
      <x:c r="AH29" s="155"/>
      <x:c r="AI29" s="154"/>
      <x:c r="AJ29" s="154"/>
      <x:c r="AK29" s="156" t="n">
        <x:f>IFERROR(U29*W29,"")</x:f>
        <x:v>0</x:v>
      </x:c>
      <x:c r="AL29" s="156" t="n">
        <x:f>IFERROR(AE29*AI29,"")</x:f>
        <x:v>0</x:v>
      </x:c>
      <x:c r="AM29" s="157" t="str">
        <x:f>IFERROR(AH29/Q29,"")</x:f>
      </x:c>
      <x:c r="AN29" s="156" t="str">
        <x:f>IFERROR(AH29/AG29,"")</x:f>
      </x:c>
      <x:c r="AO29" s="156" t="str">
        <x:f>IFERROR(AL29/AH29,"")</x:f>
      </x:c>
      <x:c r="AP29" s="157" t="str">
        <x:f>IFERROR(AG29/AE29,"")</x:f>
      </x:c>
      <x:c r="AQ29" s="157" t="str">
        <x:f>IFERROR(AN29/(R29/'Configuracion'!$B$13),"")</x:f>
      </x:c>
      <x:c r="AR29" s="156" t="n">
        <x:f>IFERROR(AE29-U29,"")</x:f>
        <x:v>0</x:v>
      </x:c>
      <x:c r="AS29" s="154"/>
      <x:c r="AT29" s="154"/>
      <x:c r="AU29" s="154"/>
      <x:c r="AV29" s="154"/>
      <x:c r="AW29" s="152"/>
      <x:c r="AX29" s="154"/>
      <x:c r="AY29" s="154"/>
      <x:c r="AZ29" s="151"/>
      <x:c r="BA29" s="151"/>
    </x:row>
    <x:row r="30">
      <x:c r="A30" s="151" t="str">
        <x:f>IF(B30="","",TEXT(B30,"yyyymmdd")&amp;"-"&amp;TEXT(COUNTIF($B$5:B30,B30),"000"))</x:f>
      </x:c>
      <x:c r="B30" s="152"/>
      <x:c r="C30" s="153"/>
      <x:c r="D30" s="151" t="str">
        <x:f>IF(B30="","",'Configuracion'!$B$4)</x:f>
      </x:c>
      <x:c r="E30" s="154"/>
      <x:c r="F30" s="154"/>
      <x:c r="G30" s="151" t="str">
        <x:f>IFERROR(VLOOKUP(F30,'Base Sectores'!$A$5:$J$47,2,FALSE),"")</x:f>
      </x:c>
      <x:c r="H30" s="151" t="str">
        <x:f>IFERROR(VLOOKUP(F30,'Base Sectores'!$A$5:$J$47,3,FALSE),"")</x:f>
      </x:c>
      <x:c r="I30" s="151" t="str">
        <x:f>IFERROR(VLOOKUP(F30,'Base Sectores'!$A$5:$J$47,4,FALSE),"")</x:f>
      </x:c>
      <x:c r="J30" s="151" t="str">
        <x:f>IFERROR(VLOOKUP(F30,'Base Sectores'!$A$5:$J$47,5,FALSE),"")</x:f>
      </x:c>
      <x:c r="K30" s="151" t="str">
        <x:f>IFERROR(VLOOKUP(F30,'Base Sectores'!$A$5:$J$47,6,FALSE),"")</x:f>
      </x:c>
      <x:c r="L30" s="151" t="str">
        <x:f>IFERROR(VLOOKUP(F30,'Base Sectores'!$A$5:$J$47,7,FALSE),"")</x:f>
      </x:c>
      <x:c r="M30" s="151" t="str">
        <x:f>IFERROR(VLOOKUP(F30,'Base Sectores'!$A$5:$J$47,9,FALSE),"")</x:f>
      </x:c>
      <x:c r="N30" s="154"/>
      <x:c r="O30" s="151" t="str">
        <x:f>IFERROR(VLOOKUP(N30,'Configuracion'!$D$4:$H$15,2,FALSE),"")</x:f>
      </x:c>
      <x:c r="P30" s="151" t="str">
        <x:f>IFERROR(VLOOKUP(N30,'Configuracion'!$D$4:$H$15,3,FALSE),"")</x:f>
      </x:c>
      <x:c r="Q30" s="155"/>
      <x:c r="R30" s="156" t="str">
        <x:f>IFERROR(VLOOKUP(N30,'Configuracion'!$D$4:$H$15,4,FALSE),"")</x:f>
      </x:c>
      <x:c r="S30" s="153"/>
      <x:c r="T30" s="153"/>
      <x:c r="U30" s="156" t="str">
        <x:f>IF(OR(S30="",T30=""),"",MOD(T30-S30,1)*24)</x:f>
      </x:c>
      <x:c r="V30" s="154"/>
      <x:c r="W30" s="154"/>
      <x:c r="X30" s="151" t="str">
        <x:f>IFERROR(VLOOKUP(N30,'Configuracion'!$D$4:$H$15,5,FALSE),"")</x:f>
      </x:c>
      <x:c r="Y30" s="151" t="str">
        <x:f>IFERROR(VLOOKUP(V30,'Cuadrillas'!$A$5:$J$14,2,FALSE),"")</x:f>
      </x:c>
      <x:c r="Z30" s="154"/>
      <x:c r="AA30" s="154"/>
      <x:c r="AB30" s="154"/>
      <x:c r="AC30" s="153"/>
      <x:c r="AD30" s="153"/>
      <x:c r="AE30" s="156" t="str">
        <x:f>IF(OR(AC30="",AD30=""),"",MOD(AD30-AC30,1)*24)</x:f>
      </x:c>
      <x:c r="AF30" s="154"/>
      <x:c r="AG30" s="156" t="str">
        <x:f>IF(AE30="","",MAX(0,AE30-IF(AF30="",0,AF30/60)))</x:f>
      </x:c>
      <x:c r="AH30" s="155"/>
      <x:c r="AI30" s="154"/>
      <x:c r="AJ30" s="154"/>
      <x:c r="AK30" s="156" t="n">
        <x:f>IFERROR(U30*W30,"")</x:f>
        <x:v>0</x:v>
      </x:c>
      <x:c r="AL30" s="156" t="n">
        <x:f>IFERROR(AE30*AI30,"")</x:f>
        <x:v>0</x:v>
      </x:c>
      <x:c r="AM30" s="157" t="str">
        <x:f>IFERROR(AH30/Q30,"")</x:f>
      </x:c>
      <x:c r="AN30" s="156" t="str">
        <x:f>IFERROR(AH30/AG30,"")</x:f>
      </x:c>
      <x:c r="AO30" s="156" t="str">
        <x:f>IFERROR(AL30/AH30,"")</x:f>
      </x:c>
      <x:c r="AP30" s="157" t="str">
        <x:f>IFERROR(AG30/AE30,"")</x:f>
      </x:c>
      <x:c r="AQ30" s="157" t="str">
        <x:f>IFERROR(AN30/(R30/'Configuracion'!$B$13),"")</x:f>
      </x:c>
      <x:c r="AR30" s="156" t="n">
        <x:f>IFERROR(AE30-U30,"")</x:f>
        <x:v>0</x:v>
      </x:c>
      <x:c r="AS30" s="154"/>
      <x:c r="AT30" s="154"/>
      <x:c r="AU30" s="154"/>
      <x:c r="AV30" s="154"/>
      <x:c r="AW30" s="152"/>
      <x:c r="AX30" s="154"/>
      <x:c r="AY30" s="154"/>
      <x:c r="AZ30" s="151"/>
      <x:c r="BA30" s="151"/>
    </x:row>
    <x:row r="31">
      <x:c r="A31" s="151" t="str">
        <x:f>IF(B31="","",TEXT(B31,"yyyymmdd")&amp;"-"&amp;TEXT(COUNTIF($B$5:B31,B31),"000"))</x:f>
      </x:c>
      <x:c r="B31" s="152"/>
      <x:c r="C31" s="153"/>
      <x:c r="D31" s="151" t="str">
        <x:f>IF(B31="","",'Configuracion'!$B$4)</x:f>
      </x:c>
      <x:c r="E31" s="154"/>
      <x:c r="F31" s="154"/>
      <x:c r="G31" s="151" t="str">
        <x:f>IFERROR(VLOOKUP(F31,'Base Sectores'!$A$5:$J$47,2,FALSE),"")</x:f>
      </x:c>
      <x:c r="H31" s="151" t="str">
        <x:f>IFERROR(VLOOKUP(F31,'Base Sectores'!$A$5:$J$47,3,FALSE),"")</x:f>
      </x:c>
      <x:c r="I31" s="151" t="str">
        <x:f>IFERROR(VLOOKUP(F31,'Base Sectores'!$A$5:$J$47,4,FALSE),"")</x:f>
      </x:c>
      <x:c r="J31" s="151" t="str">
        <x:f>IFERROR(VLOOKUP(F31,'Base Sectores'!$A$5:$J$47,5,FALSE),"")</x:f>
      </x:c>
      <x:c r="K31" s="151" t="str">
        <x:f>IFERROR(VLOOKUP(F31,'Base Sectores'!$A$5:$J$47,6,FALSE),"")</x:f>
      </x:c>
      <x:c r="L31" s="151" t="str">
        <x:f>IFERROR(VLOOKUP(F31,'Base Sectores'!$A$5:$J$47,7,FALSE),"")</x:f>
      </x:c>
      <x:c r="M31" s="151" t="str">
        <x:f>IFERROR(VLOOKUP(F31,'Base Sectores'!$A$5:$J$47,9,FALSE),"")</x:f>
      </x:c>
      <x:c r="N31" s="154"/>
      <x:c r="O31" s="151" t="str">
        <x:f>IFERROR(VLOOKUP(N31,'Configuracion'!$D$4:$H$15,2,FALSE),"")</x:f>
      </x:c>
      <x:c r="P31" s="151" t="str">
        <x:f>IFERROR(VLOOKUP(N31,'Configuracion'!$D$4:$H$15,3,FALSE),"")</x:f>
      </x:c>
      <x:c r="Q31" s="155"/>
      <x:c r="R31" s="156" t="str">
        <x:f>IFERROR(VLOOKUP(N31,'Configuracion'!$D$4:$H$15,4,FALSE),"")</x:f>
      </x:c>
      <x:c r="S31" s="153"/>
      <x:c r="T31" s="153"/>
      <x:c r="U31" s="156" t="str">
        <x:f>IF(OR(S31="",T31=""),"",MOD(T31-S31,1)*24)</x:f>
      </x:c>
      <x:c r="V31" s="154"/>
      <x:c r="W31" s="154"/>
      <x:c r="X31" s="151" t="str">
        <x:f>IFERROR(VLOOKUP(N31,'Configuracion'!$D$4:$H$15,5,FALSE),"")</x:f>
      </x:c>
      <x:c r="Y31" s="151" t="str">
        <x:f>IFERROR(VLOOKUP(V31,'Cuadrillas'!$A$5:$J$14,2,FALSE),"")</x:f>
      </x:c>
      <x:c r="Z31" s="154"/>
      <x:c r="AA31" s="154"/>
      <x:c r="AB31" s="154"/>
      <x:c r="AC31" s="153"/>
      <x:c r="AD31" s="153"/>
      <x:c r="AE31" s="156" t="str">
        <x:f>IF(OR(AC31="",AD31=""),"",MOD(AD31-AC31,1)*24)</x:f>
      </x:c>
      <x:c r="AF31" s="154"/>
      <x:c r="AG31" s="156" t="str">
        <x:f>IF(AE31="","",MAX(0,AE31-IF(AF31="",0,AF31/60)))</x:f>
      </x:c>
      <x:c r="AH31" s="155"/>
      <x:c r="AI31" s="154"/>
      <x:c r="AJ31" s="154"/>
      <x:c r="AK31" s="156" t="n">
        <x:f>IFERROR(U31*W31,"")</x:f>
        <x:v>0</x:v>
      </x:c>
      <x:c r="AL31" s="156" t="n">
        <x:f>IFERROR(AE31*AI31,"")</x:f>
        <x:v>0</x:v>
      </x:c>
      <x:c r="AM31" s="157" t="str">
        <x:f>IFERROR(AH31/Q31,"")</x:f>
      </x:c>
      <x:c r="AN31" s="156" t="str">
        <x:f>IFERROR(AH31/AG31,"")</x:f>
      </x:c>
      <x:c r="AO31" s="156" t="str">
        <x:f>IFERROR(AL31/AH31,"")</x:f>
      </x:c>
      <x:c r="AP31" s="157" t="str">
        <x:f>IFERROR(AG31/AE31,"")</x:f>
      </x:c>
      <x:c r="AQ31" s="157" t="str">
        <x:f>IFERROR(AN31/(R31/'Configuracion'!$B$13),"")</x:f>
      </x:c>
      <x:c r="AR31" s="156" t="n">
        <x:f>IFERROR(AE31-U31,"")</x:f>
        <x:v>0</x:v>
      </x:c>
      <x:c r="AS31" s="154"/>
      <x:c r="AT31" s="154"/>
      <x:c r="AU31" s="154"/>
      <x:c r="AV31" s="154"/>
      <x:c r="AW31" s="152"/>
      <x:c r="AX31" s="154"/>
      <x:c r="AY31" s="154"/>
      <x:c r="AZ31" s="151"/>
      <x:c r="BA31" s="151"/>
    </x:row>
    <x:row r="32">
      <x:c r="A32" s="151" t="str">
        <x:f>IF(B32="","",TEXT(B32,"yyyymmdd")&amp;"-"&amp;TEXT(COUNTIF($B$5:B32,B32),"000"))</x:f>
      </x:c>
      <x:c r="B32" s="152"/>
      <x:c r="C32" s="153"/>
      <x:c r="D32" s="151" t="str">
        <x:f>IF(B32="","",'Configuracion'!$B$4)</x:f>
      </x:c>
      <x:c r="E32" s="154"/>
      <x:c r="F32" s="154"/>
      <x:c r="G32" s="151" t="str">
        <x:f>IFERROR(VLOOKUP(F32,'Base Sectores'!$A$5:$J$47,2,FALSE),"")</x:f>
      </x:c>
      <x:c r="H32" s="151" t="str">
        <x:f>IFERROR(VLOOKUP(F32,'Base Sectores'!$A$5:$J$47,3,FALSE),"")</x:f>
      </x:c>
      <x:c r="I32" s="151" t="str">
        <x:f>IFERROR(VLOOKUP(F32,'Base Sectores'!$A$5:$J$47,4,FALSE),"")</x:f>
      </x:c>
      <x:c r="J32" s="151" t="str">
        <x:f>IFERROR(VLOOKUP(F32,'Base Sectores'!$A$5:$J$47,5,FALSE),"")</x:f>
      </x:c>
      <x:c r="K32" s="151" t="str">
        <x:f>IFERROR(VLOOKUP(F32,'Base Sectores'!$A$5:$J$47,6,FALSE),"")</x:f>
      </x:c>
      <x:c r="L32" s="151" t="str">
        <x:f>IFERROR(VLOOKUP(F32,'Base Sectores'!$A$5:$J$47,7,FALSE),"")</x:f>
      </x:c>
      <x:c r="M32" s="151" t="str">
        <x:f>IFERROR(VLOOKUP(F32,'Base Sectores'!$A$5:$J$47,9,FALSE),"")</x:f>
      </x:c>
      <x:c r="N32" s="154"/>
      <x:c r="O32" s="151" t="str">
        <x:f>IFERROR(VLOOKUP(N32,'Configuracion'!$D$4:$H$15,2,FALSE),"")</x:f>
      </x:c>
      <x:c r="P32" s="151" t="str">
        <x:f>IFERROR(VLOOKUP(N32,'Configuracion'!$D$4:$H$15,3,FALSE),"")</x:f>
      </x:c>
      <x:c r="Q32" s="155"/>
      <x:c r="R32" s="156" t="str">
        <x:f>IFERROR(VLOOKUP(N32,'Configuracion'!$D$4:$H$15,4,FALSE),"")</x:f>
      </x:c>
      <x:c r="S32" s="153"/>
      <x:c r="T32" s="153"/>
      <x:c r="U32" s="156" t="str">
        <x:f>IF(OR(S32="",T32=""),"",MOD(T32-S32,1)*24)</x:f>
      </x:c>
      <x:c r="V32" s="154"/>
      <x:c r="W32" s="154"/>
      <x:c r="X32" s="151" t="str">
        <x:f>IFERROR(VLOOKUP(N32,'Configuracion'!$D$4:$H$15,5,FALSE),"")</x:f>
      </x:c>
      <x:c r="Y32" s="151" t="str">
        <x:f>IFERROR(VLOOKUP(V32,'Cuadrillas'!$A$5:$J$14,2,FALSE),"")</x:f>
      </x:c>
      <x:c r="Z32" s="154"/>
      <x:c r="AA32" s="154"/>
      <x:c r="AB32" s="154"/>
      <x:c r="AC32" s="153"/>
      <x:c r="AD32" s="153"/>
      <x:c r="AE32" s="156" t="str">
        <x:f>IF(OR(AC32="",AD32=""),"",MOD(AD32-AC32,1)*24)</x:f>
      </x:c>
      <x:c r="AF32" s="154"/>
      <x:c r="AG32" s="156" t="str">
        <x:f>IF(AE32="","",MAX(0,AE32-IF(AF32="",0,AF32/60)))</x:f>
      </x:c>
      <x:c r="AH32" s="155"/>
      <x:c r="AI32" s="154"/>
      <x:c r="AJ32" s="154"/>
      <x:c r="AK32" s="156" t="n">
        <x:f>IFERROR(U32*W32,"")</x:f>
        <x:v>0</x:v>
      </x:c>
      <x:c r="AL32" s="156" t="n">
        <x:f>IFERROR(AE32*AI32,"")</x:f>
        <x:v>0</x:v>
      </x:c>
      <x:c r="AM32" s="157" t="str">
        <x:f>IFERROR(AH32/Q32,"")</x:f>
      </x:c>
      <x:c r="AN32" s="156" t="str">
        <x:f>IFERROR(AH32/AG32,"")</x:f>
      </x:c>
      <x:c r="AO32" s="156" t="str">
        <x:f>IFERROR(AL32/AH32,"")</x:f>
      </x:c>
      <x:c r="AP32" s="157" t="str">
        <x:f>IFERROR(AG32/AE32,"")</x:f>
      </x:c>
      <x:c r="AQ32" s="157" t="str">
        <x:f>IFERROR(AN32/(R32/'Configuracion'!$B$13),"")</x:f>
      </x:c>
      <x:c r="AR32" s="156" t="n">
        <x:f>IFERROR(AE32-U32,"")</x:f>
        <x:v>0</x:v>
      </x:c>
      <x:c r="AS32" s="154"/>
      <x:c r="AT32" s="154"/>
      <x:c r="AU32" s="154"/>
      <x:c r="AV32" s="154"/>
      <x:c r="AW32" s="152"/>
      <x:c r="AX32" s="154"/>
      <x:c r="AY32" s="154"/>
      <x:c r="AZ32" s="151"/>
      <x:c r="BA32" s="151"/>
    </x:row>
    <x:row r="33">
      <x:c r="A33" s="151" t="str">
        <x:f>IF(B33="","",TEXT(B33,"yyyymmdd")&amp;"-"&amp;TEXT(COUNTIF($B$5:B33,B33),"000"))</x:f>
      </x:c>
      <x:c r="B33" s="152"/>
      <x:c r="C33" s="153"/>
      <x:c r="D33" s="151" t="str">
        <x:f>IF(B33="","",'Configuracion'!$B$4)</x:f>
      </x:c>
      <x:c r="E33" s="154"/>
      <x:c r="F33" s="154"/>
      <x:c r="G33" s="151" t="str">
        <x:f>IFERROR(VLOOKUP(F33,'Base Sectores'!$A$5:$J$47,2,FALSE),"")</x:f>
      </x:c>
      <x:c r="H33" s="151" t="str">
        <x:f>IFERROR(VLOOKUP(F33,'Base Sectores'!$A$5:$J$47,3,FALSE),"")</x:f>
      </x:c>
      <x:c r="I33" s="151" t="str">
        <x:f>IFERROR(VLOOKUP(F33,'Base Sectores'!$A$5:$J$47,4,FALSE),"")</x:f>
      </x:c>
      <x:c r="J33" s="151" t="str">
        <x:f>IFERROR(VLOOKUP(F33,'Base Sectores'!$A$5:$J$47,5,FALSE),"")</x:f>
      </x:c>
      <x:c r="K33" s="151" t="str">
        <x:f>IFERROR(VLOOKUP(F33,'Base Sectores'!$A$5:$J$47,6,FALSE),"")</x:f>
      </x:c>
      <x:c r="L33" s="151" t="str">
        <x:f>IFERROR(VLOOKUP(F33,'Base Sectores'!$A$5:$J$47,7,FALSE),"")</x:f>
      </x:c>
      <x:c r="M33" s="151" t="str">
        <x:f>IFERROR(VLOOKUP(F33,'Base Sectores'!$A$5:$J$47,9,FALSE),"")</x:f>
      </x:c>
      <x:c r="N33" s="154"/>
      <x:c r="O33" s="151" t="str">
        <x:f>IFERROR(VLOOKUP(N33,'Configuracion'!$D$4:$H$15,2,FALSE),"")</x:f>
      </x:c>
      <x:c r="P33" s="151" t="str">
        <x:f>IFERROR(VLOOKUP(N33,'Configuracion'!$D$4:$H$15,3,FALSE),"")</x:f>
      </x:c>
      <x:c r="Q33" s="155"/>
      <x:c r="R33" s="156" t="str">
        <x:f>IFERROR(VLOOKUP(N33,'Configuracion'!$D$4:$H$15,4,FALSE),"")</x:f>
      </x:c>
      <x:c r="S33" s="153"/>
      <x:c r="T33" s="153"/>
      <x:c r="U33" s="156" t="str">
        <x:f>IF(OR(S33="",T33=""),"",MOD(T33-S33,1)*24)</x:f>
      </x:c>
      <x:c r="V33" s="154"/>
      <x:c r="W33" s="154"/>
      <x:c r="X33" s="151" t="str">
        <x:f>IFERROR(VLOOKUP(N33,'Configuracion'!$D$4:$H$15,5,FALSE),"")</x:f>
      </x:c>
      <x:c r="Y33" s="151" t="str">
        <x:f>IFERROR(VLOOKUP(V33,'Cuadrillas'!$A$5:$J$14,2,FALSE),"")</x:f>
      </x:c>
      <x:c r="Z33" s="154"/>
      <x:c r="AA33" s="154"/>
      <x:c r="AB33" s="154"/>
      <x:c r="AC33" s="153"/>
      <x:c r="AD33" s="153"/>
      <x:c r="AE33" s="156" t="str">
        <x:f>IF(OR(AC33="",AD33=""),"",MOD(AD33-AC33,1)*24)</x:f>
      </x:c>
      <x:c r="AF33" s="154"/>
      <x:c r="AG33" s="156" t="str">
        <x:f>IF(AE33="","",MAX(0,AE33-IF(AF33="",0,AF33/60)))</x:f>
      </x:c>
      <x:c r="AH33" s="155"/>
      <x:c r="AI33" s="154"/>
      <x:c r="AJ33" s="154"/>
      <x:c r="AK33" s="156" t="n">
        <x:f>IFERROR(U33*W33,"")</x:f>
        <x:v>0</x:v>
      </x:c>
      <x:c r="AL33" s="156" t="n">
        <x:f>IFERROR(AE33*AI33,"")</x:f>
        <x:v>0</x:v>
      </x:c>
      <x:c r="AM33" s="157" t="str">
        <x:f>IFERROR(AH33/Q33,"")</x:f>
      </x:c>
      <x:c r="AN33" s="156" t="str">
        <x:f>IFERROR(AH33/AG33,"")</x:f>
      </x:c>
      <x:c r="AO33" s="156" t="str">
        <x:f>IFERROR(AL33/AH33,"")</x:f>
      </x:c>
      <x:c r="AP33" s="157" t="str">
        <x:f>IFERROR(AG33/AE33,"")</x:f>
      </x:c>
      <x:c r="AQ33" s="157" t="str">
        <x:f>IFERROR(AN33/(R33/'Configuracion'!$B$13),"")</x:f>
      </x:c>
      <x:c r="AR33" s="156" t="n">
        <x:f>IFERROR(AE33-U33,"")</x:f>
        <x:v>0</x:v>
      </x:c>
      <x:c r="AS33" s="154"/>
      <x:c r="AT33" s="154"/>
      <x:c r="AU33" s="154"/>
      <x:c r="AV33" s="154"/>
      <x:c r="AW33" s="152"/>
      <x:c r="AX33" s="154"/>
      <x:c r="AY33" s="154"/>
      <x:c r="AZ33" s="151"/>
      <x:c r="BA33" s="151"/>
    </x:row>
    <x:row r="34">
      <x:c r="A34" s="151" t="str">
        <x:f>IF(B34="","",TEXT(B34,"yyyymmdd")&amp;"-"&amp;TEXT(COUNTIF($B$5:B34,B34),"000"))</x:f>
      </x:c>
      <x:c r="B34" s="152"/>
      <x:c r="C34" s="153"/>
      <x:c r="D34" s="151" t="str">
        <x:f>IF(B34="","",'Configuracion'!$B$4)</x:f>
      </x:c>
      <x:c r="E34" s="154"/>
      <x:c r="F34" s="154"/>
      <x:c r="G34" s="151" t="str">
        <x:f>IFERROR(VLOOKUP(F34,'Base Sectores'!$A$5:$J$47,2,FALSE),"")</x:f>
      </x:c>
      <x:c r="H34" s="151" t="str">
        <x:f>IFERROR(VLOOKUP(F34,'Base Sectores'!$A$5:$J$47,3,FALSE),"")</x:f>
      </x:c>
      <x:c r="I34" s="151" t="str">
        <x:f>IFERROR(VLOOKUP(F34,'Base Sectores'!$A$5:$J$47,4,FALSE),"")</x:f>
      </x:c>
      <x:c r="J34" s="151" t="str">
        <x:f>IFERROR(VLOOKUP(F34,'Base Sectores'!$A$5:$J$47,5,FALSE),"")</x:f>
      </x:c>
      <x:c r="K34" s="151" t="str">
        <x:f>IFERROR(VLOOKUP(F34,'Base Sectores'!$A$5:$J$47,6,FALSE),"")</x:f>
      </x:c>
      <x:c r="L34" s="151" t="str">
        <x:f>IFERROR(VLOOKUP(F34,'Base Sectores'!$A$5:$J$47,7,FALSE),"")</x:f>
      </x:c>
      <x:c r="M34" s="151" t="str">
        <x:f>IFERROR(VLOOKUP(F34,'Base Sectores'!$A$5:$J$47,9,FALSE),"")</x:f>
      </x:c>
      <x:c r="N34" s="154"/>
      <x:c r="O34" s="151" t="str">
        <x:f>IFERROR(VLOOKUP(N34,'Configuracion'!$D$4:$H$15,2,FALSE),"")</x:f>
      </x:c>
      <x:c r="P34" s="151" t="str">
        <x:f>IFERROR(VLOOKUP(N34,'Configuracion'!$D$4:$H$15,3,FALSE),"")</x:f>
      </x:c>
      <x:c r="Q34" s="155"/>
      <x:c r="R34" s="156" t="str">
        <x:f>IFERROR(VLOOKUP(N34,'Configuracion'!$D$4:$H$15,4,FALSE),"")</x:f>
      </x:c>
      <x:c r="S34" s="153"/>
      <x:c r="T34" s="153"/>
      <x:c r="U34" s="156" t="str">
        <x:f>IF(OR(S34="",T34=""),"",MOD(T34-S34,1)*24)</x:f>
      </x:c>
      <x:c r="V34" s="154"/>
      <x:c r="W34" s="154"/>
      <x:c r="X34" s="151" t="str">
        <x:f>IFERROR(VLOOKUP(N34,'Configuracion'!$D$4:$H$15,5,FALSE),"")</x:f>
      </x:c>
      <x:c r="Y34" s="151" t="str">
        <x:f>IFERROR(VLOOKUP(V34,'Cuadrillas'!$A$5:$J$14,2,FALSE),"")</x:f>
      </x:c>
      <x:c r="Z34" s="154"/>
      <x:c r="AA34" s="154"/>
      <x:c r="AB34" s="154"/>
      <x:c r="AC34" s="153"/>
      <x:c r="AD34" s="153"/>
      <x:c r="AE34" s="156" t="str">
        <x:f>IF(OR(AC34="",AD34=""),"",MOD(AD34-AC34,1)*24)</x:f>
      </x:c>
      <x:c r="AF34" s="154"/>
      <x:c r="AG34" s="156" t="str">
        <x:f>IF(AE34="","",MAX(0,AE34-IF(AF34="",0,AF34/60)))</x:f>
      </x:c>
      <x:c r="AH34" s="155"/>
      <x:c r="AI34" s="154"/>
      <x:c r="AJ34" s="154"/>
      <x:c r="AK34" s="156" t="n">
        <x:f>IFERROR(U34*W34,"")</x:f>
        <x:v>0</x:v>
      </x:c>
      <x:c r="AL34" s="156" t="n">
        <x:f>IFERROR(AE34*AI34,"")</x:f>
        <x:v>0</x:v>
      </x:c>
      <x:c r="AM34" s="157" t="str">
        <x:f>IFERROR(AH34/Q34,"")</x:f>
      </x:c>
      <x:c r="AN34" s="156" t="str">
        <x:f>IFERROR(AH34/AG34,"")</x:f>
      </x:c>
      <x:c r="AO34" s="156" t="str">
        <x:f>IFERROR(AL34/AH34,"")</x:f>
      </x:c>
      <x:c r="AP34" s="157" t="str">
        <x:f>IFERROR(AG34/AE34,"")</x:f>
      </x:c>
      <x:c r="AQ34" s="157" t="str">
        <x:f>IFERROR(AN34/(R34/'Configuracion'!$B$13),"")</x:f>
      </x:c>
      <x:c r="AR34" s="156" t="n">
        <x:f>IFERROR(AE34-U34,"")</x:f>
        <x:v>0</x:v>
      </x:c>
      <x:c r="AS34" s="154"/>
      <x:c r="AT34" s="154"/>
      <x:c r="AU34" s="154"/>
      <x:c r="AV34" s="154"/>
      <x:c r="AW34" s="152"/>
      <x:c r="AX34" s="154"/>
      <x:c r="AY34" s="154"/>
      <x:c r="AZ34" s="151"/>
      <x:c r="BA34" s="151"/>
    </x:row>
    <x:row r="35">
      <x:c r="A35" s="151" t="str">
        <x:f>IF(B35="","",TEXT(B35,"yyyymmdd")&amp;"-"&amp;TEXT(COUNTIF($B$5:B35,B35),"000"))</x:f>
      </x:c>
      <x:c r="B35" s="152"/>
      <x:c r="C35" s="153"/>
      <x:c r="D35" s="151" t="str">
        <x:f>IF(B35="","",'Configuracion'!$B$4)</x:f>
      </x:c>
      <x:c r="E35" s="154"/>
      <x:c r="F35" s="154"/>
      <x:c r="G35" s="151" t="str">
        <x:f>IFERROR(VLOOKUP(F35,'Base Sectores'!$A$5:$J$47,2,FALSE),"")</x:f>
      </x:c>
      <x:c r="H35" s="151" t="str">
        <x:f>IFERROR(VLOOKUP(F35,'Base Sectores'!$A$5:$J$47,3,FALSE),"")</x:f>
      </x:c>
      <x:c r="I35" s="151" t="str">
        <x:f>IFERROR(VLOOKUP(F35,'Base Sectores'!$A$5:$J$47,4,FALSE),"")</x:f>
      </x:c>
      <x:c r="J35" s="151" t="str">
        <x:f>IFERROR(VLOOKUP(F35,'Base Sectores'!$A$5:$J$47,5,FALSE),"")</x:f>
      </x:c>
      <x:c r="K35" s="151" t="str">
        <x:f>IFERROR(VLOOKUP(F35,'Base Sectores'!$A$5:$J$47,6,FALSE),"")</x:f>
      </x:c>
      <x:c r="L35" s="151" t="str">
        <x:f>IFERROR(VLOOKUP(F35,'Base Sectores'!$A$5:$J$47,7,FALSE),"")</x:f>
      </x:c>
      <x:c r="M35" s="151" t="str">
        <x:f>IFERROR(VLOOKUP(F35,'Base Sectores'!$A$5:$J$47,9,FALSE),"")</x:f>
      </x:c>
      <x:c r="N35" s="154"/>
      <x:c r="O35" s="151" t="str">
        <x:f>IFERROR(VLOOKUP(N35,'Configuracion'!$D$4:$H$15,2,FALSE),"")</x:f>
      </x:c>
      <x:c r="P35" s="151" t="str">
        <x:f>IFERROR(VLOOKUP(N35,'Configuracion'!$D$4:$H$15,3,FALSE),"")</x:f>
      </x:c>
      <x:c r="Q35" s="155"/>
      <x:c r="R35" s="156" t="str">
        <x:f>IFERROR(VLOOKUP(N35,'Configuracion'!$D$4:$H$15,4,FALSE),"")</x:f>
      </x:c>
      <x:c r="S35" s="153"/>
      <x:c r="T35" s="153"/>
      <x:c r="U35" s="156" t="str">
        <x:f>IF(OR(S35="",T35=""),"",MOD(T35-S35,1)*24)</x:f>
      </x:c>
      <x:c r="V35" s="154"/>
      <x:c r="W35" s="154"/>
      <x:c r="X35" s="151" t="str">
        <x:f>IFERROR(VLOOKUP(N35,'Configuracion'!$D$4:$H$15,5,FALSE),"")</x:f>
      </x:c>
      <x:c r="Y35" s="151" t="str">
        <x:f>IFERROR(VLOOKUP(V35,'Cuadrillas'!$A$5:$J$14,2,FALSE),"")</x:f>
      </x:c>
      <x:c r="Z35" s="154"/>
      <x:c r="AA35" s="154"/>
      <x:c r="AB35" s="154"/>
      <x:c r="AC35" s="153"/>
      <x:c r="AD35" s="153"/>
      <x:c r="AE35" s="156" t="str">
        <x:f>IF(OR(AC35="",AD35=""),"",MOD(AD35-AC35,1)*24)</x:f>
      </x:c>
      <x:c r="AF35" s="154"/>
      <x:c r="AG35" s="156" t="str">
        <x:f>IF(AE35="","",MAX(0,AE35-IF(AF35="",0,AF35/60)))</x:f>
      </x:c>
      <x:c r="AH35" s="155"/>
      <x:c r="AI35" s="154"/>
      <x:c r="AJ35" s="154"/>
      <x:c r="AK35" s="156" t="n">
        <x:f>IFERROR(U35*W35,"")</x:f>
        <x:v>0</x:v>
      </x:c>
      <x:c r="AL35" s="156" t="n">
        <x:f>IFERROR(AE35*AI35,"")</x:f>
        <x:v>0</x:v>
      </x:c>
      <x:c r="AM35" s="157" t="str">
        <x:f>IFERROR(AH35/Q35,"")</x:f>
      </x:c>
      <x:c r="AN35" s="156" t="str">
        <x:f>IFERROR(AH35/AG35,"")</x:f>
      </x:c>
      <x:c r="AO35" s="156" t="str">
        <x:f>IFERROR(AL35/AH35,"")</x:f>
      </x:c>
      <x:c r="AP35" s="157" t="str">
        <x:f>IFERROR(AG35/AE35,"")</x:f>
      </x:c>
      <x:c r="AQ35" s="157" t="str">
        <x:f>IFERROR(AN35/(R35/'Configuracion'!$B$13),"")</x:f>
      </x:c>
      <x:c r="AR35" s="156" t="n">
        <x:f>IFERROR(AE35-U35,"")</x:f>
        <x:v>0</x:v>
      </x:c>
      <x:c r="AS35" s="154"/>
      <x:c r="AT35" s="154"/>
      <x:c r="AU35" s="154"/>
      <x:c r="AV35" s="154"/>
      <x:c r="AW35" s="152"/>
      <x:c r="AX35" s="154"/>
      <x:c r="AY35" s="154"/>
      <x:c r="AZ35" s="151"/>
      <x:c r="BA35" s="151"/>
    </x:row>
    <x:row r="36">
      <x:c r="A36" s="151" t="str">
        <x:f>IF(B36="","",TEXT(B36,"yyyymmdd")&amp;"-"&amp;TEXT(COUNTIF($B$5:B36,B36),"000"))</x:f>
      </x:c>
      <x:c r="B36" s="152"/>
      <x:c r="C36" s="153"/>
      <x:c r="D36" s="151" t="str">
        <x:f>IF(B36="","",'Configuracion'!$B$4)</x:f>
      </x:c>
      <x:c r="E36" s="154"/>
      <x:c r="F36" s="154"/>
      <x:c r="G36" s="151" t="str">
        <x:f>IFERROR(VLOOKUP(F36,'Base Sectores'!$A$5:$J$47,2,FALSE),"")</x:f>
      </x:c>
      <x:c r="H36" s="151" t="str">
        <x:f>IFERROR(VLOOKUP(F36,'Base Sectores'!$A$5:$J$47,3,FALSE),"")</x:f>
      </x:c>
      <x:c r="I36" s="151" t="str">
        <x:f>IFERROR(VLOOKUP(F36,'Base Sectores'!$A$5:$J$47,4,FALSE),"")</x:f>
      </x:c>
      <x:c r="J36" s="151" t="str">
        <x:f>IFERROR(VLOOKUP(F36,'Base Sectores'!$A$5:$J$47,5,FALSE),"")</x:f>
      </x:c>
      <x:c r="K36" s="151" t="str">
        <x:f>IFERROR(VLOOKUP(F36,'Base Sectores'!$A$5:$J$47,6,FALSE),"")</x:f>
      </x:c>
      <x:c r="L36" s="151" t="str">
        <x:f>IFERROR(VLOOKUP(F36,'Base Sectores'!$A$5:$J$47,7,FALSE),"")</x:f>
      </x:c>
      <x:c r="M36" s="151" t="str">
        <x:f>IFERROR(VLOOKUP(F36,'Base Sectores'!$A$5:$J$47,9,FALSE),"")</x:f>
      </x:c>
      <x:c r="N36" s="154"/>
      <x:c r="O36" s="151" t="str">
        <x:f>IFERROR(VLOOKUP(N36,'Configuracion'!$D$4:$H$15,2,FALSE),"")</x:f>
      </x:c>
      <x:c r="P36" s="151" t="str">
        <x:f>IFERROR(VLOOKUP(N36,'Configuracion'!$D$4:$H$15,3,FALSE),"")</x:f>
      </x:c>
      <x:c r="Q36" s="155"/>
      <x:c r="R36" s="156" t="str">
        <x:f>IFERROR(VLOOKUP(N36,'Configuracion'!$D$4:$H$15,4,FALSE),"")</x:f>
      </x:c>
      <x:c r="S36" s="153"/>
      <x:c r="T36" s="153"/>
      <x:c r="U36" s="156" t="str">
        <x:f>IF(OR(S36="",T36=""),"",MOD(T36-S36,1)*24)</x:f>
      </x:c>
      <x:c r="V36" s="154"/>
      <x:c r="W36" s="154"/>
      <x:c r="X36" s="151" t="str">
        <x:f>IFERROR(VLOOKUP(N36,'Configuracion'!$D$4:$H$15,5,FALSE),"")</x:f>
      </x:c>
      <x:c r="Y36" s="151" t="str">
        <x:f>IFERROR(VLOOKUP(V36,'Cuadrillas'!$A$5:$J$14,2,FALSE),"")</x:f>
      </x:c>
      <x:c r="Z36" s="154"/>
      <x:c r="AA36" s="154"/>
      <x:c r="AB36" s="154"/>
      <x:c r="AC36" s="153"/>
      <x:c r="AD36" s="153"/>
      <x:c r="AE36" s="156" t="str">
        <x:f>IF(OR(AC36="",AD36=""),"",MOD(AD36-AC36,1)*24)</x:f>
      </x:c>
      <x:c r="AF36" s="154"/>
      <x:c r="AG36" s="156" t="str">
        <x:f>IF(AE36="","",MAX(0,AE36-IF(AF36="",0,AF36/60)))</x:f>
      </x:c>
      <x:c r="AH36" s="155"/>
      <x:c r="AI36" s="154"/>
      <x:c r="AJ36" s="154"/>
      <x:c r="AK36" s="156" t="n">
        <x:f>IFERROR(U36*W36,"")</x:f>
        <x:v>0</x:v>
      </x:c>
      <x:c r="AL36" s="156" t="n">
        <x:f>IFERROR(AE36*AI36,"")</x:f>
        <x:v>0</x:v>
      </x:c>
      <x:c r="AM36" s="157" t="str">
        <x:f>IFERROR(AH36/Q36,"")</x:f>
      </x:c>
      <x:c r="AN36" s="156" t="str">
        <x:f>IFERROR(AH36/AG36,"")</x:f>
      </x:c>
      <x:c r="AO36" s="156" t="str">
        <x:f>IFERROR(AL36/AH36,"")</x:f>
      </x:c>
      <x:c r="AP36" s="157" t="str">
        <x:f>IFERROR(AG36/AE36,"")</x:f>
      </x:c>
      <x:c r="AQ36" s="157" t="str">
        <x:f>IFERROR(AN36/(R36/'Configuracion'!$B$13),"")</x:f>
      </x:c>
      <x:c r="AR36" s="156" t="n">
        <x:f>IFERROR(AE36-U36,"")</x:f>
        <x:v>0</x:v>
      </x:c>
      <x:c r="AS36" s="154"/>
      <x:c r="AT36" s="154"/>
      <x:c r="AU36" s="154"/>
      <x:c r="AV36" s="154"/>
      <x:c r="AW36" s="152"/>
      <x:c r="AX36" s="154"/>
      <x:c r="AY36" s="154"/>
      <x:c r="AZ36" s="151"/>
      <x:c r="BA36" s="151"/>
    </x:row>
    <x:row r="37">
      <x:c r="A37" s="151" t="str">
        <x:f>IF(B37="","",TEXT(B37,"yyyymmdd")&amp;"-"&amp;TEXT(COUNTIF($B$5:B37,B37),"000"))</x:f>
      </x:c>
      <x:c r="B37" s="152"/>
      <x:c r="C37" s="153"/>
      <x:c r="D37" s="151" t="str">
        <x:f>IF(B37="","",'Configuracion'!$B$4)</x:f>
      </x:c>
      <x:c r="E37" s="154"/>
      <x:c r="F37" s="154"/>
      <x:c r="G37" s="151" t="str">
        <x:f>IFERROR(VLOOKUP(F37,'Base Sectores'!$A$5:$J$47,2,FALSE),"")</x:f>
      </x:c>
      <x:c r="H37" s="151" t="str">
        <x:f>IFERROR(VLOOKUP(F37,'Base Sectores'!$A$5:$J$47,3,FALSE),"")</x:f>
      </x:c>
      <x:c r="I37" s="151" t="str">
        <x:f>IFERROR(VLOOKUP(F37,'Base Sectores'!$A$5:$J$47,4,FALSE),"")</x:f>
      </x:c>
      <x:c r="J37" s="151" t="str">
        <x:f>IFERROR(VLOOKUP(F37,'Base Sectores'!$A$5:$J$47,5,FALSE),"")</x:f>
      </x:c>
      <x:c r="K37" s="151" t="str">
        <x:f>IFERROR(VLOOKUP(F37,'Base Sectores'!$A$5:$J$47,6,FALSE),"")</x:f>
      </x:c>
      <x:c r="L37" s="151" t="str">
        <x:f>IFERROR(VLOOKUP(F37,'Base Sectores'!$A$5:$J$47,7,FALSE),"")</x:f>
      </x:c>
      <x:c r="M37" s="151" t="str">
        <x:f>IFERROR(VLOOKUP(F37,'Base Sectores'!$A$5:$J$47,9,FALSE),"")</x:f>
      </x:c>
      <x:c r="N37" s="154"/>
      <x:c r="O37" s="151" t="str">
        <x:f>IFERROR(VLOOKUP(N37,'Configuracion'!$D$4:$H$15,2,FALSE),"")</x:f>
      </x:c>
      <x:c r="P37" s="151" t="str">
        <x:f>IFERROR(VLOOKUP(N37,'Configuracion'!$D$4:$H$15,3,FALSE),"")</x:f>
      </x:c>
      <x:c r="Q37" s="155"/>
      <x:c r="R37" s="156" t="str">
        <x:f>IFERROR(VLOOKUP(N37,'Configuracion'!$D$4:$H$15,4,FALSE),"")</x:f>
      </x:c>
      <x:c r="S37" s="153"/>
      <x:c r="T37" s="153"/>
      <x:c r="U37" s="156" t="str">
        <x:f>IF(OR(S37="",T37=""),"",MOD(T37-S37,1)*24)</x:f>
      </x:c>
      <x:c r="V37" s="154"/>
      <x:c r="W37" s="154"/>
      <x:c r="X37" s="151" t="str">
        <x:f>IFERROR(VLOOKUP(N37,'Configuracion'!$D$4:$H$15,5,FALSE),"")</x:f>
      </x:c>
      <x:c r="Y37" s="151" t="str">
        <x:f>IFERROR(VLOOKUP(V37,'Cuadrillas'!$A$5:$J$14,2,FALSE),"")</x:f>
      </x:c>
      <x:c r="Z37" s="154"/>
      <x:c r="AA37" s="154"/>
      <x:c r="AB37" s="154"/>
      <x:c r="AC37" s="153"/>
      <x:c r="AD37" s="153"/>
      <x:c r="AE37" s="156" t="str">
        <x:f>IF(OR(AC37="",AD37=""),"",MOD(AD37-AC37,1)*24)</x:f>
      </x:c>
      <x:c r="AF37" s="154"/>
      <x:c r="AG37" s="156" t="str">
        <x:f>IF(AE37="","",MAX(0,AE37-IF(AF37="",0,AF37/60)))</x:f>
      </x:c>
      <x:c r="AH37" s="155"/>
      <x:c r="AI37" s="154"/>
      <x:c r="AJ37" s="154"/>
      <x:c r="AK37" s="156" t="n">
        <x:f>IFERROR(U37*W37,"")</x:f>
        <x:v>0</x:v>
      </x:c>
      <x:c r="AL37" s="156" t="n">
        <x:f>IFERROR(AE37*AI37,"")</x:f>
        <x:v>0</x:v>
      </x:c>
      <x:c r="AM37" s="157" t="str">
        <x:f>IFERROR(AH37/Q37,"")</x:f>
      </x:c>
      <x:c r="AN37" s="156" t="str">
        <x:f>IFERROR(AH37/AG37,"")</x:f>
      </x:c>
      <x:c r="AO37" s="156" t="str">
        <x:f>IFERROR(AL37/AH37,"")</x:f>
      </x:c>
      <x:c r="AP37" s="157" t="str">
        <x:f>IFERROR(AG37/AE37,"")</x:f>
      </x:c>
      <x:c r="AQ37" s="157" t="str">
        <x:f>IFERROR(AN37/(R37/'Configuracion'!$B$13),"")</x:f>
      </x:c>
      <x:c r="AR37" s="156" t="n">
        <x:f>IFERROR(AE37-U37,"")</x:f>
        <x:v>0</x:v>
      </x:c>
      <x:c r="AS37" s="154"/>
      <x:c r="AT37" s="154"/>
      <x:c r="AU37" s="154"/>
      <x:c r="AV37" s="154"/>
      <x:c r="AW37" s="152"/>
      <x:c r="AX37" s="154"/>
      <x:c r="AY37" s="154"/>
      <x:c r="AZ37" s="151"/>
      <x:c r="BA37" s="151"/>
    </x:row>
    <x:row r="38">
      <x:c r="A38" s="151" t="str">
        <x:f>IF(B38="","",TEXT(B38,"yyyymmdd")&amp;"-"&amp;TEXT(COUNTIF($B$5:B38,B38),"000"))</x:f>
      </x:c>
      <x:c r="B38" s="152"/>
      <x:c r="C38" s="153"/>
      <x:c r="D38" s="151" t="str">
        <x:f>IF(B38="","",'Configuracion'!$B$4)</x:f>
      </x:c>
      <x:c r="E38" s="154"/>
      <x:c r="F38" s="154"/>
      <x:c r="G38" s="151" t="str">
        <x:f>IFERROR(VLOOKUP(F38,'Base Sectores'!$A$5:$J$47,2,FALSE),"")</x:f>
      </x:c>
      <x:c r="H38" s="151" t="str">
        <x:f>IFERROR(VLOOKUP(F38,'Base Sectores'!$A$5:$J$47,3,FALSE),"")</x:f>
      </x:c>
      <x:c r="I38" s="151" t="str">
        <x:f>IFERROR(VLOOKUP(F38,'Base Sectores'!$A$5:$J$47,4,FALSE),"")</x:f>
      </x:c>
      <x:c r="J38" s="151" t="str">
        <x:f>IFERROR(VLOOKUP(F38,'Base Sectores'!$A$5:$J$47,5,FALSE),"")</x:f>
      </x:c>
      <x:c r="K38" s="151" t="str">
        <x:f>IFERROR(VLOOKUP(F38,'Base Sectores'!$A$5:$J$47,6,FALSE),"")</x:f>
      </x:c>
      <x:c r="L38" s="151" t="str">
        <x:f>IFERROR(VLOOKUP(F38,'Base Sectores'!$A$5:$J$47,7,FALSE),"")</x:f>
      </x:c>
      <x:c r="M38" s="151" t="str">
        <x:f>IFERROR(VLOOKUP(F38,'Base Sectores'!$A$5:$J$47,9,FALSE),"")</x:f>
      </x:c>
      <x:c r="N38" s="154"/>
      <x:c r="O38" s="151" t="str">
        <x:f>IFERROR(VLOOKUP(N38,'Configuracion'!$D$4:$H$15,2,FALSE),"")</x:f>
      </x:c>
      <x:c r="P38" s="151" t="str">
        <x:f>IFERROR(VLOOKUP(N38,'Configuracion'!$D$4:$H$15,3,FALSE),"")</x:f>
      </x:c>
      <x:c r="Q38" s="155"/>
      <x:c r="R38" s="156" t="str">
        <x:f>IFERROR(VLOOKUP(N38,'Configuracion'!$D$4:$H$15,4,FALSE),"")</x:f>
      </x:c>
      <x:c r="S38" s="153"/>
      <x:c r="T38" s="153"/>
      <x:c r="U38" s="156" t="str">
        <x:f>IF(OR(S38="",T38=""),"",MOD(T38-S38,1)*24)</x:f>
      </x:c>
      <x:c r="V38" s="154"/>
      <x:c r="W38" s="154"/>
      <x:c r="X38" s="151" t="str">
        <x:f>IFERROR(VLOOKUP(N38,'Configuracion'!$D$4:$H$15,5,FALSE),"")</x:f>
      </x:c>
      <x:c r="Y38" s="151" t="str">
        <x:f>IFERROR(VLOOKUP(V38,'Cuadrillas'!$A$5:$J$14,2,FALSE),"")</x:f>
      </x:c>
      <x:c r="Z38" s="154"/>
      <x:c r="AA38" s="154"/>
      <x:c r="AB38" s="154"/>
      <x:c r="AC38" s="153"/>
      <x:c r="AD38" s="153"/>
      <x:c r="AE38" s="156" t="str">
        <x:f>IF(OR(AC38="",AD38=""),"",MOD(AD38-AC38,1)*24)</x:f>
      </x:c>
      <x:c r="AF38" s="154"/>
      <x:c r="AG38" s="156" t="str">
        <x:f>IF(AE38="","",MAX(0,AE38-IF(AF38="",0,AF38/60)))</x:f>
      </x:c>
      <x:c r="AH38" s="155"/>
      <x:c r="AI38" s="154"/>
      <x:c r="AJ38" s="154"/>
      <x:c r="AK38" s="156" t="n">
        <x:f>IFERROR(U38*W38,"")</x:f>
        <x:v>0</x:v>
      </x:c>
      <x:c r="AL38" s="156" t="n">
        <x:f>IFERROR(AE38*AI38,"")</x:f>
        <x:v>0</x:v>
      </x:c>
      <x:c r="AM38" s="157" t="str">
        <x:f>IFERROR(AH38/Q38,"")</x:f>
      </x:c>
      <x:c r="AN38" s="156" t="str">
        <x:f>IFERROR(AH38/AG38,"")</x:f>
      </x:c>
      <x:c r="AO38" s="156" t="str">
        <x:f>IFERROR(AL38/AH38,"")</x:f>
      </x:c>
      <x:c r="AP38" s="157" t="str">
        <x:f>IFERROR(AG38/AE38,"")</x:f>
      </x:c>
      <x:c r="AQ38" s="157" t="str">
        <x:f>IFERROR(AN38/(R38/'Configuracion'!$B$13),"")</x:f>
      </x:c>
      <x:c r="AR38" s="156" t="n">
        <x:f>IFERROR(AE38-U38,"")</x:f>
        <x:v>0</x:v>
      </x:c>
      <x:c r="AS38" s="154"/>
      <x:c r="AT38" s="154"/>
      <x:c r="AU38" s="154"/>
      <x:c r="AV38" s="154"/>
      <x:c r="AW38" s="152"/>
      <x:c r="AX38" s="154"/>
      <x:c r="AY38" s="154"/>
      <x:c r="AZ38" s="151"/>
      <x:c r="BA38" s="151"/>
    </x:row>
    <x:row r="39">
      <x:c r="A39" s="151" t="str">
        <x:f>IF(B39="","",TEXT(B39,"yyyymmdd")&amp;"-"&amp;TEXT(COUNTIF($B$5:B39,B39),"000"))</x:f>
      </x:c>
      <x:c r="B39" s="152"/>
      <x:c r="C39" s="153"/>
      <x:c r="D39" s="151" t="str">
        <x:f>IF(B39="","",'Configuracion'!$B$4)</x:f>
      </x:c>
      <x:c r="E39" s="154"/>
      <x:c r="F39" s="154"/>
      <x:c r="G39" s="151" t="str">
        <x:f>IFERROR(VLOOKUP(F39,'Base Sectores'!$A$5:$J$47,2,FALSE),"")</x:f>
      </x:c>
      <x:c r="H39" s="151" t="str">
        <x:f>IFERROR(VLOOKUP(F39,'Base Sectores'!$A$5:$J$47,3,FALSE),"")</x:f>
      </x:c>
      <x:c r="I39" s="151" t="str">
        <x:f>IFERROR(VLOOKUP(F39,'Base Sectores'!$A$5:$J$47,4,FALSE),"")</x:f>
      </x:c>
      <x:c r="J39" s="151" t="str">
        <x:f>IFERROR(VLOOKUP(F39,'Base Sectores'!$A$5:$J$47,5,FALSE),"")</x:f>
      </x:c>
      <x:c r="K39" s="151" t="str">
        <x:f>IFERROR(VLOOKUP(F39,'Base Sectores'!$A$5:$J$47,6,FALSE),"")</x:f>
      </x:c>
      <x:c r="L39" s="151" t="str">
        <x:f>IFERROR(VLOOKUP(F39,'Base Sectores'!$A$5:$J$47,7,FALSE),"")</x:f>
      </x:c>
      <x:c r="M39" s="151" t="str">
        <x:f>IFERROR(VLOOKUP(F39,'Base Sectores'!$A$5:$J$47,9,FALSE),"")</x:f>
      </x:c>
      <x:c r="N39" s="154"/>
      <x:c r="O39" s="151" t="str">
        <x:f>IFERROR(VLOOKUP(N39,'Configuracion'!$D$4:$H$15,2,FALSE),"")</x:f>
      </x:c>
      <x:c r="P39" s="151" t="str">
        <x:f>IFERROR(VLOOKUP(N39,'Configuracion'!$D$4:$H$15,3,FALSE),"")</x:f>
      </x:c>
      <x:c r="Q39" s="155"/>
      <x:c r="R39" s="156" t="str">
        <x:f>IFERROR(VLOOKUP(N39,'Configuracion'!$D$4:$H$15,4,FALSE),"")</x:f>
      </x:c>
      <x:c r="S39" s="153"/>
      <x:c r="T39" s="153"/>
      <x:c r="U39" s="156" t="str">
        <x:f>IF(OR(S39="",T39=""),"",MOD(T39-S39,1)*24)</x:f>
      </x:c>
      <x:c r="V39" s="154"/>
      <x:c r="W39" s="154"/>
      <x:c r="X39" s="151" t="str">
        <x:f>IFERROR(VLOOKUP(N39,'Configuracion'!$D$4:$H$15,5,FALSE),"")</x:f>
      </x:c>
      <x:c r="Y39" s="151" t="str">
        <x:f>IFERROR(VLOOKUP(V39,'Cuadrillas'!$A$5:$J$14,2,FALSE),"")</x:f>
      </x:c>
      <x:c r="Z39" s="154"/>
      <x:c r="AA39" s="154"/>
      <x:c r="AB39" s="154"/>
      <x:c r="AC39" s="153"/>
      <x:c r="AD39" s="153"/>
      <x:c r="AE39" s="156" t="str">
        <x:f>IF(OR(AC39="",AD39=""),"",MOD(AD39-AC39,1)*24)</x:f>
      </x:c>
      <x:c r="AF39" s="154"/>
      <x:c r="AG39" s="156" t="str">
        <x:f>IF(AE39="","",MAX(0,AE39-IF(AF39="",0,AF39/60)))</x:f>
      </x:c>
      <x:c r="AH39" s="155"/>
      <x:c r="AI39" s="154"/>
      <x:c r="AJ39" s="154"/>
      <x:c r="AK39" s="156" t="n">
        <x:f>IFERROR(U39*W39,"")</x:f>
        <x:v>0</x:v>
      </x:c>
      <x:c r="AL39" s="156" t="n">
        <x:f>IFERROR(AE39*AI39,"")</x:f>
        <x:v>0</x:v>
      </x:c>
      <x:c r="AM39" s="157" t="str">
        <x:f>IFERROR(AH39/Q39,"")</x:f>
      </x:c>
      <x:c r="AN39" s="156" t="str">
        <x:f>IFERROR(AH39/AG39,"")</x:f>
      </x:c>
      <x:c r="AO39" s="156" t="str">
        <x:f>IFERROR(AL39/AH39,"")</x:f>
      </x:c>
      <x:c r="AP39" s="157" t="str">
        <x:f>IFERROR(AG39/AE39,"")</x:f>
      </x:c>
      <x:c r="AQ39" s="157" t="str">
        <x:f>IFERROR(AN39/(R39/'Configuracion'!$B$13),"")</x:f>
      </x:c>
      <x:c r="AR39" s="156" t="n">
        <x:f>IFERROR(AE39-U39,"")</x:f>
        <x:v>0</x:v>
      </x:c>
      <x:c r="AS39" s="154"/>
      <x:c r="AT39" s="154"/>
      <x:c r="AU39" s="154"/>
      <x:c r="AV39" s="154"/>
      <x:c r="AW39" s="152"/>
      <x:c r="AX39" s="154"/>
      <x:c r="AY39" s="154"/>
      <x:c r="AZ39" s="151"/>
      <x:c r="BA39" s="151"/>
    </x:row>
    <x:row r="40">
      <x:c r="A40" s="151" t="str">
        <x:f>IF(B40="","",TEXT(B40,"yyyymmdd")&amp;"-"&amp;TEXT(COUNTIF($B$5:B40,B40),"000"))</x:f>
      </x:c>
      <x:c r="B40" s="152"/>
      <x:c r="C40" s="153"/>
      <x:c r="D40" s="151" t="str">
        <x:f>IF(B40="","",'Configuracion'!$B$4)</x:f>
      </x:c>
      <x:c r="E40" s="154"/>
      <x:c r="F40" s="154"/>
      <x:c r="G40" s="151" t="str">
        <x:f>IFERROR(VLOOKUP(F40,'Base Sectores'!$A$5:$J$47,2,FALSE),"")</x:f>
      </x:c>
      <x:c r="H40" s="151" t="str">
        <x:f>IFERROR(VLOOKUP(F40,'Base Sectores'!$A$5:$J$47,3,FALSE),"")</x:f>
      </x:c>
      <x:c r="I40" s="151" t="str">
        <x:f>IFERROR(VLOOKUP(F40,'Base Sectores'!$A$5:$J$47,4,FALSE),"")</x:f>
      </x:c>
      <x:c r="J40" s="151" t="str">
        <x:f>IFERROR(VLOOKUP(F40,'Base Sectores'!$A$5:$J$47,5,FALSE),"")</x:f>
      </x:c>
      <x:c r="K40" s="151" t="str">
        <x:f>IFERROR(VLOOKUP(F40,'Base Sectores'!$A$5:$J$47,6,FALSE),"")</x:f>
      </x:c>
      <x:c r="L40" s="151" t="str">
        <x:f>IFERROR(VLOOKUP(F40,'Base Sectores'!$A$5:$J$47,7,FALSE),"")</x:f>
      </x:c>
      <x:c r="M40" s="151" t="str">
        <x:f>IFERROR(VLOOKUP(F40,'Base Sectores'!$A$5:$J$47,9,FALSE),"")</x:f>
      </x:c>
      <x:c r="N40" s="154"/>
      <x:c r="O40" s="151" t="str">
        <x:f>IFERROR(VLOOKUP(N40,'Configuracion'!$D$4:$H$15,2,FALSE),"")</x:f>
      </x:c>
      <x:c r="P40" s="151" t="str">
        <x:f>IFERROR(VLOOKUP(N40,'Configuracion'!$D$4:$H$15,3,FALSE),"")</x:f>
      </x:c>
      <x:c r="Q40" s="155"/>
      <x:c r="R40" s="156" t="str">
        <x:f>IFERROR(VLOOKUP(N40,'Configuracion'!$D$4:$H$15,4,FALSE),"")</x:f>
      </x:c>
      <x:c r="S40" s="153"/>
      <x:c r="T40" s="153"/>
      <x:c r="U40" s="156" t="str">
        <x:f>IF(OR(S40="",T40=""),"",MOD(T40-S40,1)*24)</x:f>
      </x:c>
      <x:c r="V40" s="154"/>
      <x:c r="W40" s="154"/>
      <x:c r="X40" s="151" t="str">
        <x:f>IFERROR(VLOOKUP(N40,'Configuracion'!$D$4:$H$15,5,FALSE),"")</x:f>
      </x:c>
      <x:c r="Y40" s="151" t="str">
        <x:f>IFERROR(VLOOKUP(V40,'Cuadrillas'!$A$5:$J$14,2,FALSE),"")</x:f>
      </x:c>
      <x:c r="Z40" s="154"/>
      <x:c r="AA40" s="154"/>
      <x:c r="AB40" s="154"/>
      <x:c r="AC40" s="153"/>
      <x:c r="AD40" s="153"/>
      <x:c r="AE40" s="156" t="str">
        <x:f>IF(OR(AC40="",AD40=""),"",MOD(AD40-AC40,1)*24)</x:f>
      </x:c>
      <x:c r="AF40" s="154"/>
      <x:c r="AG40" s="156" t="str">
        <x:f>IF(AE40="","",MAX(0,AE40-IF(AF40="",0,AF40/60)))</x:f>
      </x:c>
      <x:c r="AH40" s="155"/>
      <x:c r="AI40" s="154"/>
      <x:c r="AJ40" s="154"/>
      <x:c r="AK40" s="156" t="n">
        <x:f>IFERROR(U40*W40,"")</x:f>
        <x:v>0</x:v>
      </x:c>
      <x:c r="AL40" s="156" t="n">
        <x:f>IFERROR(AE40*AI40,"")</x:f>
        <x:v>0</x:v>
      </x:c>
      <x:c r="AM40" s="157" t="str">
        <x:f>IFERROR(AH40/Q40,"")</x:f>
      </x:c>
      <x:c r="AN40" s="156" t="str">
        <x:f>IFERROR(AH40/AG40,"")</x:f>
      </x:c>
      <x:c r="AO40" s="156" t="str">
        <x:f>IFERROR(AL40/AH40,"")</x:f>
      </x:c>
      <x:c r="AP40" s="157" t="str">
        <x:f>IFERROR(AG40/AE40,"")</x:f>
      </x:c>
      <x:c r="AQ40" s="157" t="str">
        <x:f>IFERROR(AN40/(R40/'Configuracion'!$B$13),"")</x:f>
      </x:c>
      <x:c r="AR40" s="156" t="n">
        <x:f>IFERROR(AE40-U40,"")</x:f>
        <x:v>0</x:v>
      </x:c>
      <x:c r="AS40" s="154"/>
      <x:c r="AT40" s="154"/>
      <x:c r="AU40" s="154"/>
      <x:c r="AV40" s="154"/>
      <x:c r="AW40" s="152"/>
      <x:c r="AX40" s="154"/>
      <x:c r="AY40" s="154"/>
      <x:c r="AZ40" s="151"/>
      <x:c r="BA40" s="151"/>
    </x:row>
    <x:row r="41">
      <x:c r="A41" s="151" t="str">
        <x:f>IF(B41="","",TEXT(B41,"yyyymmdd")&amp;"-"&amp;TEXT(COUNTIF($B$5:B41,B41),"000"))</x:f>
      </x:c>
      <x:c r="B41" s="152"/>
      <x:c r="C41" s="153"/>
      <x:c r="D41" s="151" t="str">
        <x:f>IF(B41="","",'Configuracion'!$B$4)</x:f>
      </x:c>
      <x:c r="E41" s="154"/>
      <x:c r="F41" s="154"/>
      <x:c r="G41" s="151" t="str">
        <x:f>IFERROR(VLOOKUP(F41,'Base Sectores'!$A$5:$J$47,2,FALSE),"")</x:f>
      </x:c>
      <x:c r="H41" s="151" t="str">
        <x:f>IFERROR(VLOOKUP(F41,'Base Sectores'!$A$5:$J$47,3,FALSE),"")</x:f>
      </x:c>
      <x:c r="I41" s="151" t="str">
        <x:f>IFERROR(VLOOKUP(F41,'Base Sectores'!$A$5:$J$47,4,FALSE),"")</x:f>
      </x:c>
      <x:c r="J41" s="151" t="str">
        <x:f>IFERROR(VLOOKUP(F41,'Base Sectores'!$A$5:$J$47,5,FALSE),"")</x:f>
      </x:c>
      <x:c r="K41" s="151" t="str">
        <x:f>IFERROR(VLOOKUP(F41,'Base Sectores'!$A$5:$J$47,6,FALSE),"")</x:f>
      </x:c>
      <x:c r="L41" s="151" t="str">
        <x:f>IFERROR(VLOOKUP(F41,'Base Sectores'!$A$5:$J$47,7,FALSE),"")</x:f>
      </x:c>
      <x:c r="M41" s="151" t="str">
        <x:f>IFERROR(VLOOKUP(F41,'Base Sectores'!$A$5:$J$47,9,FALSE),"")</x:f>
      </x:c>
      <x:c r="N41" s="154"/>
      <x:c r="O41" s="151" t="str">
        <x:f>IFERROR(VLOOKUP(N41,'Configuracion'!$D$4:$H$15,2,FALSE),"")</x:f>
      </x:c>
      <x:c r="P41" s="151" t="str">
        <x:f>IFERROR(VLOOKUP(N41,'Configuracion'!$D$4:$H$15,3,FALSE),"")</x:f>
      </x:c>
      <x:c r="Q41" s="155"/>
      <x:c r="R41" s="156" t="str">
        <x:f>IFERROR(VLOOKUP(N41,'Configuracion'!$D$4:$H$15,4,FALSE),"")</x:f>
      </x:c>
      <x:c r="S41" s="153"/>
      <x:c r="T41" s="153"/>
      <x:c r="U41" s="156" t="str">
        <x:f>IF(OR(S41="",T41=""),"",MOD(T41-S41,1)*24)</x:f>
      </x:c>
      <x:c r="V41" s="154"/>
      <x:c r="W41" s="154"/>
      <x:c r="X41" s="151" t="str">
        <x:f>IFERROR(VLOOKUP(N41,'Configuracion'!$D$4:$H$15,5,FALSE),"")</x:f>
      </x:c>
      <x:c r="Y41" s="151" t="str">
        <x:f>IFERROR(VLOOKUP(V41,'Cuadrillas'!$A$5:$J$14,2,FALSE),"")</x:f>
      </x:c>
      <x:c r="Z41" s="154"/>
      <x:c r="AA41" s="154"/>
      <x:c r="AB41" s="154"/>
      <x:c r="AC41" s="153"/>
      <x:c r="AD41" s="153"/>
      <x:c r="AE41" s="156" t="str">
        <x:f>IF(OR(AC41="",AD41=""),"",MOD(AD41-AC41,1)*24)</x:f>
      </x:c>
      <x:c r="AF41" s="154"/>
      <x:c r="AG41" s="156" t="str">
        <x:f>IF(AE41="","",MAX(0,AE41-IF(AF41="",0,AF41/60)))</x:f>
      </x:c>
      <x:c r="AH41" s="155"/>
      <x:c r="AI41" s="154"/>
      <x:c r="AJ41" s="154"/>
      <x:c r="AK41" s="156" t="n">
        <x:f>IFERROR(U41*W41,"")</x:f>
        <x:v>0</x:v>
      </x:c>
      <x:c r="AL41" s="156" t="n">
        <x:f>IFERROR(AE41*AI41,"")</x:f>
        <x:v>0</x:v>
      </x:c>
      <x:c r="AM41" s="157" t="str">
        <x:f>IFERROR(AH41/Q41,"")</x:f>
      </x:c>
      <x:c r="AN41" s="156" t="str">
        <x:f>IFERROR(AH41/AG41,"")</x:f>
      </x:c>
      <x:c r="AO41" s="156" t="str">
        <x:f>IFERROR(AL41/AH41,"")</x:f>
      </x:c>
      <x:c r="AP41" s="157" t="str">
        <x:f>IFERROR(AG41/AE41,"")</x:f>
      </x:c>
      <x:c r="AQ41" s="157" t="str">
        <x:f>IFERROR(AN41/(R41/'Configuracion'!$B$13),"")</x:f>
      </x:c>
      <x:c r="AR41" s="156" t="n">
        <x:f>IFERROR(AE41-U41,"")</x:f>
        <x:v>0</x:v>
      </x:c>
      <x:c r="AS41" s="154"/>
      <x:c r="AT41" s="154"/>
      <x:c r="AU41" s="154"/>
      <x:c r="AV41" s="154"/>
      <x:c r="AW41" s="152"/>
      <x:c r="AX41" s="154"/>
      <x:c r="AY41" s="154"/>
      <x:c r="AZ41" s="151"/>
      <x:c r="BA41" s="151"/>
    </x:row>
    <x:row r="42">
      <x:c r="A42" s="151" t="str">
        <x:f>IF(B42="","",TEXT(B42,"yyyymmdd")&amp;"-"&amp;TEXT(COUNTIF($B$5:B42,B42),"000"))</x:f>
      </x:c>
      <x:c r="B42" s="152"/>
      <x:c r="C42" s="153"/>
      <x:c r="D42" s="151" t="str">
        <x:f>IF(B42="","",'Configuracion'!$B$4)</x:f>
      </x:c>
      <x:c r="E42" s="154"/>
      <x:c r="F42" s="154"/>
      <x:c r="G42" s="151" t="str">
        <x:f>IFERROR(VLOOKUP(F42,'Base Sectores'!$A$5:$J$47,2,FALSE),"")</x:f>
      </x:c>
      <x:c r="H42" s="151" t="str">
        <x:f>IFERROR(VLOOKUP(F42,'Base Sectores'!$A$5:$J$47,3,FALSE),"")</x:f>
      </x:c>
      <x:c r="I42" s="151" t="str">
        <x:f>IFERROR(VLOOKUP(F42,'Base Sectores'!$A$5:$J$47,4,FALSE),"")</x:f>
      </x:c>
      <x:c r="J42" s="151" t="str">
        <x:f>IFERROR(VLOOKUP(F42,'Base Sectores'!$A$5:$J$47,5,FALSE),"")</x:f>
      </x:c>
      <x:c r="K42" s="151" t="str">
        <x:f>IFERROR(VLOOKUP(F42,'Base Sectores'!$A$5:$J$47,6,FALSE),"")</x:f>
      </x:c>
      <x:c r="L42" s="151" t="str">
        <x:f>IFERROR(VLOOKUP(F42,'Base Sectores'!$A$5:$J$47,7,FALSE),"")</x:f>
      </x:c>
      <x:c r="M42" s="151" t="str">
        <x:f>IFERROR(VLOOKUP(F42,'Base Sectores'!$A$5:$J$47,9,FALSE),"")</x:f>
      </x:c>
      <x:c r="N42" s="154"/>
      <x:c r="O42" s="151" t="str">
        <x:f>IFERROR(VLOOKUP(N42,'Configuracion'!$D$4:$H$15,2,FALSE),"")</x:f>
      </x:c>
      <x:c r="P42" s="151" t="str">
        <x:f>IFERROR(VLOOKUP(N42,'Configuracion'!$D$4:$H$15,3,FALSE),"")</x:f>
      </x:c>
      <x:c r="Q42" s="155"/>
      <x:c r="R42" s="156" t="str">
        <x:f>IFERROR(VLOOKUP(N42,'Configuracion'!$D$4:$H$15,4,FALSE),"")</x:f>
      </x:c>
      <x:c r="S42" s="153"/>
      <x:c r="T42" s="153"/>
      <x:c r="U42" s="156" t="str">
        <x:f>IF(OR(S42="",T42=""),"",MOD(T42-S42,1)*24)</x:f>
      </x:c>
      <x:c r="V42" s="154"/>
      <x:c r="W42" s="154"/>
      <x:c r="X42" s="151" t="str">
        <x:f>IFERROR(VLOOKUP(N42,'Configuracion'!$D$4:$H$15,5,FALSE),"")</x:f>
      </x:c>
      <x:c r="Y42" s="151" t="str">
        <x:f>IFERROR(VLOOKUP(V42,'Cuadrillas'!$A$5:$J$14,2,FALSE),"")</x:f>
      </x:c>
      <x:c r="Z42" s="154"/>
      <x:c r="AA42" s="154"/>
      <x:c r="AB42" s="154"/>
      <x:c r="AC42" s="153"/>
      <x:c r="AD42" s="153"/>
      <x:c r="AE42" s="156" t="str">
        <x:f>IF(OR(AC42="",AD42=""),"",MOD(AD42-AC42,1)*24)</x:f>
      </x:c>
      <x:c r="AF42" s="154"/>
      <x:c r="AG42" s="156" t="str">
        <x:f>IF(AE42="","",MAX(0,AE42-IF(AF42="",0,AF42/60)))</x:f>
      </x:c>
      <x:c r="AH42" s="155"/>
      <x:c r="AI42" s="154"/>
      <x:c r="AJ42" s="154"/>
      <x:c r="AK42" s="156" t="n">
        <x:f>IFERROR(U42*W42,"")</x:f>
        <x:v>0</x:v>
      </x:c>
      <x:c r="AL42" s="156" t="n">
        <x:f>IFERROR(AE42*AI42,"")</x:f>
        <x:v>0</x:v>
      </x:c>
      <x:c r="AM42" s="157" t="str">
        <x:f>IFERROR(AH42/Q42,"")</x:f>
      </x:c>
      <x:c r="AN42" s="156" t="str">
        <x:f>IFERROR(AH42/AG42,"")</x:f>
      </x:c>
      <x:c r="AO42" s="156" t="str">
        <x:f>IFERROR(AL42/AH42,"")</x:f>
      </x:c>
      <x:c r="AP42" s="157" t="str">
        <x:f>IFERROR(AG42/AE42,"")</x:f>
      </x:c>
      <x:c r="AQ42" s="157" t="str">
        <x:f>IFERROR(AN42/(R42/'Configuracion'!$B$13),"")</x:f>
      </x:c>
      <x:c r="AR42" s="156" t="n">
        <x:f>IFERROR(AE42-U42,"")</x:f>
        <x:v>0</x:v>
      </x:c>
      <x:c r="AS42" s="154"/>
      <x:c r="AT42" s="154"/>
      <x:c r="AU42" s="154"/>
      <x:c r="AV42" s="154"/>
      <x:c r="AW42" s="152"/>
      <x:c r="AX42" s="154"/>
      <x:c r="AY42" s="154"/>
      <x:c r="AZ42" s="151"/>
      <x:c r="BA42" s="151"/>
    </x:row>
    <x:row r="43">
      <x:c r="A43" s="151" t="str">
        <x:f>IF(B43="","",TEXT(B43,"yyyymmdd")&amp;"-"&amp;TEXT(COUNTIF($B$5:B43,B43),"000"))</x:f>
      </x:c>
      <x:c r="B43" s="152"/>
      <x:c r="C43" s="153"/>
      <x:c r="D43" s="151" t="str">
        <x:f>IF(B43="","",'Configuracion'!$B$4)</x:f>
      </x:c>
      <x:c r="E43" s="154"/>
      <x:c r="F43" s="154"/>
      <x:c r="G43" s="151" t="str">
        <x:f>IFERROR(VLOOKUP(F43,'Base Sectores'!$A$5:$J$47,2,FALSE),"")</x:f>
      </x:c>
      <x:c r="H43" s="151" t="str">
        <x:f>IFERROR(VLOOKUP(F43,'Base Sectores'!$A$5:$J$47,3,FALSE),"")</x:f>
      </x:c>
      <x:c r="I43" s="151" t="str">
        <x:f>IFERROR(VLOOKUP(F43,'Base Sectores'!$A$5:$J$47,4,FALSE),"")</x:f>
      </x:c>
      <x:c r="J43" s="151" t="str">
        <x:f>IFERROR(VLOOKUP(F43,'Base Sectores'!$A$5:$J$47,5,FALSE),"")</x:f>
      </x:c>
      <x:c r="K43" s="151" t="str">
        <x:f>IFERROR(VLOOKUP(F43,'Base Sectores'!$A$5:$J$47,6,FALSE),"")</x:f>
      </x:c>
      <x:c r="L43" s="151" t="str">
        <x:f>IFERROR(VLOOKUP(F43,'Base Sectores'!$A$5:$J$47,7,FALSE),"")</x:f>
      </x:c>
      <x:c r="M43" s="151" t="str">
        <x:f>IFERROR(VLOOKUP(F43,'Base Sectores'!$A$5:$J$47,9,FALSE),"")</x:f>
      </x:c>
      <x:c r="N43" s="154"/>
      <x:c r="O43" s="151" t="str">
        <x:f>IFERROR(VLOOKUP(N43,'Configuracion'!$D$4:$H$15,2,FALSE),"")</x:f>
      </x:c>
      <x:c r="P43" s="151" t="str">
        <x:f>IFERROR(VLOOKUP(N43,'Configuracion'!$D$4:$H$15,3,FALSE),"")</x:f>
      </x:c>
      <x:c r="Q43" s="155"/>
      <x:c r="R43" s="156" t="str">
        <x:f>IFERROR(VLOOKUP(N43,'Configuracion'!$D$4:$H$15,4,FALSE),"")</x:f>
      </x:c>
      <x:c r="S43" s="153"/>
      <x:c r="T43" s="153"/>
      <x:c r="U43" s="156" t="str">
        <x:f>IF(OR(S43="",T43=""),"",MOD(T43-S43,1)*24)</x:f>
      </x:c>
      <x:c r="V43" s="154"/>
      <x:c r="W43" s="154"/>
      <x:c r="X43" s="151" t="str">
        <x:f>IFERROR(VLOOKUP(N43,'Configuracion'!$D$4:$H$15,5,FALSE),"")</x:f>
      </x:c>
      <x:c r="Y43" s="151" t="str">
        <x:f>IFERROR(VLOOKUP(V43,'Cuadrillas'!$A$5:$J$14,2,FALSE),"")</x:f>
      </x:c>
      <x:c r="Z43" s="154"/>
      <x:c r="AA43" s="154"/>
      <x:c r="AB43" s="154"/>
      <x:c r="AC43" s="153"/>
      <x:c r="AD43" s="153"/>
      <x:c r="AE43" s="156" t="str">
        <x:f>IF(OR(AC43="",AD43=""),"",MOD(AD43-AC43,1)*24)</x:f>
      </x:c>
      <x:c r="AF43" s="154"/>
      <x:c r="AG43" s="156" t="str">
        <x:f>IF(AE43="","",MAX(0,AE43-IF(AF43="",0,AF43/60)))</x:f>
      </x:c>
      <x:c r="AH43" s="155"/>
      <x:c r="AI43" s="154"/>
      <x:c r="AJ43" s="154"/>
      <x:c r="AK43" s="156" t="n">
        <x:f>IFERROR(U43*W43,"")</x:f>
        <x:v>0</x:v>
      </x:c>
      <x:c r="AL43" s="156" t="n">
        <x:f>IFERROR(AE43*AI43,"")</x:f>
        <x:v>0</x:v>
      </x:c>
      <x:c r="AM43" s="157" t="str">
        <x:f>IFERROR(AH43/Q43,"")</x:f>
      </x:c>
      <x:c r="AN43" s="156" t="str">
        <x:f>IFERROR(AH43/AG43,"")</x:f>
      </x:c>
      <x:c r="AO43" s="156" t="str">
        <x:f>IFERROR(AL43/AH43,"")</x:f>
      </x:c>
      <x:c r="AP43" s="157" t="str">
        <x:f>IFERROR(AG43/AE43,"")</x:f>
      </x:c>
      <x:c r="AQ43" s="157" t="str">
        <x:f>IFERROR(AN43/(R43/'Configuracion'!$B$13),"")</x:f>
      </x:c>
      <x:c r="AR43" s="156" t="n">
        <x:f>IFERROR(AE43-U43,"")</x:f>
        <x:v>0</x:v>
      </x:c>
      <x:c r="AS43" s="154"/>
      <x:c r="AT43" s="154"/>
      <x:c r="AU43" s="154"/>
      <x:c r="AV43" s="154"/>
      <x:c r="AW43" s="152"/>
      <x:c r="AX43" s="154"/>
      <x:c r="AY43" s="154"/>
      <x:c r="AZ43" s="151"/>
      <x:c r="BA43" s="151"/>
    </x:row>
    <x:row r="44">
      <x:c r="A44" s="151" t="str">
        <x:f>IF(B44="","",TEXT(B44,"yyyymmdd")&amp;"-"&amp;TEXT(COUNTIF($B$5:B44,B44),"000"))</x:f>
      </x:c>
      <x:c r="B44" s="152"/>
      <x:c r="C44" s="153"/>
      <x:c r="D44" s="151" t="str">
        <x:f>IF(B44="","",'Configuracion'!$B$4)</x:f>
      </x:c>
      <x:c r="E44" s="154"/>
      <x:c r="F44" s="154"/>
      <x:c r="G44" s="151" t="str">
        <x:f>IFERROR(VLOOKUP(F44,'Base Sectores'!$A$5:$J$47,2,FALSE),"")</x:f>
      </x:c>
      <x:c r="H44" s="151" t="str">
        <x:f>IFERROR(VLOOKUP(F44,'Base Sectores'!$A$5:$J$47,3,FALSE),"")</x:f>
      </x:c>
      <x:c r="I44" s="151" t="str">
        <x:f>IFERROR(VLOOKUP(F44,'Base Sectores'!$A$5:$J$47,4,FALSE),"")</x:f>
      </x:c>
      <x:c r="J44" s="151" t="str">
        <x:f>IFERROR(VLOOKUP(F44,'Base Sectores'!$A$5:$J$47,5,FALSE),"")</x:f>
      </x:c>
      <x:c r="K44" s="151" t="str">
        <x:f>IFERROR(VLOOKUP(F44,'Base Sectores'!$A$5:$J$47,6,FALSE),"")</x:f>
      </x:c>
      <x:c r="L44" s="151" t="str">
        <x:f>IFERROR(VLOOKUP(F44,'Base Sectores'!$A$5:$J$47,7,FALSE),"")</x:f>
      </x:c>
      <x:c r="M44" s="151" t="str">
        <x:f>IFERROR(VLOOKUP(F44,'Base Sectores'!$A$5:$J$47,9,FALSE),"")</x:f>
      </x:c>
      <x:c r="N44" s="154"/>
      <x:c r="O44" s="151" t="str">
        <x:f>IFERROR(VLOOKUP(N44,'Configuracion'!$D$4:$H$15,2,FALSE),"")</x:f>
      </x:c>
      <x:c r="P44" s="151" t="str">
        <x:f>IFERROR(VLOOKUP(N44,'Configuracion'!$D$4:$H$15,3,FALSE),"")</x:f>
      </x:c>
      <x:c r="Q44" s="155"/>
      <x:c r="R44" s="156" t="str">
        <x:f>IFERROR(VLOOKUP(N44,'Configuracion'!$D$4:$H$15,4,FALSE),"")</x:f>
      </x:c>
      <x:c r="S44" s="153"/>
      <x:c r="T44" s="153"/>
      <x:c r="U44" s="156" t="str">
        <x:f>IF(OR(S44="",T44=""),"",MOD(T44-S44,1)*24)</x:f>
      </x:c>
      <x:c r="V44" s="154"/>
      <x:c r="W44" s="154"/>
      <x:c r="X44" s="151" t="str">
        <x:f>IFERROR(VLOOKUP(N44,'Configuracion'!$D$4:$H$15,5,FALSE),"")</x:f>
      </x:c>
      <x:c r="Y44" s="151" t="str">
        <x:f>IFERROR(VLOOKUP(V44,'Cuadrillas'!$A$5:$J$14,2,FALSE),"")</x:f>
      </x:c>
      <x:c r="Z44" s="154"/>
      <x:c r="AA44" s="154"/>
      <x:c r="AB44" s="154"/>
      <x:c r="AC44" s="153"/>
      <x:c r="AD44" s="153"/>
      <x:c r="AE44" s="156" t="str">
        <x:f>IF(OR(AC44="",AD44=""),"",MOD(AD44-AC44,1)*24)</x:f>
      </x:c>
      <x:c r="AF44" s="154"/>
      <x:c r="AG44" s="156" t="str">
        <x:f>IF(AE44="","",MAX(0,AE44-IF(AF44="",0,AF44/60)))</x:f>
      </x:c>
      <x:c r="AH44" s="155"/>
      <x:c r="AI44" s="154"/>
      <x:c r="AJ44" s="154"/>
      <x:c r="AK44" s="156" t="n">
        <x:f>IFERROR(U44*W44,"")</x:f>
        <x:v>0</x:v>
      </x:c>
      <x:c r="AL44" s="156" t="n">
        <x:f>IFERROR(AE44*AI44,"")</x:f>
        <x:v>0</x:v>
      </x:c>
      <x:c r="AM44" s="157" t="str">
        <x:f>IFERROR(AH44/Q44,"")</x:f>
      </x:c>
      <x:c r="AN44" s="156" t="str">
        <x:f>IFERROR(AH44/AG44,"")</x:f>
      </x:c>
      <x:c r="AO44" s="156" t="str">
        <x:f>IFERROR(AL44/AH44,"")</x:f>
      </x:c>
      <x:c r="AP44" s="157" t="str">
        <x:f>IFERROR(AG44/AE44,"")</x:f>
      </x:c>
      <x:c r="AQ44" s="157" t="str">
        <x:f>IFERROR(AN44/(R44/'Configuracion'!$B$13),"")</x:f>
      </x:c>
      <x:c r="AR44" s="156" t="n">
        <x:f>IFERROR(AE44-U44,"")</x:f>
        <x:v>0</x:v>
      </x:c>
      <x:c r="AS44" s="154"/>
      <x:c r="AT44" s="154"/>
      <x:c r="AU44" s="154"/>
      <x:c r="AV44" s="154"/>
      <x:c r="AW44" s="152"/>
      <x:c r="AX44" s="154"/>
      <x:c r="AY44" s="154"/>
      <x:c r="AZ44" s="151"/>
      <x:c r="BA44" s="151"/>
    </x:row>
    <x:row r="45">
      <x:c r="A45" s="151" t="str">
        <x:f>IF(B45="","",TEXT(B45,"yyyymmdd")&amp;"-"&amp;TEXT(COUNTIF($B$5:B45,B45),"000"))</x:f>
      </x:c>
      <x:c r="B45" s="152"/>
      <x:c r="C45" s="153"/>
      <x:c r="D45" s="151" t="str">
        <x:f>IF(B45="","",'Configuracion'!$B$4)</x:f>
      </x:c>
      <x:c r="E45" s="154"/>
      <x:c r="F45" s="154"/>
      <x:c r="G45" s="151" t="str">
        <x:f>IFERROR(VLOOKUP(F45,'Base Sectores'!$A$5:$J$47,2,FALSE),"")</x:f>
      </x:c>
      <x:c r="H45" s="151" t="str">
        <x:f>IFERROR(VLOOKUP(F45,'Base Sectores'!$A$5:$J$47,3,FALSE),"")</x:f>
      </x:c>
      <x:c r="I45" s="151" t="str">
        <x:f>IFERROR(VLOOKUP(F45,'Base Sectores'!$A$5:$J$47,4,FALSE),"")</x:f>
      </x:c>
      <x:c r="J45" s="151" t="str">
        <x:f>IFERROR(VLOOKUP(F45,'Base Sectores'!$A$5:$J$47,5,FALSE),"")</x:f>
      </x:c>
      <x:c r="K45" s="151" t="str">
        <x:f>IFERROR(VLOOKUP(F45,'Base Sectores'!$A$5:$J$47,6,FALSE),"")</x:f>
      </x:c>
      <x:c r="L45" s="151" t="str">
        <x:f>IFERROR(VLOOKUP(F45,'Base Sectores'!$A$5:$J$47,7,FALSE),"")</x:f>
      </x:c>
      <x:c r="M45" s="151" t="str">
        <x:f>IFERROR(VLOOKUP(F45,'Base Sectores'!$A$5:$J$47,9,FALSE),"")</x:f>
      </x:c>
      <x:c r="N45" s="154"/>
      <x:c r="O45" s="151" t="str">
        <x:f>IFERROR(VLOOKUP(N45,'Configuracion'!$D$4:$H$15,2,FALSE),"")</x:f>
      </x:c>
      <x:c r="P45" s="151" t="str">
        <x:f>IFERROR(VLOOKUP(N45,'Configuracion'!$D$4:$H$15,3,FALSE),"")</x:f>
      </x:c>
      <x:c r="Q45" s="155"/>
      <x:c r="R45" s="156" t="str">
        <x:f>IFERROR(VLOOKUP(N45,'Configuracion'!$D$4:$H$15,4,FALSE),"")</x:f>
      </x:c>
      <x:c r="S45" s="153"/>
      <x:c r="T45" s="153"/>
      <x:c r="U45" s="156" t="str">
        <x:f>IF(OR(S45="",T45=""),"",MOD(T45-S45,1)*24)</x:f>
      </x:c>
      <x:c r="V45" s="154"/>
      <x:c r="W45" s="154"/>
      <x:c r="X45" s="151" t="str">
        <x:f>IFERROR(VLOOKUP(N45,'Configuracion'!$D$4:$H$15,5,FALSE),"")</x:f>
      </x:c>
      <x:c r="Y45" s="151" t="str">
        <x:f>IFERROR(VLOOKUP(V45,'Cuadrillas'!$A$5:$J$14,2,FALSE),"")</x:f>
      </x:c>
      <x:c r="Z45" s="154"/>
      <x:c r="AA45" s="154"/>
      <x:c r="AB45" s="154"/>
      <x:c r="AC45" s="153"/>
      <x:c r="AD45" s="153"/>
      <x:c r="AE45" s="156" t="str">
        <x:f>IF(OR(AC45="",AD45=""),"",MOD(AD45-AC45,1)*24)</x:f>
      </x:c>
      <x:c r="AF45" s="154"/>
      <x:c r="AG45" s="156" t="str">
        <x:f>IF(AE45="","",MAX(0,AE45-IF(AF45="",0,AF45/60)))</x:f>
      </x:c>
      <x:c r="AH45" s="155"/>
      <x:c r="AI45" s="154"/>
      <x:c r="AJ45" s="154"/>
      <x:c r="AK45" s="156" t="n">
        <x:f>IFERROR(U45*W45,"")</x:f>
        <x:v>0</x:v>
      </x:c>
      <x:c r="AL45" s="156" t="n">
        <x:f>IFERROR(AE45*AI45,"")</x:f>
        <x:v>0</x:v>
      </x:c>
      <x:c r="AM45" s="157" t="str">
        <x:f>IFERROR(AH45/Q45,"")</x:f>
      </x:c>
      <x:c r="AN45" s="156" t="str">
        <x:f>IFERROR(AH45/AG45,"")</x:f>
      </x:c>
      <x:c r="AO45" s="156" t="str">
        <x:f>IFERROR(AL45/AH45,"")</x:f>
      </x:c>
      <x:c r="AP45" s="157" t="str">
        <x:f>IFERROR(AG45/AE45,"")</x:f>
      </x:c>
      <x:c r="AQ45" s="157" t="str">
        <x:f>IFERROR(AN45/(R45/'Configuracion'!$B$13),"")</x:f>
      </x:c>
      <x:c r="AR45" s="156" t="n">
        <x:f>IFERROR(AE45-U45,"")</x:f>
        <x:v>0</x:v>
      </x:c>
      <x:c r="AS45" s="154"/>
      <x:c r="AT45" s="154"/>
      <x:c r="AU45" s="154"/>
      <x:c r="AV45" s="154"/>
      <x:c r="AW45" s="152"/>
      <x:c r="AX45" s="154"/>
      <x:c r="AY45" s="154"/>
      <x:c r="AZ45" s="151"/>
      <x:c r="BA45" s="151"/>
    </x:row>
    <x:row r="46">
      <x:c r="A46" s="151" t="str">
        <x:f>IF(B46="","",TEXT(B46,"yyyymmdd")&amp;"-"&amp;TEXT(COUNTIF($B$5:B46,B46),"000"))</x:f>
      </x:c>
      <x:c r="B46" s="152"/>
      <x:c r="C46" s="153"/>
      <x:c r="D46" s="151" t="str">
        <x:f>IF(B46="","",'Configuracion'!$B$4)</x:f>
      </x:c>
      <x:c r="E46" s="154"/>
      <x:c r="F46" s="154"/>
      <x:c r="G46" s="151" t="str">
        <x:f>IFERROR(VLOOKUP(F46,'Base Sectores'!$A$5:$J$47,2,FALSE),"")</x:f>
      </x:c>
      <x:c r="H46" s="151" t="str">
        <x:f>IFERROR(VLOOKUP(F46,'Base Sectores'!$A$5:$J$47,3,FALSE),"")</x:f>
      </x:c>
      <x:c r="I46" s="151" t="str">
        <x:f>IFERROR(VLOOKUP(F46,'Base Sectores'!$A$5:$J$47,4,FALSE),"")</x:f>
      </x:c>
      <x:c r="J46" s="151" t="str">
        <x:f>IFERROR(VLOOKUP(F46,'Base Sectores'!$A$5:$J$47,5,FALSE),"")</x:f>
      </x:c>
      <x:c r="K46" s="151" t="str">
        <x:f>IFERROR(VLOOKUP(F46,'Base Sectores'!$A$5:$J$47,6,FALSE),"")</x:f>
      </x:c>
      <x:c r="L46" s="151" t="str">
        <x:f>IFERROR(VLOOKUP(F46,'Base Sectores'!$A$5:$J$47,7,FALSE),"")</x:f>
      </x:c>
      <x:c r="M46" s="151" t="str">
        <x:f>IFERROR(VLOOKUP(F46,'Base Sectores'!$A$5:$J$47,9,FALSE),"")</x:f>
      </x:c>
      <x:c r="N46" s="154"/>
      <x:c r="O46" s="151" t="str">
        <x:f>IFERROR(VLOOKUP(N46,'Configuracion'!$D$4:$H$15,2,FALSE),"")</x:f>
      </x:c>
      <x:c r="P46" s="151" t="str">
        <x:f>IFERROR(VLOOKUP(N46,'Configuracion'!$D$4:$H$15,3,FALSE),"")</x:f>
      </x:c>
      <x:c r="Q46" s="155"/>
      <x:c r="R46" s="156" t="str">
        <x:f>IFERROR(VLOOKUP(N46,'Configuracion'!$D$4:$H$15,4,FALSE),"")</x:f>
      </x:c>
      <x:c r="S46" s="153"/>
      <x:c r="T46" s="153"/>
      <x:c r="U46" s="156" t="str">
        <x:f>IF(OR(S46="",T46=""),"",MOD(T46-S46,1)*24)</x:f>
      </x:c>
      <x:c r="V46" s="154"/>
      <x:c r="W46" s="154"/>
      <x:c r="X46" s="151" t="str">
        <x:f>IFERROR(VLOOKUP(N46,'Configuracion'!$D$4:$H$15,5,FALSE),"")</x:f>
      </x:c>
      <x:c r="Y46" s="151" t="str">
        <x:f>IFERROR(VLOOKUP(V46,'Cuadrillas'!$A$5:$J$14,2,FALSE),"")</x:f>
      </x:c>
      <x:c r="Z46" s="154"/>
      <x:c r="AA46" s="154"/>
      <x:c r="AB46" s="154"/>
      <x:c r="AC46" s="153"/>
      <x:c r="AD46" s="153"/>
      <x:c r="AE46" s="156" t="str">
        <x:f>IF(OR(AC46="",AD46=""),"",MOD(AD46-AC46,1)*24)</x:f>
      </x:c>
      <x:c r="AF46" s="154"/>
      <x:c r="AG46" s="156" t="str">
        <x:f>IF(AE46="","",MAX(0,AE46-IF(AF46="",0,AF46/60)))</x:f>
      </x:c>
      <x:c r="AH46" s="155"/>
      <x:c r="AI46" s="154"/>
      <x:c r="AJ46" s="154"/>
      <x:c r="AK46" s="156" t="n">
        <x:f>IFERROR(U46*W46,"")</x:f>
        <x:v>0</x:v>
      </x:c>
      <x:c r="AL46" s="156" t="n">
        <x:f>IFERROR(AE46*AI46,"")</x:f>
        <x:v>0</x:v>
      </x:c>
      <x:c r="AM46" s="157" t="str">
        <x:f>IFERROR(AH46/Q46,"")</x:f>
      </x:c>
      <x:c r="AN46" s="156" t="str">
        <x:f>IFERROR(AH46/AG46,"")</x:f>
      </x:c>
      <x:c r="AO46" s="156" t="str">
        <x:f>IFERROR(AL46/AH46,"")</x:f>
      </x:c>
      <x:c r="AP46" s="157" t="str">
        <x:f>IFERROR(AG46/AE46,"")</x:f>
      </x:c>
      <x:c r="AQ46" s="157" t="str">
        <x:f>IFERROR(AN46/(R46/'Configuracion'!$B$13),"")</x:f>
      </x:c>
      <x:c r="AR46" s="156" t="n">
        <x:f>IFERROR(AE46-U46,"")</x:f>
        <x:v>0</x:v>
      </x:c>
      <x:c r="AS46" s="154"/>
      <x:c r="AT46" s="154"/>
      <x:c r="AU46" s="154"/>
      <x:c r="AV46" s="154"/>
      <x:c r="AW46" s="152"/>
      <x:c r="AX46" s="154"/>
      <x:c r="AY46" s="154"/>
      <x:c r="AZ46" s="151"/>
      <x:c r="BA46" s="151"/>
    </x:row>
    <x:row r="47">
      <x:c r="A47" s="151" t="str">
        <x:f>IF(B47="","",TEXT(B47,"yyyymmdd")&amp;"-"&amp;TEXT(COUNTIF($B$5:B47,B47),"000"))</x:f>
      </x:c>
      <x:c r="B47" s="152"/>
      <x:c r="C47" s="153"/>
      <x:c r="D47" s="151" t="str">
        <x:f>IF(B47="","",'Configuracion'!$B$4)</x:f>
      </x:c>
      <x:c r="E47" s="154"/>
      <x:c r="F47" s="154"/>
      <x:c r="G47" s="151" t="str">
        <x:f>IFERROR(VLOOKUP(F47,'Base Sectores'!$A$5:$J$47,2,FALSE),"")</x:f>
      </x:c>
      <x:c r="H47" s="151" t="str">
        <x:f>IFERROR(VLOOKUP(F47,'Base Sectores'!$A$5:$J$47,3,FALSE),"")</x:f>
      </x:c>
      <x:c r="I47" s="151" t="str">
        <x:f>IFERROR(VLOOKUP(F47,'Base Sectores'!$A$5:$J$47,4,FALSE),"")</x:f>
      </x:c>
      <x:c r="J47" s="151" t="str">
        <x:f>IFERROR(VLOOKUP(F47,'Base Sectores'!$A$5:$J$47,5,FALSE),"")</x:f>
      </x:c>
      <x:c r="K47" s="151" t="str">
        <x:f>IFERROR(VLOOKUP(F47,'Base Sectores'!$A$5:$J$47,6,FALSE),"")</x:f>
      </x:c>
      <x:c r="L47" s="151" t="str">
        <x:f>IFERROR(VLOOKUP(F47,'Base Sectores'!$A$5:$J$47,7,FALSE),"")</x:f>
      </x:c>
      <x:c r="M47" s="151" t="str">
        <x:f>IFERROR(VLOOKUP(F47,'Base Sectores'!$A$5:$J$47,9,FALSE),"")</x:f>
      </x:c>
      <x:c r="N47" s="154"/>
      <x:c r="O47" s="151" t="str">
        <x:f>IFERROR(VLOOKUP(N47,'Configuracion'!$D$4:$H$15,2,FALSE),"")</x:f>
      </x:c>
      <x:c r="P47" s="151" t="str">
        <x:f>IFERROR(VLOOKUP(N47,'Configuracion'!$D$4:$H$15,3,FALSE),"")</x:f>
      </x:c>
      <x:c r="Q47" s="155"/>
      <x:c r="R47" s="156" t="str">
        <x:f>IFERROR(VLOOKUP(N47,'Configuracion'!$D$4:$H$15,4,FALSE),"")</x:f>
      </x:c>
      <x:c r="S47" s="153"/>
      <x:c r="T47" s="153"/>
      <x:c r="U47" s="156" t="str">
        <x:f>IF(OR(S47="",T47=""),"",MOD(T47-S47,1)*24)</x:f>
      </x:c>
      <x:c r="V47" s="154"/>
      <x:c r="W47" s="154"/>
      <x:c r="X47" s="151" t="str">
        <x:f>IFERROR(VLOOKUP(N47,'Configuracion'!$D$4:$H$15,5,FALSE),"")</x:f>
      </x:c>
      <x:c r="Y47" s="151" t="str">
        <x:f>IFERROR(VLOOKUP(V47,'Cuadrillas'!$A$5:$J$14,2,FALSE),"")</x:f>
      </x:c>
      <x:c r="Z47" s="154"/>
      <x:c r="AA47" s="154"/>
      <x:c r="AB47" s="154"/>
      <x:c r="AC47" s="153"/>
      <x:c r="AD47" s="153"/>
      <x:c r="AE47" s="156" t="str">
        <x:f>IF(OR(AC47="",AD47=""),"",MOD(AD47-AC47,1)*24)</x:f>
      </x:c>
      <x:c r="AF47" s="154"/>
      <x:c r="AG47" s="156" t="str">
        <x:f>IF(AE47="","",MAX(0,AE47-IF(AF47="",0,AF47/60)))</x:f>
      </x:c>
      <x:c r="AH47" s="155"/>
      <x:c r="AI47" s="154"/>
      <x:c r="AJ47" s="154"/>
      <x:c r="AK47" s="156" t="n">
        <x:f>IFERROR(U47*W47,"")</x:f>
        <x:v>0</x:v>
      </x:c>
      <x:c r="AL47" s="156" t="n">
        <x:f>IFERROR(AE47*AI47,"")</x:f>
        <x:v>0</x:v>
      </x:c>
      <x:c r="AM47" s="157" t="str">
        <x:f>IFERROR(AH47/Q47,"")</x:f>
      </x:c>
      <x:c r="AN47" s="156" t="str">
        <x:f>IFERROR(AH47/AG47,"")</x:f>
      </x:c>
      <x:c r="AO47" s="156" t="str">
        <x:f>IFERROR(AL47/AH47,"")</x:f>
      </x:c>
      <x:c r="AP47" s="157" t="str">
        <x:f>IFERROR(AG47/AE47,"")</x:f>
      </x:c>
      <x:c r="AQ47" s="157" t="str">
        <x:f>IFERROR(AN47/(R47/'Configuracion'!$B$13),"")</x:f>
      </x:c>
      <x:c r="AR47" s="156" t="n">
        <x:f>IFERROR(AE47-U47,"")</x:f>
        <x:v>0</x:v>
      </x:c>
      <x:c r="AS47" s="154"/>
      <x:c r="AT47" s="154"/>
      <x:c r="AU47" s="154"/>
      <x:c r="AV47" s="154"/>
      <x:c r="AW47" s="152"/>
      <x:c r="AX47" s="154"/>
      <x:c r="AY47" s="154"/>
      <x:c r="AZ47" s="151"/>
      <x:c r="BA47" s="151"/>
    </x:row>
    <x:row r="48">
      <x:c r="A48" s="151" t="str">
        <x:f>IF(B48="","",TEXT(B48,"yyyymmdd")&amp;"-"&amp;TEXT(COUNTIF($B$5:B48,B48),"000"))</x:f>
      </x:c>
      <x:c r="B48" s="152"/>
      <x:c r="C48" s="153"/>
      <x:c r="D48" s="151" t="str">
        <x:f>IF(B48="","",'Configuracion'!$B$4)</x:f>
      </x:c>
      <x:c r="E48" s="154"/>
      <x:c r="F48" s="154"/>
      <x:c r="G48" s="151" t="str">
        <x:f>IFERROR(VLOOKUP(F48,'Base Sectores'!$A$5:$J$47,2,FALSE),"")</x:f>
      </x:c>
      <x:c r="H48" s="151" t="str">
        <x:f>IFERROR(VLOOKUP(F48,'Base Sectores'!$A$5:$J$47,3,FALSE),"")</x:f>
      </x:c>
      <x:c r="I48" s="151" t="str">
        <x:f>IFERROR(VLOOKUP(F48,'Base Sectores'!$A$5:$J$47,4,FALSE),"")</x:f>
      </x:c>
      <x:c r="J48" s="151" t="str">
        <x:f>IFERROR(VLOOKUP(F48,'Base Sectores'!$A$5:$J$47,5,FALSE),"")</x:f>
      </x:c>
      <x:c r="K48" s="151" t="str">
        <x:f>IFERROR(VLOOKUP(F48,'Base Sectores'!$A$5:$J$47,6,FALSE),"")</x:f>
      </x:c>
      <x:c r="L48" s="151" t="str">
        <x:f>IFERROR(VLOOKUP(F48,'Base Sectores'!$A$5:$J$47,7,FALSE),"")</x:f>
      </x:c>
      <x:c r="M48" s="151" t="str">
        <x:f>IFERROR(VLOOKUP(F48,'Base Sectores'!$A$5:$J$47,9,FALSE),"")</x:f>
      </x:c>
      <x:c r="N48" s="154"/>
      <x:c r="O48" s="151" t="str">
        <x:f>IFERROR(VLOOKUP(N48,'Configuracion'!$D$4:$H$15,2,FALSE),"")</x:f>
      </x:c>
      <x:c r="P48" s="151" t="str">
        <x:f>IFERROR(VLOOKUP(N48,'Configuracion'!$D$4:$H$15,3,FALSE),"")</x:f>
      </x:c>
      <x:c r="Q48" s="155"/>
      <x:c r="R48" s="156" t="str">
        <x:f>IFERROR(VLOOKUP(N48,'Configuracion'!$D$4:$H$15,4,FALSE),"")</x:f>
      </x:c>
      <x:c r="S48" s="153"/>
      <x:c r="T48" s="153"/>
      <x:c r="U48" s="156" t="str">
        <x:f>IF(OR(S48="",T48=""),"",MOD(T48-S48,1)*24)</x:f>
      </x:c>
      <x:c r="V48" s="154"/>
      <x:c r="W48" s="154"/>
      <x:c r="X48" s="151" t="str">
        <x:f>IFERROR(VLOOKUP(N48,'Configuracion'!$D$4:$H$15,5,FALSE),"")</x:f>
      </x:c>
      <x:c r="Y48" s="151" t="str">
        <x:f>IFERROR(VLOOKUP(V48,'Cuadrillas'!$A$5:$J$14,2,FALSE),"")</x:f>
      </x:c>
      <x:c r="Z48" s="154"/>
      <x:c r="AA48" s="154"/>
      <x:c r="AB48" s="154"/>
      <x:c r="AC48" s="153"/>
      <x:c r="AD48" s="153"/>
      <x:c r="AE48" s="156" t="str">
        <x:f>IF(OR(AC48="",AD48=""),"",MOD(AD48-AC48,1)*24)</x:f>
      </x:c>
      <x:c r="AF48" s="154"/>
      <x:c r="AG48" s="156" t="str">
        <x:f>IF(AE48="","",MAX(0,AE48-IF(AF48="",0,AF48/60)))</x:f>
      </x:c>
      <x:c r="AH48" s="155"/>
      <x:c r="AI48" s="154"/>
      <x:c r="AJ48" s="154"/>
      <x:c r="AK48" s="156" t="n">
        <x:f>IFERROR(U48*W48,"")</x:f>
        <x:v>0</x:v>
      </x:c>
      <x:c r="AL48" s="156" t="n">
        <x:f>IFERROR(AE48*AI48,"")</x:f>
        <x:v>0</x:v>
      </x:c>
      <x:c r="AM48" s="157" t="str">
        <x:f>IFERROR(AH48/Q48,"")</x:f>
      </x:c>
      <x:c r="AN48" s="156" t="str">
        <x:f>IFERROR(AH48/AG48,"")</x:f>
      </x:c>
      <x:c r="AO48" s="156" t="str">
        <x:f>IFERROR(AL48/AH48,"")</x:f>
      </x:c>
      <x:c r="AP48" s="157" t="str">
        <x:f>IFERROR(AG48/AE48,"")</x:f>
      </x:c>
      <x:c r="AQ48" s="157" t="str">
        <x:f>IFERROR(AN48/(R48/'Configuracion'!$B$13),"")</x:f>
      </x:c>
      <x:c r="AR48" s="156" t="n">
        <x:f>IFERROR(AE48-U48,"")</x:f>
        <x:v>0</x:v>
      </x:c>
      <x:c r="AS48" s="154"/>
      <x:c r="AT48" s="154"/>
      <x:c r="AU48" s="154"/>
      <x:c r="AV48" s="154"/>
      <x:c r="AW48" s="152"/>
      <x:c r="AX48" s="154"/>
      <x:c r="AY48" s="154"/>
      <x:c r="AZ48" s="151"/>
      <x:c r="BA48" s="151"/>
    </x:row>
    <x:row r="49">
      <x:c r="A49" s="151" t="str">
        <x:f>IF(B49="","",TEXT(B49,"yyyymmdd")&amp;"-"&amp;TEXT(COUNTIF($B$5:B49,B49),"000"))</x:f>
      </x:c>
      <x:c r="B49" s="152"/>
      <x:c r="C49" s="153"/>
      <x:c r="D49" s="151" t="str">
        <x:f>IF(B49="","",'Configuracion'!$B$4)</x:f>
      </x:c>
      <x:c r="E49" s="154"/>
      <x:c r="F49" s="154"/>
      <x:c r="G49" s="151" t="str">
        <x:f>IFERROR(VLOOKUP(F49,'Base Sectores'!$A$5:$J$47,2,FALSE),"")</x:f>
      </x:c>
      <x:c r="H49" s="151" t="str">
        <x:f>IFERROR(VLOOKUP(F49,'Base Sectores'!$A$5:$J$47,3,FALSE),"")</x:f>
      </x:c>
      <x:c r="I49" s="151" t="str">
        <x:f>IFERROR(VLOOKUP(F49,'Base Sectores'!$A$5:$J$47,4,FALSE),"")</x:f>
      </x:c>
      <x:c r="J49" s="151" t="str">
        <x:f>IFERROR(VLOOKUP(F49,'Base Sectores'!$A$5:$J$47,5,FALSE),"")</x:f>
      </x:c>
      <x:c r="K49" s="151" t="str">
        <x:f>IFERROR(VLOOKUP(F49,'Base Sectores'!$A$5:$J$47,6,FALSE),"")</x:f>
      </x:c>
      <x:c r="L49" s="151" t="str">
        <x:f>IFERROR(VLOOKUP(F49,'Base Sectores'!$A$5:$J$47,7,FALSE),"")</x:f>
      </x:c>
      <x:c r="M49" s="151" t="str">
        <x:f>IFERROR(VLOOKUP(F49,'Base Sectores'!$A$5:$J$47,9,FALSE),"")</x:f>
      </x:c>
      <x:c r="N49" s="154"/>
      <x:c r="O49" s="151" t="str">
        <x:f>IFERROR(VLOOKUP(N49,'Configuracion'!$D$4:$H$15,2,FALSE),"")</x:f>
      </x:c>
      <x:c r="P49" s="151" t="str">
        <x:f>IFERROR(VLOOKUP(N49,'Configuracion'!$D$4:$H$15,3,FALSE),"")</x:f>
      </x:c>
      <x:c r="Q49" s="155"/>
      <x:c r="R49" s="156" t="str">
        <x:f>IFERROR(VLOOKUP(N49,'Configuracion'!$D$4:$H$15,4,FALSE),"")</x:f>
      </x:c>
      <x:c r="S49" s="153"/>
      <x:c r="T49" s="153"/>
      <x:c r="U49" s="156" t="str">
        <x:f>IF(OR(S49="",T49=""),"",MOD(T49-S49,1)*24)</x:f>
      </x:c>
      <x:c r="V49" s="154"/>
      <x:c r="W49" s="154"/>
      <x:c r="X49" s="151" t="str">
        <x:f>IFERROR(VLOOKUP(N49,'Configuracion'!$D$4:$H$15,5,FALSE),"")</x:f>
      </x:c>
      <x:c r="Y49" s="151" t="str">
        <x:f>IFERROR(VLOOKUP(V49,'Cuadrillas'!$A$5:$J$14,2,FALSE),"")</x:f>
      </x:c>
      <x:c r="Z49" s="154"/>
      <x:c r="AA49" s="154"/>
      <x:c r="AB49" s="154"/>
      <x:c r="AC49" s="153"/>
      <x:c r="AD49" s="153"/>
      <x:c r="AE49" s="156" t="str">
        <x:f>IF(OR(AC49="",AD49=""),"",MOD(AD49-AC49,1)*24)</x:f>
      </x:c>
      <x:c r="AF49" s="154"/>
      <x:c r="AG49" s="156" t="str">
        <x:f>IF(AE49="","",MAX(0,AE49-IF(AF49="",0,AF49/60)))</x:f>
      </x:c>
      <x:c r="AH49" s="155"/>
      <x:c r="AI49" s="154"/>
      <x:c r="AJ49" s="154"/>
      <x:c r="AK49" s="156" t="n">
        <x:f>IFERROR(U49*W49,"")</x:f>
        <x:v>0</x:v>
      </x:c>
      <x:c r="AL49" s="156" t="n">
        <x:f>IFERROR(AE49*AI49,"")</x:f>
        <x:v>0</x:v>
      </x:c>
      <x:c r="AM49" s="157" t="str">
        <x:f>IFERROR(AH49/Q49,"")</x:f>
      </x:c>
      <x:c r="AN49" s="156" t="str">
        <x:f>IFERROR(AH49/AG49,"")</x:f>
      </x:c>
      <x:c r="AO49" s="156" t="str">
        <x:f>IFERROR(AL49/AH49,"")</x:f>
      </x:c>
      <x:c r="AP49" s="157" t="str">
        <x:f>IFERROR(AG49/AE49,"")</x:f>
      </x:c>
      <x:c r="AQ49" s="157" t="str">
        <x:f>IFERROR(AN49/(R49/'Configuracion'!$B$13),"")</x:f>
      </x:c>
      <x:c r="AR49" s="156" t="n">
        <x:f>IFERROR(AE49-U49,"")</x:f>
        <x:v>0</x:v>
      </x:c>
      <x:c r="AS49" s="154"/>
      <x:c r="AT49" s="154"/>
      <x:c r="AU49" s="154"/>
      <x:c r="AV49" s="154"/>
      <x:c r="AW49" s="152"/>
      <x:c r="AX49" s="154"/>
      <x:c r="AY49" s="154"/>
      <x:c r="AZ49" s="151"/>
      <x:c r="BA49" s="151"/>
    </x:row>
    <x:row r="50">
      <x:c r="A50" s="151" t="str">
        <x:f>IF(B50="","",TEXT(B50,"yyyymmdd")&amp;"-"&amp;TEXT(COUNTIF($B$5:B50,B50),"000"))</x:f>
      </x:c>
      <x:c r="B50" s="152"/>
      <x:c r="C50" s="153"/>
      <x:c r="D50" s="151" t="str">
        <x:f>IF(B50="","",'Configuracion'!$B$4)</x:f>
      </x:c>
      <x:c r="E50" s="154"/>
      <x:c r="F50" s="154"/>
      <x:c r="G50" s="151" t="str">
        <x:f>IFERROR(VLOOKUP(F50,'Base Sectores'!$A$5:$J$47,2,FALSE),"")</x:f>
      </x:c>
      <x:c r="H50" s="151" t="str">
        <x:f>IFERROR(VLOOKUP(F50,'Base Sectores'!$A$5:$J$47,3,FALSE),"")</x:f>
      </x:c>
      <x:c r="I50" s="151" t="str">
        <x:f>IFERROR(VLOOKUP(F50,'Base Sectores'!$A$5:$J$47,4,FALSE),"")</x:f>
      </x:c>
      <x:c r="J50" s="151" t="str">
        <x:f>IFERROR(VLOOKUP(F50,'Base Sectores'!$A$5:$J$47,5,FALSE),"")</x:f>
      </x:c>
      <x:c r="K50" s="151" t="str">
        <x:f>IFERROR(VLOOKUP(F50,'Base Sectores'!$A$5:$J$47,6,FALSE),"")</x:f>
      </x:c>
      <x:c r="L50" s="151" t="str">
        <x:f>IFERROR(VLOOKUP(F50,'Base Sectores'!$A$5:$J$47,7,FALSE),"")</x:f>
      </x:c>
      <x:c r="M50" s="151" t="str">
        <x:f>IFERROR(VLOOKUP(F50,'Base Sectores'!$A$5:$J$47,9,FALSE),"")</x:f>
      </x:c>
      <x:c r="N50" s="154"/>
      <x:c r="O50" s="151" t="str">
        <x:f>IFERROR(VLOOKUP(N50,'Configuracion'!$D$4:$H$15,2,FALSE),"")</x:f>
      </x:c>
      <x:c r="P50" s="151" t="str">
        <x:f>IFERROR(VLOOKUP(N50,'Configuracion'!$D$4:$H$15,3,FALSE),"")</x:f>
      </x:c>
      <x:c r="Q50" s="155"/>
      <x:c r="R50" s="156" t="str">
        <x:f>IFERROR(VLOOKUP(N50,'Configuracion'!$D$4:$H$15,4,FALSE),"")</x:f>
      </x:c>
      <x:c r="S50" s="153"/>
      <x:c r="T50" s="153"/>
      <x:c r="U50" s="156" t="str">
        <x:f>IF(OR(S50="",T50=""),"",MOD(T50-S50,1)*24)</x:f>
      </x:c>
      <x:c r="V50" s="154"/>
      <x:c r="W50" s="154"/>
      <x:c r="X50" s="151" t="str">
        <x:f>IFERROR(VLOOKUP(N50,'Configuracion'!$D$4:$H$15,5,FALSE),"")</x:f>
      </x:c>
      <x:c r="Y50" s="151" t="str">
        <x:f>IFERROR(VLOOKUP(V50,'Cuadrillas'!$A$5:$J$14,2,FALSE),"")</x:f>
      </x:c>
      <x:c r="Z50" s="154"/>
      <x:c r="AA50" s="154"/>
      <x:c r="AB50" s="154"/>
      <x:c r="AC50" s="153"/>
      <x:c r="AD50" s="153"/>
      <x:c r="AE50" s="156" t="str">
        <x:f>IF(OR(AC50="",AD50=""),"",MOD(AD50-AC50,1)*24)</x:f>
      </x:c>
      <x:c r="AF50" s="154"/>
      <x:c r="AG50" s="156" t="str">
        <x:f>IF(AE50="","",MAX(0,AE50-IF(AF50="",0,AF50/60)))</x:f>
      </x:c>
      <x:c r="AH50" s="155"/>
      <x:c r="AI50" s="154"/>
      <x:c r="AJ50" s="154"/>
      <x:c r="AK50" s="156" t="n">
        <x:f>IFERROR(U50*W50,"")</x:f>
        <x:v>0</x:v>
      </x:c>
      <x:c r="AL50" s="156" t="n">
        <x:f>IFERROR(AE50*AI50,"")</x:f>
        <x:v>0</x:v>
      </x:c>
      <x:c r="AM50" s="157" t="str">
        <x:f>IFERROR(AH50/Q50,"")</x:f>
      </x:c>
      <x:c r="AN50" s="156" t="str">
        <x:f>IFERROR(AH50/AG50,"")</x:f>
      </x:c>
      <x:c r="AO50" s="156" t="str">
        <x:f>IFERROR(AL50/AH50,"")</x:f>
      </x:c>
      <x:c r="AP50" s="157" t="str">
        <x:f>IFERROR(AG50/AE50,"")</x:f>
      </x:c>
      <x:c r="AQ50" s="157" t="str">
        <x:f>IFERROR(AN50/(R50/'Configuracion'!$B$13),"")</x:f>
      </x:c>
      <x:c r="AR50" s="156" t="n">
        <x:f>IFERROR(AE50-U50,"")</x:f>
        <x:v>0</x:v>
      </x:c>
      <x:c r="AS50" s="154"/>
      <x:c r="AT50" s="154"/>
      <x:c r="AU50" s="154"/>
      <x:c r="AV50" s="154"/>
      <x:c r="AW50" s="152"/>
      <x:c r="AX50" s="154"/>
      <x:c r="AY50" s="154"/>
      <x:c r="AZ50" s="151"/>
      <x:c r="BA50" s="151"/>
    </x:row>
    <x:row r="51">
      <x:c r="A51" s="151" t="str">
        <x:f>IF(B51="","",TEXT(B51,"yyyymmdd")&amp;"-"&amp;TEXT(COUNTIF($B$5:B51,B51),"000"))</x:f>
      </x:c>
      <x:c r="B51" s="152"/>
      <x:c r="C51" s="153"/>
      <x:c r="D51" s="151" t="str">
        <x:f>IF(B51="","",'Configuracion'!$B$4)</x:f>
      </x:c>
      <x:c r="E51" s="154"/>
      <x:c r="F51" s="154"/>
      <x:c r="G51" s="151" t="str">
        <x:f>IFERROR(VLOOKUP(F51,'Base Sectores'!$A$5:$J$47,2,FALSE),"")</x:f>
      </x:c>
      <x:c r="H51" s="151" t="str">
        <x:f>IFERROR(VLOOKUP(F51,'Base Sectores'!$A$5:$J$47,3,FALSE),"")</x:f>
      </x:c>
      <x:c r="I51" s="151" t="str">
        <x:f>IFERROR(VLOOKUP(F51,'Base Sectores'!$A$5:$J$47,4,FALSE),"")</x:f>
      </x:c>
      <x:c r="J51" s="151" t="str">
        <x:f>IFERROR(VLOOKUP(F51,'Base Sectores'!$A$5:$J$47,5,FALSE),"")</x:f>
      </x:c>
      <x:c r="K51" s="151" t="str">
        <x:f>IFERROR(VLOOKUP(F51,'Base Sectores'!$A$5:$J$47,6,FALSE),"")</x:f>
      </x:c>
      <x:c r="L51" s="151" t="str">
        <x:f>IFERROR(VLOOKUP(F51,'Base Sectores'!$A$5:$J$47,7,FALSE),"")</x:f>
      </x:c>
      <x:c r="M51" s="151" t="str">
        <x:f>IFERROR(VLOOKUP(F51,'Base Sectores'!$A$5:$J$47,9,FALSE),"")</x:f>
      </x:c>
      <x:c r="N51" s="154"/>
      <x:c r="O51" s="151" t="str">
        <x:f>IFERROR(VLOOKUP(N51,'Configuracion'!$D$4:$H$15,2,FALSE),"")</x:f>
      </x:c>
      <x:c r="P51" s="151" t="str">
        <x:f>IFERROR(VLOOKUP(N51,'Configuracion'!$D$4:$H$15,3,FALSE),"")</x:f>
      </x:c>
      <x:c r="Q51" s="155"/>
      <x:c r="R51" s="156" t="str">
        <x:f>IFERROR(VLOOKUP(N51,'Configuracion'!$D$4:$H$15,4,FALSE),"")</x:f>
      </x:c>
      <x:c r="S51" s="153"/>
      <x:c r="T51" s="153"/>
      <x:c r="U51" s="156" t="str">
        <x:f>IF(OR(S51="",T51=""),"",MOD(T51-S51,1)*24)</x:f>
      </x:c>
      <x:c r="V51" s="154"/>
      <x:c r="W51" s="154"/>
      <x:c r="X51" s="151" t="str">
        <x:f>IFERROR(VLOOKUP(N51,'Configuracion'!$D$4:$H$15,5,FALSE),"")</x:f>
      </x:c>
      <x:c r="Y51" s="151" t="str">
        <x:f>IFERROR(VLOOKUP(V51,'Cuadrillas'!$A$5:$J$14,2,FALSE),"")</x:f>
      </x:c>
      <x:c r="Z51" s="154"/>
      <x:c r="AA51" s="154"/>
      <x:c r="AB51" s="154"/>
      <x:c r="AC51" s="153"/>
      <x:c r="AD51" s="153"/>
      <x:c r="AE51" s="156" t="str">
        <x:f>IF(OR(AC51="",AD51=""),"",MOD(AD51-AC51,1)*24)</x:f>
      </x:c>
      <x:c r="AF51" s="154"/>
      <x:c r="AG51" s="156" t="str">
        <x:f>IF(AE51="","",MAX(0,AE51-IF(AF51="",0,AF51/60)))</x:f>
      </x:c>
      <x:c r="AH51" s="155"/>
      <x:c r="AI51" s="154"/>
      <x:c r="AJ51" s="154"/>
      <x:c r="AK51" s="156" t="n">
        <x:f>IFERROR(U51*W51,"")</x:f>
        <x:v>0</x:v>
      </x:c>
      <x:c r="AL51" s="156" t="n">
        <x:f>IFERROR(AE51*AI51,"")</x:f>
        <x:v>0</x:v>
      </x:c>
      <x:c r="AM51" s="157" t="str">
        <x:f>IFERROR(AH51/Q51,"")</x:f>
      </x:c>
      <x:c r="AN51" s="156" t="str">
        <x:f>IFERROR(AH51/AG51,"")</x:f>
      </x:c>
      <x:c r="AO51" s="156" t="str">
        <x:f>IFERROR(AL51/AH51,"")</x:f>
      </x:c>
      <x:c r="AP51" s="157" t="str">
        <x:f>IFERROR(AG51/AE51,"")</x:f>
      </x:c>
      <x:c r="AQ51" s="157" t="str">
        <x:f>IFERROR(AN51/(R51/'Configuracion'!$B$13),"")</x:f>
      </x:c>
      <x:c r="AR51" s="156" t="n">
        <x:f>IFERROR(AE51-U51,"")</x:f>
        <x:v>0</x:v>
      </x:c>
      <x:c r="AS51" s="154"/>
      <x:c r="AT51" s="154"/>
      <x:c r="AU51" s="154"/>
      <x:c r="AV51" s="154"/>
      <x:c r="AW51" s="152"/>
      <x:c r="AX51" s="154"/>
      <x:c r="AY51" s="154"/>
      <x:c r="AZ51" s="151"/>
      <x:c r="BA51" s="151"/>
    </x:row>
    <x:row r="52">
      <x:c r="A52" s="151" t="str">
        <x:f>IF(B52="","",TEXT(B52,"yyyymmdd")&amp;"-"&amp;TEXT(COUNTIF($B$5:B52,B52),"000"))</x:f>
      </x:c>
      <x:c r="B52" s="152"/>
      <x:c r="C52" s="153"/>
      <x:c r="D52" s="151" t="str">
        <x:f>IF(B52="","",'Configuracion'!$B$4)</x:f>
      </x:c>
      <x:c r="E52" s="154"/>
      <x:c r="F52" s="154"/>
      <x:c r="G52" s="151" t="str">
        <x:f>IFERROR(VLOOKUP(F52,'Base Sectores'!$A$5:$J$47,2,FALSE),"")</x:f>
      </x:c>
      <x:c r="H52" s="151" t="str">
        <x:f>IFERROR(VLOOKUP(F52,'Base Sectores'!$A$5:$J$47,3,FALSE),"")</x:f>
      </x:c>
      <x:c r="I52" s="151" t="str">
        <x:f>IFERROR(VLOOKUP(F52,'Base Sectores'!$A$5:$J$47,4,FALSE),"")</x:f>
      </x:c>
      <x:c r="J52" s="151" t="str">
        <x:f>IFERROR(VLOOKUP(F52,'Base Sectores'!$A$5:$J$47,5,FALSE),"")</x:f>
      </x:c>
      <x:c r="K52" s="151" t="str">
        <x:f>IFERROR(VLOOKUP(F52,'Base Sectores'!$A$5:$J$47,6,FALSE),"")</x:f>
      </x:c>
      <x:c r="L52" s="151" t="str">
        <x:f>IFERROR(VLOOKUP(F52,'Base Sectores'!$A$5:$J$47,7,FALSE),"")</x:f>
      </x:c>
      <x:c r="M52" s="151" t="str">
        <x:f>IFERROR(VLOOKUP(F52,'Base Sectores'!$A$5:$J$47,9,FALSE),"")</x:f>
      </x:c>
      <x:c r="N52" s="154"/>
      <x:c r="O52" s="151" t="str">
        <x:f>IFERROR(VLOOKUP(N52,'Configuracion'!$D$4:$H$15,2,FALSE),"")</x:f>
      </x:c>
      <x:c r="P52" s="151" t="str">
        <x:f>IFERROR(VLOOKUP(N52,'Configuracion'!$D$4:$H$15,3,FALSE),"")</x:f>
      </x:c>
      <x:c r="Q52" s="155"/>
      <x:c r="R52" s="156" t="str">
        <x:f>IFERROR(VLOOKUP(N52,'Configuracion'!$D$4:$H$15,4,FALSE),"")</x:f>
      </x:c>
      <x:c r="S52" s="153"/>
      <x:c r="T52" s="153"/>
      <x:c r="U52" s="156" t="str">
        <x:f>IF(OR(S52="",T52=""),"",MOD(T52-S52,1)*24)</x:f>
      </x:c>
      <x:c r="V52" s="154"/>
      <x:c r="W52" s="154"/>
      <x:c r="X52" s="151" t="str">
        <x:f>IFERROR(VLOOKUP(N52,'Configuracion'!$D$4:$H$15,5,FALSE),"")</x:f>
      </x:c>
      <x:c r="Y52" s="151" t="str">
        <x:f>IFERROR(VLOOKUP(V52,'Cuadrillas'!$A$5:$J$14,2,FALSE),"")</x:f>
      </x:c>
      <x:c r="Z52" s="154"/>
      <x:c r="AA52" s="154"/>
      <x:c r="AB52" s="154"/>
      <x:c r="AC52" s="153"/>
      <x:c r="AD52" s="153"/>
      <x:c r="AE52" s="156" t="str">
        <x:f>IF(OR(AC52="",AD52=""),"",MOD(AD52-AC52,1)*24)</x:f>
      </x:c>
      <x:c r="AF52" s="154"/>
      <x:c r="AG52" s="156" t="str">
        <x:f>IF(AE52="","",MAX(0,AE52-IF(AF52="",0,AF52/60)))</x:f>
      </x:c>
      <x:c r="AH52" s="155"/>
      <x:c r="AI52" s="154"/>
      <x:c r="AJ52" s="154"/>
      <x:c r="AK52" s="156" t="n">
        <x:f>IFERROR(U52*W52,"")</x:f>
        <x:v>0</x:v>
      </x:c>
      <x:c r="AL52" s="156" t="n">
        <x:f>IFERROR(AE52*AI52,"")</x:f>
        <x:v>0</x:v>
      </x:c>
      <x:c r="AM52" s="157" t="str">
        <x:f>IFERROR(AH52/Q52,"")</x:f>
      </x:c>
      <x:c r="AN52" s="156" t="str">
        <x:f>IFERROR(AH52/AG52,"")</x:f>
      </x:c>
      <x:c r="AO52" s="156" t="str">
        <x:f>IFERROR(AL52/AH52,"")</x:f>
      </x:c>
      <x:c r="AP52" s="157" t="str">
        <x:f>IFERROR(AG52/AE52,"")</x:f>
      </x:c>
      <x:c r="AQ52" s="157" t="str">
        <x:f>IFERROR(AN52/(R52/'Configuracion'!$B$13),"")</x:f>
      </x:c>
      <x:c r="AR52" s="156" t="n">
        <x:f>IFERROR(AE52-U52,"")</x:f>
        <x:v>0</x:v>
      </x:c>
      <x:c r="AS52" s="154"/>
      <x:c r="AT52" s="154"/>
      <x:c r="AU52" s="154"/>
      <x:c r="AV52" s="154"/>
      <x:c r="AW52" s="152"/>
      <x:c r="AX52" s="154"/>
      <x:c r="AY52" s="154"/>
      <x:c r="AZ52" s="151"/>
      <x:c r="BA52" s="151"/>
    </x:row>
    <x:row r="53">
      <x:c r="A53" s="151" t="str">
        <x:f>IF(B53="","",TEXT(B53,"yyyymmdd")&amp;"-"&amp;TEXT(COUNTIF($B$5:B53,B53),"000"))</x:f>
      </x:c>
      <x:c r="B53" s="152"/>
      <x:c r="C53" s="153"/>
      <x:c r="D53" s="151" t="str">
        <x:f>IF(B53="","",'Configuracion'!$B$4)</x:f>
      </x:c>
      <x:c r="E53" s="154"/>
      <x:c r="F53" s="154"/>
      <x:c r="G53" s="151" t="str">
        <x:f>IFERROR(VLOOKUP(F53,'Base Sectores'!$A$5:$J$47,2,FALSE),"")</x:f>
      </x:c>
      <x:c r="H53" s="151" t="str">
        <x:f>IFERROR(VLOOKUP(F53,'Base Sectores'!$A$5:$J$47,3,FALSE),"")</x:f>
      </x:c>
      <x:c r="I53" s="151" t="str">
        <x:f>IFERROR(VLOOKUP(F53,'Base Sectores'!$A$5:$J$47,4,FALSE),"")</x:f>
      </x:c>
      <x:c r="J53" s="151" t="str">
        <x:f>IFERROR(VLOOKUP(F53,'Base Sectores'!$A$5:$J$47,5,FALSE),"")</x:f>
      </x:c>
      <x:c r="K53" s="151" t="str">
        <x:f>IFERROR(VLOOKUP(F53,'Base Sectores'!$A$5:$J$47,6,FALSE),"")</x:f>
      </x:c>
      <x:c r="L53" s="151" t="str">
        <x:f>IFERROR(VLOOKUP(F53,'Base Sectores'!$A$5:$J$47,7,FALSE),"")</x:f>
      </x:c>
      <x:c r="M53" s="151" t="str">
        <x:f>IFERROR(VLOOKUP(F53,'Base Sectores'!$A$5:$J$47,9,FALSE),"")</x:f>
      </x:c>
      <x:c r="N53" s="154"/>
      <x:c r="O53" s="151" t="str">
        <x:f>IFERROR(VLOOKUP(N53,'Configuracion'!$D$4:$H$15,2,FALSE),"")</x:f>
      </x:c>
      <x:c r="P53" s="151" t="str">
        <x:f>IFERROR(VLOOKUP(N53,'Configuracion'!$D$4:$H$15,3,FALSE),"")</x:f>
      </x:c>
      <x:c r="Q53" s="155"/>
      <x:c r="R53" s="156" t="str">
        <x:f>IFERROR(VLOOKUP(N53,'Configuracion'!$D$4:$H$15,4,FALSE),"")</x:f>
      </x:c>
      <x:c r="S53" s="153"/>
      <x:c r="T53" s="153"/>
      <x:c r="U53" s="156" t="str">
        <x:f>IF(OR(S53="",T53=""),"",MOD(T53-S53,1)*24)</x:f>
      </x:c>
      <x:c r="V53" s="154"/>
      <x:c r="W53" s="154"/>
      <x:c r="X53" s="151" t="str">
        <x:f>IFERROR(VLOOKUP(N53,'Configuracion'!$D$4:$H$15,5,FALSE),"")</x:f>
      </x:c>
      <x:c r="Y53" s="151" t="str">
        <x:f>IFERROR(VLOOKUP(V53,'Cuadrillas'!$A$5:$J$14,2,FALSE),"")</x:f>
      </x:c>
      <x:c r="Z53" s="154"/>
      <x:c r="AA53" s="154"/>
      <x:c r="AB53" s="154"/>
      <x:c r="AC53" s="153"/>
      <x:c r="AD53" s="153"/>
      <x:c r="AE53" s="156" t="str">
        <x:f>IF(OR(AC53="",AD53=""),"",MOD(AD53-AC53,1)*24)</x:f>
      </x:c>
      <x:c r="AF53" s="154"/>
      <x:c r="AG53" s="156" t="str">
        <x:f>IF(AE53="","",MAX(0,AE53-IF(AF53="",0,AF53/60)))</x:f>
      </x:c>
      <x:c r="AH53" s="155"/>
      <x:c r="AI53" s="154"/>
      <x:c r="AJ53" s="154"/>
      <x:c r="AK53" s="156" t="n">
        <x:f>IFERROR(U53*W53,"")</x:f>
        <x:v>0</x:v>
      </x:c>
      <x:c r="AL53" s="156" t="n">
        <x:f>IFERROR(AE53*AI53,"")</x:f>
        <x:v>0</x:v>
      </x:c>
      <x:c r="AM53" s="157" t="str">
        <x:f>IFERROR(AH53/Q53,"")</x:f>
      </x:c>
      <x:c r="AN53" s="156" t="str">
        <x:f>IFERROR(AH53/AG53,"")</x:f>
      </x:c>
      <x:c r="AO53" s="156" t="str">
        <x:f>IFERROR(AL53/AH53,"")</x:f>
      </x:c>
      <x:c r="AP53" s="157" t="str">
        <x:f>IFERROR(AG53/AE53,"")</x:f>
      </x:c>
      <x:c r="AQ53" s="157" t="str">
        <x:f>IFERROR(AN53/(R53/'Configuracion'!$B$13),"")</x:f>
      </x:c>
      <x:c r="AR53" s="156" t="n">
        <x:f>IFERROR(AE53-U53,"")</x:f>
        <x:v>0</x:v>
      </x:c>
      <x:c r="AS53" s="154"/>
      <x:c r="AT53" s="154"/>
      <x:c r="AU53" s="154"/>
      <x:c r="AV53" s="154"/>
      <x:c r="AW53" s="152"/>
      <x:c r="AX53" s="154"/>
      <x:c r="AY53" s="154"/>
      <x:c r="AZ53" s="151"/>
      <x:c r="BA53" s="151"/>
    </x:row>
    <x:row r="54">
      <x:c r="A54" s="151" t="str">
        <x:f>IF(B54="","",TEXT(B54,"yyyymmdd")&amp;"-"&amp;TEXT(COUNTIF($B$5:B54,B54),"000"))</x:f>
      </x:c>
      <x:c r="B54" s="152"/>
      <x:c r="C54" s="153"/>
      <x:c r="D54" s="151" t="str">
        <x:f>IF(B54="","",'Configuracion'!$B$4)</x:f>
      </x:c>
      <x:c r="E54" s="154"/>
      <x:c r="F54" s="154"/>
      <x:c r="G54" s="151" t="str">
        <x:f>IFERROR(VLOOKUP(F54,'Base Sectores'!$A$5:$J$47,2,FALSE),"")</x:f>
      </x:c>
      <x:c r="H54" s="151" t="str">
        <x:f>IFERROR(VLOOKUP(F54,'Base Sectores'!$A$5:$J$47,3,FALSE),"")</x:f>
      </x:c>
      <x:c r="I54" s="151" t="str">
        <x:f>IFERROR(VLOOKUP(F54,'Base Sectores'!$A$5:$J$47,4,FALSE),"")</x:f>
      </x:c>
      <x:c r="J54" s="151" t="str">
        <x:f>IFERROR(VLOOKUP(F54,'Base Sectores'!$A$5:$J$47,5,FALSE),"")</x:f>
      </x:c>
      <x:c r="K54" s="151" t="str">
        <x:f>IFERROR(VLOOKUP(F54,'Base Sectores'!$A$5:$J$47,6,FALSE),"")</x:f>
      </x:c>
      <x:c r="L54" s="151" t="str">
        <x:f>IFERROR(VLOOKUP(F54,'Base Sectores'!$A$5:$J$47,7,FALSE),"")</x:f>
      </x:c>
      <x:c r="M54" s="151" t="str">
        <x:f>IFERROR(VLOOKUP(F54,'Base Sectores'!$A$5:$J$47,9,FALSE),"")</x:f>
      </x:c>
      <x:c r="N54" s="154"/>
      <x:c r="O54" s="151" t="str">
        <x:f>IFERROR(VLOOKUP(N54,'Configuracion'!$D$4:$H$15,2,FALSE),"")</x:f>
      </x:c>
      <x:c r="P54" s="151" t="str">
        <x:f>IFERROR(VLOOKUP(N54,'Configuracion'!$D$4:$H$15,3,FALSE),"")</x:f>
      </x:c>
      <x:c r="Q54" s="155"/>
      <x:c r="R54" s="156" t="str">
        <x:f>IFERROR(VLOOKUP(N54,'Configuracion'!$D$4:$H$15,4,FALSE),"")</x:f>
      </x:c>
      <x:c r="S54" s="153"/>
      <x:c r="T54" s="153"/>
      <x:c r="U54" s="156" t="str">
        <x:f>IF(OR(S54="",T54=""),"",MOD(T54-S54,1)*24)</x:f>
      </x:c>
      <x:c r="V54" s="154"/>
      <x:c r="W54" s="154"/>
      <x:c r="X54" s="151" t="str">
        <x:f>IFERROR(VLOOKUP(N54,'Configuracion'!$D$4:$H$15,5,FALSE),"")</x:f>
      </x:c>
      <x:c r="Y54" s="151" t="str">
        <x:f>IFERROR(VLOOKUP(V54,'Cuadrillas'!$A$5:$J$14,2,FALSE),"")</x:f>
      </x:c>
      <x:c r="Z54" s="154"/>
      <x:c r="AA54" s="154"/>
      <x:c r="AB54" s="154"/>
      <x:c r="AC54" s="153"/>
      <x:c r="AD54" s="153"/>
      <x:c r="AE54" s="156" t="str">
        <x:f>IF(OR(AC54="",AD54=""),"",MOD(AD54-AC54,1)*24)</x:f>
      </x:c>
      <x:c r="AF54" s="154"/>
      <x:c r="AG54" s="156" t="str">
        <x:f>IF(AE54="","",MAX(0,AE54-IF(AF54="",0,AF54/60)))</x:f>
      </x:c>
      <x:c r="AH54" s="155"/>
      <x:c r="AI54" s="154"/>
      <x:c r="AJ54" s="154"/>
      <x:c r="AK54" s="156" t="n">
        <x:f>IFERROR(U54*W54,"")</x:f>
        <x:v>0</x:v>
      </x:c>
      <x:c r="AL54" s="156" t="n">
        <x:f>IFERROR(AE54*AI54,"")</x:f>
        <x:v>0</x:v>
      </x:c>
      <x:c r="AM54" s="157" t="str">
        <x:f>IFERROR(AH54/Q54,"")</x:f>
      </x:c>
      <x:c r="AN54" s="156" t="str">
        <x:f>IFERROR(AH54/AG54,"")</x:f>
      </x:c>
      <x:c r="AO54" s="156" t="str">
        <x:f>IFERROR(AL54/AH54,"")</x:f>
      </x:c>
      <x:c r="AP54" s="157" t="str">
        <x:f>IFERROR(AG54/AE54,"")</x:f>
      </x:c>
      <x:c r="AQ54" s="157" t="str">
        <x:f>IFERROR(AN54/(R54/'Configuracion'!$B$13),"")</x:f>
      </x:c>
      <x:c r="AR54" s="156" t="n">
        <x:f>IFERROR(AE54-U54,"")</x:f>
        <x:v>0</x:v>
      </x:c>
      <x:c r="AS54" s="154"/>
      <x:c r="AT54" s="154"/>
      <x:c r="AU54" s="154"/>
      <x:c r="AV54" s="154"/>
      <x:c r="AW54" s="152"/>
      <x:c r="AX54" s="154"/>
      <x:c r="AY54" s="154"/>
      <x:c r="AZ54" s="151"/>
      <x:c r="BA54" s="151"/>
    </x:row>
    <x:row r="55">
      <x:c r="A55" s="151" t="str">
        <x:f>IF(B55="","",TEXT(B55,"yyyymmdd")&amp;"-"&amp;TEXT(COUNTIF($B$5:B55,B55),"000"))</x:f>
      </x:c>
      <x:c r="B55" s="152"/>
      <x:c r="C55" s="153"/>
      <x:c r="D55" s="151" t="str">
        <x:f>IF(B55="","",'Configuracion'!$B$4)</x:f>
      </x:c>
      <x:c r="E55" s="154"/>
      <x:c r="F55" s="154"/>
      <x:c r="G55" s="151" t="str">
        <x:f>IFERROR(VLOOKUP(F55,'Base Sectores'!$A$5:$J$47,2,FALSE),"")</x:f>
      </x:c>
      <x:c r="H55" s="151" t="str">
        <x:f>IFERROR(VLOOKUP(F55,'Base Sectores'!$A$5:$J$47,3,FALSE),"")</x:f>
      </x:c>
      <x:c r="I55" s="151" t="str">
        <x:f>IFERROR(VLOOKUP(F55,'Base Sectores'!$A$5:$J$47,4,FALSE),"")</x:f>
      </x:c>
      <x:c r="J55" s="151" t="str">
        <x:f>IFERROR(VLOOKUP(F55,'Base Sectores'!$A$5:$J$47,5,FALSE),"")</x:f>
      </x:c>
      <x:c r="K55" s="151" t="str">
        <x:f>IFERROR(VLOOKUP(F55,'Base Sectores'!$A$5:$J$47,6,FALSE),"")</x:f>
      </x:c>
      <x:c r="L55" s="151" t="str">
        <x:f>IFERROR(VLOOKUP(F55,'Base Sectores'!$A$5:$J$47,7,FALSE),"")</x:f>
      </x:c>
      <x:c r="M55" s="151" t="str">
        <x:f>IFERROR(VLOOKUP(F55,'Base Sectores'!$A$5:$J$47,9,FALSE),"")</x:f>
      </x:c>
      <x:c r="N55" s="154"/>
      <x:c r="O55" s="151" t="str">
        <x:f>IFERROR(VLOOKUP(N55,'Configuracion'!$D$4:$H$15,2,FALSE),"")</x:f>
      </x:c>
      <x:c r="P55" s="151" t="str">
        <x:f>IFERROR(VLOOKUP(N55,'Configuracion'!$D$4:$H$15,3,FALSE),"")</x:f>
      </x:c>
      <x:c r="Q55" s="155"/>
      <x:c r="R55" s="156" t="str">
        <x:f>IFERROR(VLOOKUP(N55,'Configuracion'!$D$4:$H$15,4,FALSE),"")</x:f>
      </x:c>
      <x:c r="S55" s="153"/>
      <x:c r="T55" s="153"/>
      <x:c r="U55" s="156" t="str">
        <x:f>IF(OR(S55="",T55=""),"",MOD(T55-S55,1)*24)</x:f>
      </x:c>
      <x:c r="V55" s="154"/>
      <x:c r="W55" s="154"/>
      <x:c r="X55" s="151" t="str">
        <x:f>IFERROR(VLOOKUP(N55,'Configuracion'!$D$4:$H$15,5,FALSE),"")</x:f>
      </x:c>
      <x:c r="Y55" s="151" t="str">
        <x:f>IFERROR(VLOOKUP(V55,'Cuadrillas'!$A$5:$J$14,2,FALSE),"")</x:f>
      </x:c>
      <x:c r="Z55" s="154"/>
      <x:c r="AA55" s="154"/>
      <x:c r="AB55" s="154"/>
      <x:c r="AC55" s="153"/>
      <x:c r="AD55" s="153"/>
      <x:c r="AE55" s="156" t="str">
        <x:f>IF(OR(AC55="",AD55=""),"",MOD(AD55-AC55,1)*24)</x:f>
      </x:c>
      <x:c r="AF55" s="154"/>
      <x:c r="AG55" s="156" t="str">
        <x:f>IF(AE55="","",MAX(0,AE55-IF(AF55="",0,AF55/60)))</x:f>
      </x:c>
      <x:c r="AH55" s="155"/>
      <x:c r="AI55" s="154"/>
      <x:c r="AJ55" s="154"/>
      <x:c r="AK55" s="156" t="n">
        <x:f>IFERROR(U55*W55,"")</x:f>
        <x:v>0</x:v>
      </x:c>
      <x:c r="AL55" s="156" t="n">
        <x:f>IFERROR(AE55*AI55,"")</x:f>
        <x:v>0</x:v>
      </x:c>
      <x:c r="AM55" s="157" t="str">
        <x:f>IFERROR(AH55/Q55,"")</x:f>
      </x:c>
      <x:c r="AN55" s="156" t="str">
        <x:f>IFERROR(AH55/AG55,"")</x:f>
      </x:c>
      <x:c r="AO55" s="156" t="str">
        <x:f>IFERROR(AL55/AH55,"")</x:f>
      </x:c>
      <x:c r="AP55" s="157" t="str">
        <x:f>IFERROR(AG55/AE55,"")</x:f>
      </x:c>
      <x:c r="AQ55" s="157" t="str">
        <x:f>IFERROR(AN55/(R55/'Configuracion'!$B$13),"")</x:f>
      </x:c>
      <x:c r="AR55" s="156" t="n">
        <x:f>IFERROR(AE55-U55,"")</x:f>
        <x:v>0</x:v>
      </x:c>
      <x:c r="AS55" s="154"/>
      <x:c r="AT55" s="154"/>
      <x:c r="AU55" s="154"/>
      <x:c r="AV55" s="154"/>
      <x:c r="AW55" s="152"/>
      <x:c r="AX55" s="154"/>
      <x:c r="AY55" s="154"/>
      <x:c r="AZ55" s="151"/>
      <x:c r="BA55" s="151"/>
    </x:row>
    <x:row r="56">
      <x:c r="A56" s="151" t="str">
        <x:f>IF(B56="","",TEXT(B56,"yyyymmdd")&amp;"-"&amp;TEXT(COUNTIF($B$5:B56,B56),"000"))</x:f>
      </x:c>
      <x:c r="B56" s="152"/>
      <x:c r="C56" s="153"/>
      <x:c r="D56" s="151" t="str">
        <x:f>IF(B56="","",'Configuracion'!$B$4)</x:f>
      </x:c>
      <x:c r="E56" s="154"/>
      <x:c r="F56" s="154"/>
      <x:c r="G56" s="151" t="str">
        <x:f>IFERROR(VLOOKUP(F56,'Base Sectores'!$A$5:$J$47,2,FALSE),"")</x:f>
      </x:c>
      <x:c r="H56" s="151" t="str">
        <x:f>IFERROR(VLOOKUP(F56,'Base Sectores'!$A$5:$J$47,3,FALSE),"")</x:f>
      </x:c>
      <x:c r="I56" s="151" t="str">
        <x:f>IFERROR(VLOOKUP(F56,'Base Sectores'!$A$5:$J$47,4,FALSE),"")</x:f>
      </x:c>
      <x:c r="J56" s="151" t="str">
        <x:f>IFERROR(VLOOKUP(F56,'Base Sectores'!$A$5:$J$47,5,FALSE),"")</x:f>
      </x:c>
      <x:c r="K56" s="151" t="str">
        <x:f>IFERROR(VLOOKUP(F56,'Base Sectores'!$A$5:$J$47,6,FALSE),"")</x:f>
      </x:c>
      <x:c r="L56" s="151" t="str">
        <x:f>IFERROR(VLOOKUP(F56,'Base Sectores'!$A$5:$J$47,7,FALSE),"")</x:f>
      </x:c>
      <x:c r="M56" s="151" t="str">
        <x:f>IFERROR(VLOOKUP(F56,'Base Sectores'!$A$5:$J$47,9,FALSE),"")</x:f>
      </x:c>
      <x:c r="N56" s="154"/>
      <x:c r="O56" s="151" t="str">
        <x:f>IFERROR(VLOOKUP(N56,'Configuracion'!$D$4:$H$15,2,FALSE),"")</x:f>
      </x:c>
      <x:c r="P56" s="151" t="str">
        <x:f>IFERROR(VLOOKUP(N56,'Configuracion'!$D$4:$H$15,3,FALSE),"")</x:f>
      </x:c>
      <x:c r="Q56" s="155"/>
      <x:c r="R56" s="156" t="str">
        <x:f>IFERROR(VLOOKUP(N56,'Configuracion'!$D$4:$H$15,4,FALSE),"")</x:f>
      </x:c>
      <x:c r="S56" s="153"/>
      <x:c r="T56" s="153"/>
      <x:c r="U56" s="156" t="str">
        <x:f>IF(OR(S56="",T56=""),"",MOD(T56-S56,1)*24)</x:f>
      </x:c>
      <x:c r="V56" s="154"/>
      <x:c r="W56" s="154"/>
      <x:c r="X56" s="151" t="str">
        <x:f>IFERROR(VLOOKUP(N56,'Configuracion'!$D$4:$H$15,5,FALSE),"")</x:f>
      </x:c>
      <x:c r="Y56" s="151" t="str">
        <x:f>IFERROR(VLOOKUP(V56,'Cuadrillas'!$A$5:$J$14,2,FALSE),"")</x:f>
      </x:c>
      <x:c r="Z56" s="154"/>
      <x:c r="AA56" s="154"/>
      <x:c r="AB56" s="154"/>
      <x:c r="AC56" s="153"/>
      <x:c r="AD56" s="153"/>
      <x:c r="AE56" s="156" t="str">
        <x:f>IF(OR(AC56="",AD56=""),"",MOD(AD56-AC56,1)*24)</x:f>
      </x:c>
      <x:c r="AF56" s="154"/>
      <x:c r="AG56" s="156" t="str">
        <x:f>IF(AE56="","",MAX(0,AE56-IF(AF56="",0,AF56/60)))</x:f>
      </x:c>
      <x:c r="AH56" s="155"/>
      <x:c r="AI56" s="154"/>
      <x:c r="AJ56" s="154"/>
      <x:c r="AK56" s="156" t="n">
        <x:f>IFERROR(U56*W56,"")</x:f>
        <x:v>0</x:v>
      </x:c>
      <x:c r="AL56" s="156" t="n">
        <x:f>IFERROR(AE56*AI56,"")</x:f>
        <x:v>0</x:v>
      </x:c>
      <x:c r="AM56" s="157" t="str">
        <x:f>IFERROR(AH56/Q56,"")</x:f>
      </x:c>
      <x:c r="AN56" s="156" t="str">
        <x:f>IFERROR(AH56/AG56,"")</x:f>
      </x:c>
      <x:c r="AO56" s="156" t="str">
        <x:f>IFERROR(AL56/AH56,"")</x:f>
      </x:c>
      <x:c r="AP56" s="157" t="str">
        <x:f>IFERROR(AG56/AE56,"")</x:f>
      </x:c>
      <x:c r="AQ56" s="157" t="str">
        <x:f>IFERROR(AN56/(R56/'Configuracion'!$B$13),"")</x:f>
      </x:c>
      <x:c r="AR56" s="156" t="n">
        <x:f>IFERROR(AE56-U56,"")</x:f>
        <x:v>0</x:v>
      </x:c>
      <x:c r="AS56" s="154"/>
      <x:c r="AT56" s="154"/>
      <x:c r="AU56" s="154"/>
      <x:c r="AV56" s="154"/>
      <x:c r="AW56" s="152"/>
      <x:c r="AX56" s="154"/>
      <x:c r="AY56" s="154"/>
      <x:c r="AZ56" s="151"/>
      <x:c r="BA56" s="151"/>
    </x:row>
    <x:row r="57">
      <x:c r="A57" s="151" t="str">
        <x:f>IF(B57="","",TEXT(B57,"yyyymmdd")&amp;"-"&amp;TEXT(COUNTIF($B$5:B57,B57),"000"))</x:f>
      </x:c>
      <x:c r="B57" s="152"/>
      <x:c r="C57" s="153"/>
      <x:c r="D57" s="151" t="str">
        <x:f>IF(B57="","",'Configuracion'!$B$4)</x:f>
      </x:c>
      <x:c r="E57" s="154"/>
      <x:c r="F57" s="154"/>
      <x:c r="G57" s="151" t="str">
        <x:f>IFERROR(VLOOKUP(F57,'Base Sectores'!$A$5:$J$47,2,FALSE),"")</x:f>
      </x:c>
      <x:c r="H57" s="151" t="str">
        <x:f>IFERROR(VLOOKUP(F57,'Base Sectores'!$A$5:$J$47,3,FALSE),"")</x:f>
      </x:c>
      <x:c r="I57" s="151" t="str">
        <x:f>IFERROR(VLOOKUP(F57,'Base Sectores'!$A$5:$J$47,4,FALSE),"")</x:f>
      </x:c>
      <x:c r="J57" s="151" t="str">
        <x:f>IFERROR(VLOOKUP(F57,'Base Sectores'!$A$5:$J$47,5,FALSE),"")</x:f>
      </x:c>
      <x:c r="K57" s="151" t="str">
        <x:f>IFERROR(VLOOKUP(F57,'Base Sectores'!$A$5:$J$47,6,FALSE),"")</x:f>
      </x:c>
      <x:c r="L57" s="151" t="str">
        <x:f>IFERROR(VLOOKUP(F57,'Base Sectores'!$A$5:$J$47,7,FALSE),"")</x:f>
      </x:c>
      <x:c r="M57" s="151" t="str">
        <x:f>IFERROR(VLOOKUP(F57,'Base Sectores'!$A$5:$J$47,9,FALSE),"")</x:f>
      </x:c>
      <x:c r="N57" s="154"/>
      <x:c r="O57" s="151" t="str">
        <x:f>IFERROR(VLOOKUP(N57,'Configuracion'!$D$4:$H$15,2,FALSE),"")</x:f>
      </x:c>
      <x:c r="P57" s="151" t="str">
        <x:f>IFERROR(VLOOKUP(N57,'Configuracion'!$D$4:$H$15,3,FALSE),"")</x:f>
      </x:c>
      <x:c r="Q57" s="155"/>
      <x:c r="R57" s="156" t="str">
        <x:f>IFERROR(VLOOKUP(N57,'Configuracion'!$D$4:$H$15,4,FALSE),"")</x:f>
      </x:c>
      <x:c r="S57" s="153"/>
      <x:c r="T57" s="153"/>
      <x:c r="U57" s="156" t="str">
        <x:f>IF(OR(S57="",T57=""),"",MOD(T57-S57,1)*24)</x:f>
      </x:c>
      <x:c r="V57" s="154"/>
      <x:c r="W57" s="154"/>
      <x:c r="X57" s="151" t="str">
        <x:f>IFERROR(VLOOKUP(N57,'Configuracion'!$D$4:$H$15,5,FALSE),"")</x:f>
      </x:c>
      <x:c r="Y57" s="151" t="str">
        <x:f>IFERROR(VLOOKUP(V57,'Cuadrillas'!$A$5:$J$14,2,FALSE),"")</x:f>
      </x:c>
      <x:c r="Z57" s="154"/>
      <x:c r="AA57" s="154"/>
      <x:c r="AB57" s="154"/>
      <x:c r="AC57" s="153"/>
      <x:c r="AD57" s="153"/>
      <x:c r="AE57" s="156" t="str">
        <x:f>IF(OR(AC57="",AD57=""),"",MOD(AD57-AC57,1)*24)</x:f>
      </x:c>
      <x:c r="AF57" s="154"/>
      <x:c r="AG57" s="156" t="str">
        <x:f>IF(AE57="","",MAX(0,AE57-IF(AF57="",0,AF57/60)))</x:f>
      </x:c>
      <x:c r="AH57" s="155"/>
      <x:c r="AI57" s="154"/>
      <x:c r="AJ57" s="154"/>
      <x:c r="AK57" s="156" t="n">
        <x:f>IFERROR(U57*W57,"")</x:f>
        <x:v>0</x:v>
      </x:c>
      <x:c r="AL57" s="156" t="n">
        <x:f>IFERROR(AE57*AI57,"")</x:f>
        <x:v>0</x:v>
      </x:c>
      <x:c r="AM57" s="157" t="str">
        <x:f>IFERROR(AH57/Q57,"")</x:f>
      </x:c>
      <x:c r="AN57" s="156" t="str">
        <x:f>IFERROR(AH57/AG57,"")</x:f>
      </x:c>
      <x:c r="AO57" s="156" t="str">
        <x:f>IFERROR(AL57/AH57,"")</x:f>
      </x:c>
      <x:c r="AP57" s="157" t="str">
        <x:f>IFERROR(AG57/AE57,"")</x:f>
      </x:c>
      <x:c r="AQ57" s="157" t="str">
        <x:f>IFERROR(AN57/(R57/'Configuracion'!$B$13),"")</x:f>
      </x:c>
      <x:c r="AR57" s="156" t="n">
        <x:f>IFERROR(AE57-U57,"")</x:f>
        <x:v>0</x:v>
      </x:c>
      <x:c r="AS57" s="154"/>
      <x:c r="AT57" s="154"/>
      <x:c r="AU57" s="154"/>
      <x:c r="AV57" s="154"/>
      <x:c r="AW57" s="152"/>
      <x:c r="AX57" s="154"/>
      <x:c r="AY57" s="154"/>
      <x:c r="AZ57" s="151"/>
      <x:c r="BA57" s="151"/>
    </x:row>
    <x:row r="58">
      <x:c r="A58" s="151" t="str">
        <x:f>IF(B58="","",TEXT(B58,"yyyymmdd")&amp;"-"&amp;TEXT(COUNTIF($B$5:B58,B58),"000"))</x:f>
      </x:c>
      <x:c r="B58" s="152"/>
      <x:c r="C58" s="153"/>
      <x:c r="D58" s="151" t="str">
        <x:f>IF(B58="","",'Configuracion'!$B$4)</x:f>
      </x:c>
      <x:c r="E58" s="154"/>
      <x:c r="F58" s="154"/>
      <x:c r="G58" s="151" t="str">
        <x:f>IFERROR(VLOOKUP(F58,'Base Sectores'!$A$5:$J$47,2,FALSE),"")</x:f>
      </x:c>
      <x:c r="H58" s="151" t="str">
        <x:f>IFERROR(VLOOKUP(F58,'Base Sectores'!$A$5:$J$47,3,FALSE),"")</x:f>
      </x:c>
      <x:c r="I58" s="151" t="str">
        <x:f>IFERROR(VLOOKUP(F58,'Base Sectores'!$A$5:$J$47,4,FALSE),"")</x:f>
      </x:c>
      <x:c r="J58" s="151" t="str">
        <x:f>IFERROR(VLOOKUP(F58,'Base Sectores'!$A$5:$J$47,5,FALSE),"")</x:f>
      </x:c>
      <x:c r="K58" s="151" t="str">
        <x:f>IFERROR(VLOOKUP(F58,'Base Sectores'!$A$5:$J$47,6,FALSE),"")</x:f>
      </x:c>
      <x:c r="L58" s="151" t="str">
        <x:f>IFERROR(VLOOKUP(F58,'Base Sectores'!$A$5:$J$47,7,FALSE),"")</x:f>
      </x:c>
      <x:c r="M58" s="151" t="str">
        <x:f>IFERROR(VLOOKUP(F58,'Base Sectores'!$A$5:$J$47,9,FALSE),"")</x:f>
      </x:c>
      <x:c r="N58" s="154"/>
      <x:c r="O58" s="151" t="str">
        <x:f>IFERROR(VLOOKUP(N58,'Configuracion'!$D$4:$H$15,2,FALSE),"")</x:f>
      </x:c>
      <x:c r="P58" s="151" t="str">
        <x:f>IFERROR(VLOOKUP(N58,'Configuracion'!$D$4:$H$15,3,FALSE),"")</x:f>
      </x:c>
      <x:c r="Q58" s="155"/>
      <x:c r="R58" s="156" t="str">
        <x:f>IFERROR(VLOOKUP(N58,'Configuracion'!$D$4:$H$15,4,FALSE),"")</x:f>
      </x:c>
      <x:c r="S58" s="153"/>
      <x:c r="T58" s="153"/>
      <x:c r="U58" s="156" t="str">
        <x:f>IF(OR(S58="",T58=""),"",MOD(T58-S58,1)*24)</x:f>
      </x:c>
      <x:c r="V58" s="154"/>
      <x:c r="W58" s="154"/>
      <x:c r="X58" s="151" t="str">
        <x:f>IFERROR(VLOOKUP(N58,'Configuracion'!$D$4:$H$15,5,FALSE),"")</x:f>
      </x:c>
      <x:c r="Y58" s="151" t="str">
        <x:f>IFERROR(VLOOKUP(V58,'Cuadrillas'!$A$5:$J$14,2,FALSE),"")</x:f>
      </x:c>
      <x:c r="Z58" s="154"/>
      <x:c r="AA58" s="154"/>
      <x:c r="AB58" s="154"/>
      <x:c r="AC58" s="153"/>
      <x:c r="AD58" s="153"/>
      <x:c r="AE58" s="156" t="str">
        <x:f>IF(OR(AC58="",AD58=""),"",MOD(AD58-AC58,1)*24)</x:f>
      </x:c>
      <x:c r="AF58" s="154"/>
      <x:c r="AG58" s="156" t="str">
        <x:f>IF(AE58="","",MAX(0,AE58-IF(AF58="",0,AF58/60)))</x:f>
      </x:c>
      <x:c r="AH58" s="155"/>
      <x:c r="AI58" s="154"/>
      <x:c r="AJ58" s="154"/>
      <x:c r="AK58" s="156" t="n">
        <x:f>IFERROR(U58*W58,"")</x:f>
        <x:v>0</x:v>
      </x:c>
      <x:c r="AL58" s="156" t="n">
        <x:f>IFERROR(AE58*AI58,"")</x:f>
        <x:v>0</x:v>
      </x:c>
      <x:c r="AM58" s="157" t="str">
        <x:f>IFERROR(AH58/Q58,"")</x:f>
      </x:c>
      <x:c r="AN58" s="156" t="str">
        <x:f>IFERROR(AH58/AG58,"")</x:f>
      </x:c>
      <x:c r="AO58" s="156" t="str">
        <x:f>IFERROR(AL58/AH58,"")</x:f>
      </x:c>
      <x:c r="AP58" s="157" t="str">
        <x:f>IFERROR(AG58/AE58,"")</x:f>
      </x:c>
      <x:c r="AQ58" s="157" t="str">
        <x:f>IFERROR(AN58/(R58/'Configuracion'!$B$13),"")</x:f>
      </x:c>
      <x:c r="AR58" s="156" t="n">
        <x:f>IFERROR(AE58-U58,"")</x:f>
        <x:v>0</x:v>
      </x:c>
      <x:c r="AS58" s="154"/>
      <x:c r="AT58" s="154"/>
      <x:c r="AU58" s="154"/>
      <x:c r="AV58" s="154"/>
      <x:c r="AW58" s="152"/>
      <x:c r="AX58" s="154"/>
      <x:c r="AY58" s="154"/>
      <x:c r="AZ58" s="151"/>
      <x:c r="BA58" s="151"/>
    </x:row>
    <x:row r="59">
      <x:c r="A59" s="151" t="str">
        <x:f>IF(B59="","",TEXT(B59,"yyyymmdd")&amp;"-"&amp;TEXT(COUNTIF($B$5:B59,B59),"000"))</x:f>
      </x:c>
      <x:c r="B59" s="152"/>
      <x:c r="C59" s="153"/>
      <x:c r="D59" s="151" t="str">
        <x:f>IF(B59="","",'Configuracion'!$B$4)</x:f>
      </x:c>
      <x:c r="E59" s="154"/>
      <x:c r="F59" s="154"/>
      <x:c r="G59" s="151" t="str">
        <x:f>IFERROR(VLOOKUP(F59,'Base Sectores'!$A$5:$J$47,2,FALSE),"")</x:f>
      </x:c>
      <x:c r="H59" s="151" t="str">
        <x:f>IFERROR(VLOOKUP(F59,'Base Sectores'!$A$5:$J$47,3,FALSE),"")</x:f>
      </x:c>
      <x:c r="I59" s="151" t="str">
        <x:f>IFERROR(VLOOKUP(F59,'Base Sectores'!$A$5:$J$47,4,FALSE),"")</x:f>
      </x:c>
      <x:c r="J59" s="151" t="str">
        <x:f>IFERROR(VLOOKUP(F59,'Base Sectores'!$A$5:$J$47,5,FALSE),"")</x:f>
      </x:c>
      <x:c r="K59" s="151" t="str">
        <x:f>IFERROR(VLOOKUP(F59,'Base Sectores'!$A$5:$J$47,6,FALSE),"")</x:f>
      </x:c>
      <x:c r="L59" s="151" t="str">
        <x:f>IFERROR(VLOOKUP(F59,'Base Sectores'!$A$5:$J$47,7,FALSE),"")</x:f>
      </x:c>
      <x:c r="M59" s="151" t="str">
        <x:f>IFERROR(VLOOKUP(F59,'Base Sectores'!$A$5:$J$47,9,FALSE),"")</x:f>
      </x:c>
      <x:c r="N59" s="154"/>
      <x:c r="O59" s="151" t="str">
        <x:f>IFERROR(VLOOKUP(N59,'Configuracion'!$D$4:$H$15,2,FALSE),"")</x:f>
      </x:c>
      <x:c r="P59" s="151" t="str">
        <x:f>IFERROR(VLOOKUP(N59,'Configuracion'!$D$4:$H$15,3,FALSE),"")</x:f>
      </x:c>
      <x:c r="Q59" s="155"/>
      <x:c r="R59" s="156" t="str">
        <x:f>IFERROR(VLOOKUP(N59,'Configuracion'!$D$4:$H$15,4,FALSE),"")</x:f>
      </x:c>
      <x:c r="S59" s="153"/>
      <x:c r="T59" s="153"/>
      <x:c r="U59" s="156" t="str">
        <x:f>IF(OR(S59="",T59=""),"",MOD(T59-S59,1)*24)</x:f>
      </x:c>
      <x:c r="V59" s="154"/>
      <x:c r="W59" s="154"/>
      <x:c r="X59" s="151" t="str">
        <x:f>IFERROR(VLOOKUP(N59,'Configuracion'!$D$4:$H$15,5,FALSE),"")</x:f>
      </x:c>
      <x:c r="Y59" s="151" t="str">
        <x:f>IFERROR(VLOOKUP(V59,'Cuadrillas'!$A$5:$J$14,2,FALSE),"")</x:f>
      </x:c>
      <x:c r="Z59" s="154"/>
      <x:c r="AA59" s="154"/>
      <x:c r="AB59" s="154"/>
      <x:c r="AC59" s="153"/>
      <x:c r="AD59" s="153"/>
      <x:c r="AE59" s="156" t="str">
        <x:f>IF(OR(AC59="",AD59=""),"",MOD(AD59-AC59,1)*24)</x:f>
      </x:c>
      <x:c r="AF59" s="154"/>
      <x:c r="AG59" s="156" t="str">
        <x:f>IF(AE59="","",MAX(0,AE59-IF(AF59="",0,AF59/60)))</x:f>
      </x:c>
      <x:c r="AH59" s="155"/>
      <x:c r="AI59" s="154"/>
      <x:c r="AJ59" s="154"/>
      <x:c r="AK59" s="156" t="n">
        <x:f>IFERROR(U59*W59,"")</x:f>
        <x:v>0</x:v>
      </x:c>
      <x:c r="AL59" s="156" t="n">
        <x:f>IFERROR(AE59*AI59,"")</x:f>
        <x:v>0</x:v>
      </x:c>
      <x:c r="AM59" s="157" t="str">
        <x:f>IFERROR(AH59/Q59,"")</x:f>
      </x:c>
      <x:c r="AN59" s="156" t="str">
        <x:f>IFERROR(AH59/AG59,"")</x:f>
      </x:c>
      <x:c r="AO59" s="156" t="str">
        <x:f>IFERROR(AL59/AH59,"")</x:f>
      </x:c>
      <x:c r="AP59" s="157" t="str">
        <x:f>IFERROR(AG59/AE59,"")</x:f>
      </x:c>
      <x:c r="AQ59" s="157" t="str">
        <x:f>IFERROR(AN59/(R59/'Configuracion'!$B$13),"")</x:f>
      </x:c>
      <x:c r="AR59" s="156" t="n">
        <x:f>IFERROR(AE59-U59,"")</x:f>
        <x:v>0</x:v>
      </x:c>
      <x:c r="AS59" s="154"/>
      <x:c r="AT59" s="154"/>
      <x:c r="AU59" s="154"/>
      <x:c r="AV59" s="154"/>
      <x:c r="AW59" s="152"/>
      <x:c r="AX59" s="154"/>
      <x:c r="AY59" s="154"/>
      <x:c r="AZ59" s="151"/>
      <x:c r="BA59" s="151"/>
    </x:row>
    <x:row r="60">
      <x:c r="A60" s="151" t="str">
        <x:f>IF(B60="","",TEXT(B60,"yyyymmdd")&amp;"-"&amp;TEXT(COUNTIF($B$5:B60,B60),"000"))</x:f>
      </x:c>
      <x:c r="B60" s="152"/>
      <x:c r="C60" s="153"/>
      <x:c r="D60" s="151" t="str">
        <x:f>IF(B60="","",'Configuracion'!$B$4)</x:f>
      </x:c>
      <x:c r="E60" s="154"/>
      <x:c r="F60" s="154"/>
      <x:c r="G60" s="151" t="str">
        <x:f>IFERROR(VLOOKUP(F60,'Base Sectores'!$A$5:$J$47,2,FALSE),"")</x:f>
      </x:c>
      <x:c r="H60" s="151" t="str">
        <x:f>IFERROR(VLOOKUP(F60,'Base Sectores'!$A$5:$J$47,3,FALSE),"")</x:f>
      </x:c>
      <x:c r="I60" s="151" t="str">
        <x:f>IFERROR(VLOOKUP(F60,'Base Sectores'!$A$5:$J$47,4,FALSE),"")</x:f>
      </x:c>
      <x:c r="J60" s="151" t="str">
        <x:f>IFERROR(VLOOKUP(F60,'Base Sectores'!$A$5:$J$47,5,FALSE),"")</x:f>
      </x:c>
      <x:c r="K60" s="151" t="str">
        <x:f>IFERROR(VLOOKUP(F60,'Base Sectores'!$A$5:$J$47,6,FALSE),"")</x:f>
      </x:c>
      <x:c r="L60" s="151" t="str">
        <x:f>IFERROR(VLOOKUP(F60,'Base Sectores'!$A$5:$J$47,7,FALSE),"")</x:f>
      </x:c>
      <x:c r="M60" s="151" t="str">
        <x:f>IFERROR(VLOOKUP(F60,'Base Sectores'!$A$5:$J$47,9,FALSE),"")</x:f>
      </x:c>
      <x:c r="N60" s="154"/>
      <x:c r="O60" s="151" t="str">
        <x:f>IFERROR(VLOOKUP(N60,'Configuracion'!$D$4:$H$15,2,FALSE),"")</x:f>
      </x:c>
      <x:c r="P60" s="151" t="str">
        <x:f>IFERROR(VLOOKUP(N60,'Configuracion'!$D$4:$H$15,3,FALSE),"")</x:f>
      </x:c>
      <x:c r="Q60" s="155"/>
      <x:c r="R60" s="156" t="str">
        <x:f>IFERROR(VLOOKUP(N60,'Configuracion'!$D$4:$H$15,4,FALSE),"")</x:f>
      </x:c>
      <x:c r="S60" s="153"/>
      <x:c r="T60" s="153"/>
      <x:c r="U60" s="156" t="str">
        <x:f>IF(OR(S60="",T60=""),"",MOD(T60-S60,1)*24)</x:f>
      </x:c>
      <x:c r="V60" s="154"/>
      <x:c r="W60" s="154"/>
      <x:c r="X60" s="151" t="str">
        <x:f>IFERROR(VLOOKUP(N60,'Configuracion'!$D$4:$H$15,5,FALSE),"")</x:f>
      </x:c>
      <x:c r="Y60" s="151" t="str">
        <x:f>IFERROR(VLOOKUP(V60,'Cuadrillas'!$A$5:$J$14,2,FALSE),"")</x:f>
      </x:c>
      <x:c r="Z60" s="154"/>
      <x:c r="AA60" s="154"/>
      <x:c r="AB60" s="154"/>
      <x:c r="AC60" s="153"/>
      <x:c r="AD60" s="153"/>
      <x:c r="AE60" s="156" t="str">
        <x:f>IF(OR(AC60="",AD60=""),"",MOD(AD60-AC60,1)*24)</x:f>
      </x:c>
      <x:c r="AF60" s="154"/>
      <x:c r="AG60" s="156" t="str">
        <x:f>IF(AE60="","",MAX(0,AE60-IF(AF60="",0,AF60/60)))</x:f>
      </x:c>
      <x:c r="AH60" s="155"/>
      <x:c r="AI60" s="154"/>
      <x:c r="AJ60" s="154"/>
      <x:c r="AK60" s="156" t="n">
        <x:f>IFERROR(U60*W60,"")</x:f>
        <x:v>0</x:v>
      </x:c>
      <x:c r="AL60" s="156" t="n">
        <x:f>IFERROR(AE60*AI60,"")</x:f>
        <x:v>0</x:v>
      </x:c>
      <x:c r="AM60" s="157" t="str">
        <x:f>IFERROR(AH60/Q60,"")</x:f>
      </x:c>
      <x:c r="AN60" s="156" t="str">
        <x:f>IFERROR(AH60/AG60,"")</x:f>
      </x:c>
      <x:c r="AO60" s="156" t="str">
        <x:f>IFERROR(AL60/AH60,"")</x:f>
      </x:c>
      <x:c r="AP60" s="157" t="str">
        <x:f>IFERROR(AG60/AE60,"")</x:f>
      </x:c>
      <x:c r="AQ60" s="157" t="str">
        <x:f>IFERROR(AN60/(R60/'Configuracion'!$B$13),"")</x:f>
      </x:c>
      <x:c r="AR60" s="156" t="n">
        <x:f>IFERROR(AE60-U60,"")</x:f>
        <x:v>0</x:v>
      </x:c>
      <x:c r="AS60" s="154"/>
      <x:c r="AT60" s="154"/>
      <x:c r="AU60" s="154"/>
      <x:c r="AV60" s="154"/>
      <x:c r="AW60" s="152"/>
      <x:c r="AX60" s="154"/>
      <x:c r="AY60" s="154"/>
      <x:c r="AZ60" s="151"/>
      <x:c r="BA60" s="151"/>
    </x:row>
    <x:row r="61">
      <x:c r="A61" s="151" t="str">
        <x:f>IF(B61="","",TEXT(B61,"yyyymmdd")&amp;"-"&amp;TEXT(COUNTIF($B$5:B61,B61),"000"))</x:f>
      </x:c>
      <x:c r="B61" s="152"/>
      <x:c r="C61" s="153"/>
      <x:c r="D61" s="151" t="str">
        <x:f>IF(B61="","",'Configuracion'!$B$4)</x:f>
      </x:c>
      <x:c r="E61" s="154"/>
      <x:c r="F61" s="154"/>
      <x:c r="G61" s="151" t="str">
        <x:f>IFERROR(VLOOKUP(F61,'Base Sectores'!$A$5:$J$47,2,FALSE),"")</x:f>
      </x:c>
      <x:c r="H61" s="151" t="str">
        <x:f>IFERROR(VLOOKUP(F61,'Base Sectores'!$A$5:$J$47,3,FALSE),"")</x:f>
      </x:c>
      <x:c r="I61" s="151" t="str">
        <x:f>IFERROR(VLOOKUP(F61,'Base Sectores'!$A$5:$J$47,4,FALSE),"")</x:f>
      </x:c>
      <x:c r="J61" s="151" t="str">
        <x:f>IFERROR(VLOOKUP(F61,'Base Sectores'!$A$5:$J$47,5,FALSE),"")</x:f>
      </x:c>
      <x:c r="K61" s="151" t="str">
        <x:f>IFERROR(VLOOKUP(F61,'Base Sectores'!$A$5:$J$47,6,FALSE),"")</x:f>
      </x:c>
      <x:c r="L61" s="151" t="str">
        <x:f>IFERROR(VLOOKUP(F61,'Base Sectores'!$A$5:$J$47,7,FALSE),"")</x:f>
      </x:c>
      <x:c r="M61" s="151" t="str">
        <x:f>IFERROR(VLOOKUP(F61,'Base Sectores'!$A$5:$J$47,9,FALSE),"")</x:f>
      </x:c>
      <x:c r="N61" s="154"/>
      <x:c r="O61" s="151" t="str">
        <x:f>IFERROR(VLOOKUP(N61,'Configuracion'!$D$4:$H$15,2,FALSE),"")</x:f>
      </x:c>
      <x:c r="P61" s="151" t="str">
        <x:f>IFERROR(VLOOKUP(N61,'Configuracion'!$D$4:$H$15,3,FALSE),"")</x:f>
      </x:c>
      <x:c r="Q61" s="155"/>
      <x:c r="R61" s="156" t="str">
        <x:f>IFERROR(VLOOKUP(N61,'Configuracion'!$D$4:$H$15,4,FALSE),"")</x:f>
      </x:c>
      <x:c r="S61" s="153"/>
      <x:c r="T61" s="153"/>
      <x:c r="U61" s="156" t="str">
        <x:f>IF(OR(S61="",T61=""),"",MOD(T61-S61,1)*24)</x:f>
      </x:c>
      <x:c r="V61" s="154"/>
      <x:c r="W61" s="154"/>
      <x:c r="X61" s="151" t="str">
        <x:f>IFERROR(VLOOKUP(N61,'Configuracion'!$D$4:$H$15,5,FALSE),"")</x:f>
      </x:c>
      <x:c r="Y61" s="151" t="str">
        <x:f>IFERROR(VLOOKUP(V61,'Cuadrillas'!$A$5:$J$14,2,FALSE),"")</x:f>
      </x:c>
      <x:c r="Z61" s="154"/>
      <x:c r="AA61" s="154"/>
      <x:c r="AB61" s="154"/>
      <x:c r="AC61" s="153"/>
      <x:c r="AD61" s="153"/>
      <x:c r="AE61" s="156" t="str">
        <x:f>IF(OR(AC61="",AD61=""),"",MOD(AD61-AC61,1)*24)</x:f>
      </x:c>
      <x:c r="AF61" s="154"/>
      <x:c r="AG61" s="156" t="str">
        <x:f>IF(AE61="","",MAX(0,AE61-IF(AF61="",0,AF61/60)))</x:f>
      </x:c>
      <x:c r="AH61" s="155"/>
      <x:c r="AI61" s="154"/>
      <x:c r="AJ61" s="154"/>
      <x:c r="AK61" s="156" t="n">
        <x:f>IFERROR(U61*W61,"")</x:f>
        <x:v>0</x:v>
      </x:c>
      <x:c r="AL61" s="156" t="n">
        <x:f>IFERROR(AE61*AI61,"")</x:f>
        <x:v>0</x:v>
      </x:c>
      <x:c r="AM61" s="157" t="str">
        <x:f>IFERROR(AH61/Q61,"")</x:f>
      </x:c>
      <x:c r="AN61" s="156" t="str">
        <x:f>IFERROR(AH61/AG61,"")</x:f>
      </x:c>
      <x:c r="AO61" s="156" t="str">
        <x:f>IFERROR(AL61/AH61,"")</x:f>
      </x:c>
      <x:c r="AP61" s="157" t="str">
        <x:f>IFERROR(AG61/AE61,"")</x:f>
      </x:c>
      <x:c r="AQ61" s="157" t="str">
        <x:f>IFERROR(AN61/(R61/'Configuracion'!$B$13),"")</x:f>
      </x:c>
      <x:c r="AR61" s="156" t="n">
        <x:f>IFERROR(AE61-U61,"")</x:f>
        <x:v>0</x:v>
      </x:c>
      <x:c r="AS61" s="154"/>
      <x:c r="AT61" s="154"/>
      <x:c r="AU61" s="154"/>
      <x:c r="AV61" s="154"/>
      <x:c r="AW61" s="152"/>
      <x:c r="AX61" s="154"/>
      <x:c r="AY61" s="154"/>
      <x:c r="AZ61" s="151"/>
      <x:c r="BA61" s="151"/>
    </x:row>
    <x:row r="62">
      <x:c r="A62" s="151" t="str">
        <x:f>IF(B62="","",TEXT(B62,"yyyymmdd")&amp;"-"&amp;TEXT(COUNTIF($B$5:B62,B62),"000"))</x:f>
      </x:c>
      <x:c r="B62" s="152"/>
      <x:c r="C62" s="153"/>
      <x:c r="D62" s="151" t="str">
        <x:f>IF(B62="","",'Configuracion'!$B$4)</x:f>
      </x:c>
      <x:c r="E62" s="154"/>
      <x:c r="F62" s="154"/>
      <x:c r="G62" s="151" t="str">
        <x:f>IFERROR(VLOOKUP(F62,'Base Sectores'!$A$5:$J$47,2,FALSE),"")</x:f>
      </x:c>
      <x:c r="H62" s="151" t="str">
        <x:f>IFERROR(VLOOKUP(F62,'Base Sectores'!$A$5:$J$47,3,FALSE),"")</x:f>
      </x:c>
      <x:c r="I62" s="151" t="str">
        <x:f>IFERROR(VLOOKUP(F62,'Base Sectores'!$A$5:$J$47,4,FALSE),"")</x:f>
      </x:c>
      <x:c r="J62" s="151" t="str">
        <x:f>IFERROR(VLOOKUP(F62,'Base Sectores'!$A$5:$J$47,5,FALSE),"")</x:f>
      </x:c>
      <x:c r="K62" s="151" t="str">
        <x:f>IFERROR(VLOOKUP(F62,'Base Sectores'!$A$5:$J$47,6,FALSE),"")</x:f>
      </x:c>
      <x:c r="L62" s="151" t="str">
        <x:f>IFERROR(VLOOKUP(F62,'Base Sectores'!$A$5:$J$47,7,FALSE),"")</x:f>
      </x:c>
      <x:c r="M62" s="151" t="str">
        <x:f>IFERROR(VLOOKUP(F62,'Base Sectores'!$A$5:$J$47,9,FALSE),"")</x:f>
      </x:c>
      <x:c r="N62" s="154"/>
      <x:c r="O62" s="151" t="str">
        <x:f>IFERROR(VLOOKUP(N62,'Configuracion'!$D$4:$H$15,2,FALSE),"")</x:f>
      </x:c>
      <x:c r="P62" s="151" t="str">
        <x:f>IFERROR(VLOOKUP(N62,'Configuracion'!$D$4:$H$15,3,FALSE),"")</x:f>
      </x:c>
      <x:c r="Q62" s="155"/>
      <x:c r="R62" s="156" t="str">
        <x:f>IFERROR(VLOOKUP(N62,'Configuracion'!$D$4:$H$15,4,FALSE),"")</x:f>
      </x:c>
      <x:c r="S62" s="153"/>
      <x:c r="T62" s="153"/>
      <x:c r="U62" s="156" t="str">
        <x:f>IF(OR(S62="",T62=""),"",MOD(T62-S62,1)*24)</x:f>
      </x:c>
      <x:c r="V62" s="154"/>
      <x:c r="W62" s="154"/>
      <x:c r="X62" s="151" t="str">
        <x:f>IFERROR(VLOOKUP(N62,'Configuracion'!$D$4:$H$15,5,FALSE),"")</x:f>
      </x:c>
      <x:c r="Y62" s="151" t="str">
        <x:f>IFERROR(VLOOKUP(V62,'Cuadrillas'!$A$5:$J$14,2,FALSE),"")</x:f>
      </x:c>
      <x:c r="Z62" s="154"/>
      <x:c r="AA62" s="154"/>
      <x:c r="AB62" s="154"/>
      <x:c r="AC62" s="153"/>
      <x:c r="AD62" s="153"/>
      <x:c r="AE62" s="156" t="str">
        <x:f>IF(OR(AC62="",AD62=""),"",MOD(AD62-AC62,1)*24)</x:f>
      </x:c>
      <x:c r="AF62" s="154"/>
      <x:c r="AG62" s="156" t="str">
        <x:f>IF(AE62="","",MAX(0,AE62-IF(AF62="",0,AF62/60)))</x:f>
      </x:c>
      <x:c r="AH62" s="155"/>
      <x:c r="AI62" s="154"/>
      <x:c r="AJ62" s="154"/>
      <x:c r="AK62" s="156" t="n">
        <x:f>IFERROR(U62*W62,"")</x:f>
        <x:v>0</x:v>
      </x:c>
      <x:c r="AL62" s="156" t="n">
        <x:f>IFERROR(AE62*AI62,"")</x:f>
        <x:v>0</x:v>
      </x:c>
      <x:c r="AM62" s="157" t="str">
        <x:f>IFERROR(AH62/Q62,"")</x:f>
      </x:c>
      <x:c r="AN62" s="156" t="str">
        <x:f>IFERROR(AH62/AG62,"")</x:f>
      </x:c>
      <x:c r="AO62" s="156" t="str">
        <x:f>IFERROR(AL62/AH62,"")</x:f>
      </x:c>
      <x:c r="AP62" s="157" t="str">
        <x:f>IFERROR(AG62/AE62,"")</x:f>
      </x:c>
      <x:c r="AQ62" s="157" t="str">
        <x:f>IFERROR(AN62/(R62/'Configuracion'!$B$13),"")</x:f>
      </x:c>
      <x:c r="AR62" s="156" t="n">
        <x:f>IFERROR(AE62-U62,"")</x:f>
        <x:v>0</x:v>
      </x:c>
      <x:c r="AS62" s="154"/>
      <x:c r="AT62" s="154"/>
      <x:c r="AU62" s="154"/>
      <x:c r="AV62" s="154"/>
      <x:c r="AW62" s="152"/>
      <x:c r="AX62" s="154"/>
      <x:c r="AY62" s="154"/>
      <x:c r="AZ62" s="151"/>
      <x:c r="BA62" s="151"/>
    </x:row>
    <x:row r="63">
      <x:c r="A63" s="151" t="str">
        <x:f>IF(B63="","",TEXT(B63,"yyyymmdd")&amp;"-"&amp;TEXT(COUNTIF($B$5:B63,B63),"000"))</x:f>
      </x:c>
      <x:c r="B63" s="152"/>
      <x:c r="C63" s="153"/>
      <x:c r="D63" s="151" t="str">
        <x:f>IF(B63="","",'Configuracion'!$B$4)</x:f>
      </x:c>
      <x:c r="E63" s="154"/>
      <x:c r="F63" s="154"/>
      <x:c r="G63" s="151" t="str">
        <x:f>IFERROR(VLOOKUP(F63,'Base Sectores'!$A$5:$J$47,2,FALSE),"")</x:f>
      </x:c>
      <x:c r="H63" s="151" t="str">
        <x:f>IFERROR(VLOOKUP(F63,'Base Sectores'!$A$5:$J$47,3,FALSE),"")</x:f>
      </x:c>
      <x:c r="I63" s="151" t="str">
        <x:f>IFERROR(VLOOKUP(F63,'Base Sectores'!$A$5:$J$47,4,FALSE),"")</x:f>
      </x:c>
      <x:c r="J63" s="151" t="str">
        <x:f>IFERROR(VLOOKUP(F63,'Base Sectores'!$A$5:$J$47,5,FALSE),"")</x:f>
      </x:c>
      <x:c r="K63" s="151" t="str">
        <x:f>IFERROR(VLOOKUP(F63,'Base Sectores'!$A$5:$J$47,6,FALSE),"")</x:f>
      </x:c>
      <x:c r="L63" s="151" t="str">
        <x:f>IFERROR(VLOOKUP(F63,'Base Sectores'!$A$5:$J$47,7,FALSE),"")</x:f>
      </x:c>
      <x:c r="M63" s="151" t="str">
        <x:f>IFERROR(VLOOKUP(F63,'Base Sectores'!$A$5:$J$47,9,FALSE),"")</x:f>
      </x:c>
      <x:c r="N63" s="154"/>
      <x:c r="O63" s="151" t="str">
        <x:f>IFERROR(VLOOKUP(N63,'Configuracion'!$D$4:$H$15,2,FALSE),"")</x:f>
      </x:c>
      <x:c r="P63" s="151" t="str">
        <x:f>IFERROR(VLOOKUP(N63,'Configuracion'!$D$4:$H$15,3,FALSE),"")</x:f>
      </x:c>
      <x:c r="Q63" s="155"/>
      <x:c r="R63" s="156" t="str">
        <x:f>IFERROR(VLOOKUP(N63,'Configuracion'!$D$4:$H$15,4,FALSE),"")</x:f>
      </x:c>
      <x:c r="S63" s="153"/>
      <x:c r="T63" s="153"/>
      <x:c r="U63" s="156" t="str">
        <x:f>IF(OR(S63="",T63=""),"",MOD(T63-S63,1)*24)</x:f>
      </x:c>
      <x:c r="V63" s="154"/>
      <x:c r="W63" s="154"/>
      <x:c r="X63" s="151" t="str">
        <x:f>IFERROR(VLOOKUP(N63,'Configuracion'!$D$4:$H$15,5,FALSE),"")</x:f>
      </x:c>
      <x:c r="Y63" s="151" t="str">
        <x:f>IFERROR(VLOOKUP(V63,'Cuadrillas'!$A$5:$J$14,2,FALSE),"")</x:f>
      </x:c>
      <x:c r="Z63" s="154"/>
      <x:c r="AA63" s="154"/>
      <x:c r="AB63" s="154"/>
      <x:c r="AC63" s="153"/>
      <x:c r="AD63" s="153"/>
      <x:c r="AE63" s="156" t="str">
        <x:f>IF(OR(AC63="",AD63=""),"",MOD(AD63-AC63,1)*24)</x:f>
      </x:c>
      <x:c r="AF63" s="154"/>
      <x:c r="AG63" s="156" t="str">
        <x:f>IF(AE63="","",MAX(0,AE63-IF(AF63="",0,AF63/60)))</x:f>
      </x:c>
      <x:c r="AH63" s="155"/>
      <x:c r="AI63" s="154"/>
      <x:c r="AJ63" s="154"/>
      <x:c r="AK63" s="156" t="n">
        <x:f>IFERROR(U63*W63,"")</x:f>
        <x:v>0</x:v>
      </x:c>
      <x:c r="AL63" s="156" t="n">
        <x:f>IFERROR(AE63*AI63,"")</x:f>
        <x:v>0</x:v>
      </x:c>
      <x:c r="AM63" s="157" t="str">
        <x:f>IFERROR(AH63/Q63,"")</x:f>
      </x:c>
      <x:c r="AN63" s="156" t="str">
        <x:f>IFERROR(AH63/AG63,"")</x:f>
      </x:c>
      <x:c r="AO63" s="156" t="str">
        <x:f>IFERROR(AL63/AH63,"")</x:f>
      </x:c>
      <x:c r="AP63" s="157" t="str">
        <x:f>IFERROR(AG63/AE63,"")</x:f>
      </x:c>
      <x:c r="AQ63" s="157" t="str">
        <x:f>IFERROR(AN63/(R63/'Configuracion'!$B$13),"")</x:f>
      </x:c>
      <x:c r="AR63" s="156" t="n">
        <x:f>IFERROR(AE63-U63,"")</x:f>
        <x:v>0</x:v>
      </x:c>
      <x:c r="AS63" s="154"/>
      <x:c r="AT63" s="154"/>
      <x:c r="AU63" s="154"/>
      <x:c r="AV63" s="154"/>
      <x:c r="AW63" s="152"/>
      <x:c r="AX63" s="154"/>
      <x:c r="AY63" s="154"/>
      <x:c r="AZ63" s="151"/>
      <x:c r="BA63" s="151"/>
    </x:row>
    <x:row r="64">
      <x:c r="A64" s="151" t="str">
        <x:f>IF(B64="","",TEXT(B64,"yyyymmdd")&amp;"-"&amp;TEXT(COUNTIF($B$5:B64,B64),"000"))</x:f>
      </x:c>
      <x:c r="B64" s="152"/>
      <x:c r="C64" s="153"/>
      <x:c r="D64" s="151" t="str">
        <x:f>IF(B64="","",'Configuracion'!$B$4)</x:f>
      </x:c>
      <x:c r="E64" s="154"/>
      <x:c r="F64" s="154"/>
      <x:c r="G64" s="151" t="str">
        <x:f>IFERROR(VLOOKUP(F64,'Base Sectores'!$A$5:$J$47,2,FALSE),"")</x:f>
      </x:c>
      <x:c r="H64" s="151" t="str">
        <x:f>IFERROR(VLOOKUP(F64,'Base Sectores'!$A$5:$J$47,3,FALSE),"")</x:f>
      </x:c>
      <x:c r="I64" s="151" t="str">
        <x:f>IFERROR(VLOOKUP(F64,'Base Sectores'!$A$5:$J$47,4,FALSE),"")</x:f>
      </x:c>
      <x:c r="J64" s="151" t="str">
        <x:f>IFERROR(VLOOKUP(F64,'Base Sectores'!$A$5:$J$47,5,FALSE),"")</x:f>
      </x:c>
      <x:c r="K64" s="151" t="str">
        <x:f>IFERROR(VLOOKUP(F64,'Base Sectores'!$A$5:$J$47,6,FALSE),"")</x:f>
      </x:c>
      <x:c r="L64" s="151" t="str">
        <x:f>IFERROR(VLOOKUP(F64,'Base Sectores'!$A$5:$J$47,7,FALSE),"")</x:f>
      </x:c>
      <x:c r="M64" s="151" t="str">
        <x:f>IFERROR(VLOOKUP(F64,'Base Sectores'!$A$5:$J$47,9,FALSE),"")</x:f>
      </x:c>
      <x:c r="N64" s="154"/>
      <x:c r="O64" s="151" t="str">
        <x:f>IFERROR(VLOOKUP(N64,'Configuracion'!$D$4:$H$15,2,FALSE),"")</x:f>
      </x:c>
      <x:c r="P64" s="151" t="str">
        <x:f>IFERROR(VLOOKUP(N64,'Configuracion'!$D$4:$H$15,3,FALSE),"")</x:f>
      </x:c>
      <x:c r="Q64" s="155"/>
      <x:c r="R64" s="156" t="str">
        <x:f>IFERROR(VLOOKUP(N64,'Configuracion'!$D$4:$H$15,4,FALSE),"")</x:f>
      </x:c>
      <x:c r="S64" s="153"/>
      <x:c r="T64" s="153"/>
      <x:c r="U64" s="156" t="str">
        <x:f>IF(OR(S64="",T64=""),"",MOD(T64-S64,1)*24)</x:f>
      </x:c>
      <x:c r="V64" s="154"/>
      <x:c r="W64" s="154"/>
      <x:c r="X64" s="151" t="str">
        <x:f>IFERROR(VLOOKUP(N64,'Configuracion'!$D$4:$H$15,5,FALSE),"")</x:f>
      </x:c>
      <x:c r="Y64" s="151" t="str">
        <x:f>IFERROR(VLOOKUP(V64,'Cuadrillas'!$A$5:$J$14,2,FALSE),"")</x:f>
      </x:c>
      <x:c r="Z64" s="154"/>
      <x:c r="AA64" s="154"/>
      <x:c r="AB64" s="154"/>
      <x:c r="AC64" s="153"/>
      <x:c r="AD64" s="153"/>
      <x:c r="AE64" s="156" t="str">
        <x:f>IF(OR(AC64="",AD64=""),"",MOD(AD64-AC64,1)*24)</x:f>
      </x:c>
      <x:c r="AF64" s="154"/>
      <x:c r="AG64" s="156" t="str">
        <x:f>IF(AE64="","",MAX(0,AE64-IF(AF64="",0,AF64/60)))</x:f>
      </x:c>
      <x:c r="AH64" s="155"/>
      <x:c r="AI64" s="154"/>
      <x:c r="AJ64" s="154"/>
      <x:c r="AK64" s="156" t="n">
        <x:f>IFERROR(U64*W64,"")</x:f>
        <x:v>0</x:v>
      </x:c>
      <x:c r="AL64" s="156" t="n">
        <x:f>IFERROR(AE64*AI64,"")</x:f>
        <x:v>0</x:v>
      </x:c>
      <x:c r="AM64" s="157" t="str">
        <x:f>IFERROR(AH64/Q64,"")</x:f>
      </x:c>
      <x:c r="AN64" s="156" t="str">
        <x:f>IFERROR(AH64/AG64,"")</x:f>
      </x:c>
      <x:c r="AO64" s="156" t="str">
        <x:f>IFERROR(AL64/AH64,"")</x:f>
      </x:c>
      <x:c r="AP64" s="157" t="str">
        <x:f>IFERROR(AG64/AE64,"")</x:f>
      </x:c>
      <x:c r="AQ64" s="157" t="str">
        <x:f>IFERROR(AN64/(R64/'Configuracion'!$B$13),"")</x:f>
      </x:c>
      <x:c r="AR64" s="156" t="n">
        <x:f>IFERROR(AE64-U64,"")</x:f>
        <x:v>0</x:v>
      </x:c>
      <x:c r="AS64" s="154"/>
      <x:c r="AT64" s="154"/>
      <x:c r="AU64" s="154"/>
      <x:c r="AV64" s="154"/>
      <x:c r="AW64" s="152"/>
      <x:c r="AX64" s="154"/>
      <x:c r="AY64" s="154"/>
      <x:c r="AZ64" s="151"/>
      <x:c r="BA64" s="151"/>
    </x:row>
    <x:row r="65">
      <x:c r="A65" s="151" t="str">
        <x:f>IF(B65="","",TEXT(B65,"yyyymmdd")&amp;"-"&amp;TEXT(COUNTIF($B$5:B65,B65),"000"))</x:f>
      </x:c>
      <x:c r="B65" s="152"/>
      <x:c r="C65" s="153"/>
      <x:c r="D65" s="151" t="str">
        <x:f>IF(B65="","",'Configuracion'!$B$4)</x:f>
      </x:c>
      <x:c r="E65" s="154"/>
      <x:c r="F65" s="154"/>
      <x:c r="G65" s="151" t="str">
        <x:f>IFERROR(VLOOKUP(F65,'Base Sectores'!$A$5:$J$47,2,FALSE),"")</x:f>
      </x:c>
      <x:c r="H65" s="151" t="str">
        <x:f>IFERROR(VLOOKUP(F65,'Base Sectores'!$A$5:$J$47,3,FALSE),"")</x:f>
      </x:c>
      <x:c r="I65" s="151" t="str">
        <x:f>IFERROR(VLOOKUP(F65,'Base Sectores'!$A$5:$J$47,4,FALSE),"")</x:f>
      </x:c>
      <x:c r="J65" s="151" t="str">
        <x:f>IFERROR(VLOOKUP(F65,'Base Sectores'!$A$5:$J$47,5,FALSE),"")</x:f>
      </x:c>
      <x:c r="K65" s="151" t="str">
        <x:f>IFERROR(VLOOKUP(F65,'Base Sectores'!$A$5:$J$47,6,FALSE),"")</x:f>
      </x:c>
      <x:c r="L65" s="151" t="str">
        <x:f>IFERROR(VLOOKUP(F65,'Base Sectores'!$A$5:$J$47,7,FALSE),"")</x:f>
      </x:c>
      <x:c r="M65" s="151" t="str">
        <x:f>IFERROR(VLOOKUP(F65,'Base Sectores'!$A$5:$J$47,9,FALSE),"")</x:f>
      </x:c>
      <x:c r="N65" s="154"/>
      <x:c r="O65" s="151" t="str">
        <x:f>IFERROR(VLOOKUP(N65,'Configuracion'!$D$4:$H$15,2,FALSE),"")</x:f>
      </x:c>
      <x:c r="P65" s="151" t="str">
        <x:f>IFERROR(VLOOKUP(N65,'Configuracion'!$D$4:$H$15,3,FALSE),"")</x:f>
      </x:c>
      <x:c r="Q65" s="155"/>
      <x:c r="R65" s="156" t="str">
        <x:f>IFERROR(VLOOKUP(N65,'Configuracion'!$D$4:$H$15,4,FALSE),"")</x:f>
      </x:c>
      <x:c r="S65" s="153"/>
      <x:c r="T65" s="153"/>
      <x:c r="U65" s="156" t="str">
        <x:f>IF(OR(S65="",T65=""),"",MOD(T65-S65,1)*24)</x:f>
      </x:c>
      <x:c r="V65" s="154"/>
      <x:c r="W65" s="154"/>
      <x:c r="X65" s="151" t="str">
        <x:f>IFERROR(VLOOKUP(N65,'Configuracion'!$D$4:$H$15,5,FALSE),"")</x:f>
      </x:c>
      <x:c r="Y65" s="151" t="str">
        <x:f>IFERROR(VLOOKUP(V65,'Cuadrillas'!$A$5:$J$14,2,FALSE),"")</x:f>
      </x:c>
      <x:c r="Z65" s="154"/>
      <x:c r="AA65" s="154"/>
      <x:c r="AB65" s="154"/>
      <x:c r="AC65" s="153"/>
      <x:c r="AD65" s="153"/>
      <x:c r="AE65" s="156" t="str">
        <x:f>IF(OR(AC65="",AD65=""),"",MOD(AD65-AC65,1)*24)</x:f>
      </x:c>
      <x:c r="AF65" s="154"/>
      <x:c r="AG65" s="156" t="str">
        <x:f>IF(AE65="","",MAX(0,AE65-IF(AF65="",0,AF65/60)))</x:f>
      </x:c>
      <x:c r="AH65" s="155"/>
      <x:c r="AI65" s="154"/>
      <x:c r="AJ65" s="154"/>
      <x:c r="AK65" s="156" t="n">
        <x:f>IFERROR(U65*W65,"")</x:f>
        <x:v>0</x:v>
      </x:c>
      <x:c r="AL65" s="156" t="n">
        <x:f>IFERROR(AE65*AI65,"")</x:f>
        <x:v>0</x:v>
      </x:c>
      <x:c r="AM65" s="157" t="str">
        <x:f>IFERROR(AH65/Q65,"")</x:f>
      </x:c>
      <x:c r="AN65" s="156" t="str">
        <x:f>IFERROR(AH65/AG65,"")</x:f>
      </x:c>
      <x:c r="AO65" s="156" t="str">
        <x:f>IFERROR(AL65/AH65,"")</x:f>
      </x:c>
      <x:c r="AP65" s="157" t="str">
        <x:f>IFERROR(AG65/AE65,"")</x:f>
      </x:c>
      <x:c r="AQ65" s="157" t="str">
        <x:f>IFERROR(AN65/(R65/'Configuracion'!$B$13),"")</x:f>
      </x:c>
      <x:c r="AR65" s="156" t="n">
        <x:f>IFERROR(AE65-U65,"")</x:f>
        <x:v>0</x:v>
      </x:c>
      <x:c r="AS65" s="154"/>
      <x:c r="AT65" s="154"/>
      <x:c r="AU65" s="154"/>
      <x:c r="AV65" s="154"/>
      <x:c r="AW65" s="152"/>
      <x:c r="AX65" s="154"/>
      <x:c r="AY65" s="154"/>
      <x:c r="AZ65" s="151"/>
      <x:c r="BA65" s="151"/>
    </x:row>
    <x:row r="66">
      <x:c r="A66" s="151" t="str">
        <x:f>IF(B66="","",TEXT(B66,"yyyymmdd")&amp;"-"&amp;TEXT(COUNTIF($B$5:B66,B66),"000"))</x:f>
      </x:c>
      <x:c r="B66" s="152"/>
      <x:c r="C66" s="153"/>
      <x:c r="D66" s="151" t="str">
        <x:f>IF(B66="","",'Configuracion'!$B$4)</x:f>
      </x:c>
      <x:c r="E66" s="154"/>
      <x:c r="F66" s="154"/>
      <x:c r="G66" s="151" t="str">
        <x:f>IFERROR(VLOOKUP(F66,'Base Sectores'!$A$5:$J$47,2,FALSE),"")</x:f>
      </x:c>
      <x:c r="H66" s="151" t="str">
        <x:f>IFERROR(VLOOKUP(F66,'Base Sectores'!$A$5:$J$47,3,FALSE),"")</x:f>
      </x:c>
      <x:c r="I66" s="151" t="str">
        <x:f>IFERROR(VLOOKUP(F66,'Base Sectores'!$A$5:$J$47,4,FALSE),"")</x:f>
      </x:c>
      <x:c r="J66" s="151" t="str">
        <x:f>IFERROR(VLOOKUP(F66,'Base Sectores'!$A$5:$J$47,5,FALSE),"")</x:f>
      </x:c>
      <x:c r="K66" s="151" t="str">
        <x:f>IFERROR(VLOOKUP(F66,'Base Sectores'!$A$5:$J$47,6,FALSE),"")</x:f>
      </x:c>
      <x:c r="L66" s="151" t="str">
        <x:f>IFERROR(VLOOKUP(F66,'Base Sectores'!$A$5:$J$47,7,FALSE),"")</x:f>
      </x:c>
      <x:c r="M66" s="151" t="str">
        <x:f>IFERROR(VLOOKUP(F66,'Base Sectores'!$A$5:$J$47,9,FALSE),"")</x:f>
      </x:c>
      <x:c r="N66" s="154"/>
      <x:c r="O66" s="151" t="str">
        <x:f>IFERROR(VLOOKUP(N66,'Configuracion'!$D$4:$H$15,2,FALSE),"")</x:f>
      </x:c>
      <x:c r="P66" s="151" t="str">
        <x:f>IFERROR(VLOOKUP(N66,'Configuracion'!$D$4:$H$15,3,FALSE),"")</x:f>
      </x:c>
      <x:c r="Q66" s="155"/>
      <x:c r="R66" s="156" t="str">
        <x:f>IFERROR(VLOOKUP(N66,'Configuracion'!$D$4:$H$15,4,FALSE),"")</x:f>
      </x:c>
      <x:c r="S66" s="153"/>
      <x:c r="T66" s="153"/>
      <x:c r="U66" s="156" t="str">
        <x:f>IF(OR(S66="",T66=""),"",MOD(T66-S66,1)*24)</x:f>
      </x:c>
      <x:c r="V66" s="154"/>
      <x:c r="W66" s="154"/>
      <x:c r="X66" s="151" t="str">
        <x:f>IFERROR(VLOOKUP(N66,'Configuracion'!$D$4:$H$15,5,FALSE),"")</x:f>
      </x:c>
      <x:c r="Y66" s="151" t="str">
        <x:f>IFERROR(VLOOKUP(V66,'Cuadrillas'!$A$5:$J$14,2,FALSE),"")</x:f>
      </x:c>
      <x:c r="Z66" s="154"/>
      <x:c r="AA66" s="154"/>
      <x:c r="AB66" s="154"/>
      <x:c r="AC66" s="153"/>
      <x:c r="AD66" s="153"/>
      <x:c r="AE66" s="156" t="str">
        <x:f>IF(OR(AC66="",AD66=""),"",MOD(AD66-AC66,1)*24)</x:f>
      </x:c>
      <x:c r="AF66" s="154"/>
      <x:c r="AG66" s="156" t="str">
        <x:f>IF(AE66="","",MAX(0,AE66-IF(AF66="",0,AF66/60)))</x:f>
      </x:c>
      <x:c r="AH66" s="155"/>
      <x:c r="AI66" s="154"/>
      <x:c r="AJ66" s="154"/>
      <x:c r="AK66" s="156" t="n">
        <x:f>IFERROR(U66*W66,"")</x:f>
        <x:v>0</x:v>
      </x:c>
      <x:c r="AL66" s="156" t="n">
        <x:f>IFERROR(AE66*AI66,"")</x:f>
        <x:v>0</x:v>
      </x:c>
      <x:c r="AM66" s="157" t="str">
        <x:f>IFERROR(AH66/Q66,"")</x:f>
      </x:c>
      <x:c r="AN66" s="156" t="str">
        <x:f>IFERROR(AH66/AG66,"")</x:f>
      </x:c>
      <x:c r="AO66" s="156" t="str">
        <x:f>IFERROR(AL66/AH66,"")</x:f>
      </x:c>
      <x:c r="AP66" s="157" t="str">
        <x:f>IFERROR(AG66/AE66,"")</x:f>
      </x:c>
      <x:c r="AQ66" s="157" t="str">
        <x:f>IFERROR(AN66/(R66/'Configuracion'!$B$13),"")</x:f>
      </x:c>
      <x:c r="AR66" s="156" t="n">
        <x:f>IFERROR(AE66-U66,"")</x:f>
        <x:v>0</x:v>
      </x:c>
      <x:c r="AS66" s="154"/>
      <x:c r="AT66" s="154"/>
      <x:c r="AU66" s="154"/>
      <x:c r="AV66" s="154"/>
      <x:c r="AW66" s="152"/>
      <x:c r="AX66" s="154"/>
      <x:c r="AY66" s="154"/>
      <x:c r="AZ66" s="151"/>
      <x:c r="BA66" s="151"/>
    </x:row>
    <x:row r="67">
      <x:c r="A67" s="151" t="str">
        <x:f>IF(B67="","",TEXT(B67,"yyyymmdd")&amp;"-"&amp;TEXT(COUNTIF($B$5:B67,B67),"000"))</x:f>
      </x:c>
      <x:c r="B67" s="152"/>
      <x:c r="C67" s="153"/>
      <x:c r="D67" s="151" t="str">
        <x:f>IF(B67="","",'Configuracion'!$B$4)</x:f>
      </x:c>
      <x:c r="E67" s="154"/>
      <x:c r="F67" s="154"/>
      <x:c r="G67" s="151" t="str">
        <x:f>IFERROR(VLOOKUP(F67,'Base Sectores'!$A$5:$J$47,2,FALSE),"")</x:f>
      </x:c>
      <x:c r="H67" s="151" t="str">
        <x:f>IFERROR(VLOOKUP(F67,'Base Sectores'!$A$5:$J$47,3,FALSE),"")</x:f>
      </x:c>
      <x:c r="I67" s="151" t="str">
        <x:f>IFERROR(VLOOKUP(F67,'Base Sectores'!$A$5:$J$47,4,FALSE),"")</x:f>
      </x:c>
      <x:c r="J67" s="151" t="str">
        <x:f>IFERROR(VLOOKUP(F67,'Base Sectores'!$A$5:$J$47,5,FALSE),"")</x:f>
      </x:c>
      <x:c r="K67" s="151" t="str">
        <x:f>IFERROR(VLOOKUP(F67,'Base Sectores'!$A$5:$J$47,6,FALSE),"")</x:f>
      </x:c>
      <x:c r="L67" s="151" t="str">
        <x:f>IFERROR(VLOOKUP(F67,'Base Sectores'!$A$5:$J$47,7,FALSE),"")</x:f>
      </x:c>
      <x:c r="M67" s="151" t="str">
        <x:f>IFERROR(VLOOKUP(F67,'Base Sectores'!$A$5:$J$47,9,FALSE),"")</x:f>
      </x:c>
      <x:c r="N67" s="154"/>
      <x:c r="O67" s="151" t="str">
        <x:f>IFERROR(VLOOKUP(N67,'Configuracion'!$D$4:$H$15,2,FALSE),"")</x:f>
      </x:c>
      <x:c r="P67" s="151" t="str">
        <x:f>IFERROR(VLOOKUP(N67,'Configuracion'!$D$4:$H$15,3,FALSE),"")</x:f>
      </x:c>
      <x:c r="Q67" s="155"/>
      <x:c r="R67" s="156" t="str">
        <x:f>IFERROR(VLOOKUP(N67,'Configuracion'!$D$4:$H$15,4,FALSE),"")</x:f>
      </x:c>
      <x:c r="S67" s="153"/>
      <x:c r="T67" s="153"/>
      <x:c r="U67" s="156" t="str">
        <x:f>IF(OR(S67="",T67=""),"",MOD(T67-S67,1)*24)</x:f>
      </x:c>
      <x:c r="V67" s="154"/>
      <x:c r="W67" s="154"/>
      <x:c r="X67" s="151" t="str">
        <x:f>IFERROR(VLOOKUP(N67,'Configuracion'!$D$4:$H$15,5,FALSE),"")</x:f>
      </x:c>
      <x:c r="Y67" s="151" t="str">
        <x:f>IFERROR(VLOOKUP(V67,'Cuadrillas'!$A$5:$J$14,2,FALSE),"")</x:f>
      </x:c>
      <x:c r="Z67" s="154"/>
      <x:c r="AA67" s="154"/>
      <x:c r="AB67" s="154"/>
      <x:c r="AC67" s="153"/>
      <x:c r="AD67" s="153"/>
      <x:c r="AE67" s="156" t="str">
        <x:f>IF(OR(AC67="",AD67=""),"",MOD(AD67-AC67,1)*24)</x:f>
      </x:c>
      <x:c r="AF67" s="154"/>
      <x:c r="AG67" s="156" t="str">
        <x:f>IF(AE67="","",MAX(0,AE67-IF(AF67="",0,AF67/60)))</x:f>
      </x:c>
      <x:c r="AH67" s="155"/>
      <x:c r="AI67" s="154"/>
      <x:c r="AJ67" s="154"/>
      <x:c r="AK67" s="156" t="n">
        <x:f>IFERROR(U67*W67,"")</x:f>
        <x:v>0</x:v>
      </x:c>
      <x:c r="AL67" s="156" t="n">
        <x:f>IFERROR(AE67*AI67,"")</x:f>
        <x:v>0</x:v>
      </x:c>
      <x:c r="AM67" s="157" t="str">
        <x:f>IFERROR(AH67/Q67,"")</x:f>
      </x:c>
      <x:c r="AN67" s="156" t="str">
        <x:f>IFERROR(AH67/AG67,"")</x:f>
      </x:c>
      <x:c r="AO67" s="156" t="str">
        <x:f>IFERROR(AL67/AH67,"")</x:f>
      </x:c>
      <x:c r="AP67" s="157" t="str">
        <x:f>IFERROR(AG67/AE67,"")</x:f>
      </x:c>
      <x:c r="AQ67" s="157" t="str">
        <x:f>IFERROR(AN67/(R67/'Configuracion'!$B$13),"")</x:f>
      </x:c>
      <x:c r="AR67" s="156" t="n">
        <x:f>IFERROR(AE67-U67,"")</x:f>
        <x:v>0</x:v>
      </x:c>
      <x:c r="AS67" s="154"/>
      <x:c r="AT67" s="154"/>
      <x:c r="AU67" s="154"/>
      <x:c r="AV67" s="154"/>
      <x:c r="AW67" s="152"/>
      <x:c r="AX67" s="154"/>
      <x:c r="AY67" s="154"/>
      <x:c r="AZ67" s="151"/>
      <x:c r="BA67" s="151"/>
    </x:row>
    <x:row r="68">
      <x:c r="A68" s="151" t="str">
        <x:f>IF(B68="","",TEXT(B68,"yyyymmdd")&amp;"-"&amp;TEXT(COUNTIF($B$5:B68,B68),"000"))</x:f>
      </x:c>
      <x:c r="B68" s="152"/>
      <x:c r="C68" s="153"/>
      <x:c r="D68" s="151" t="str">
        <x:f>IF(B68="","",'Configuracion'!$B$4)</x:f>
      </x:c>
      <x:c r="E68" s="154"/>
      <x:c r="F68" s="154"/>
      <x:c r="G68" s="151" t="str">
        <x:f>IFERROR(VLOOKUP(F68,'Base Sectores'!$A$5:$J$47,2,FALSE),"")</x:f>
      </x:c>
      <x:c r="H68" s="151" t="str">
        <x:f>IFERROR(VLOOKUP(F68,'Base Sectores'!$A$5:$J$47,3,FALSE),"")</x:f>
      </x:c>
      <x:c r="I68" s="151" t="str">
        <x:f>IFERROR(VLOOKUP(F68,'Base Sectores'!$A$5:$J$47,4,FALSE),"")</x:f>
      </x:c>
      <x:c r="J68" s="151" t="str">
        <x:f>IFERROR(VLOOKUP(F68,'Base Sectores'!$A$5:$J$47,5,FALSE),"")</x:f>
      </x:c>
      <x:c r="K68" s="151" t="str">
        <x:f>IFERROR(VLOOKUP(F68,'Base Sectores'!$A$5:$J$47,6,FALSE),"")</x:f>
      </x:c>
      <x:c r="L68" s="151" t="str">
        <x:f>IFERROR(VLOOKUP(F68,'Base Sectores'!$A$5:$J$47,7,FALSE),"")</x:f>
      </x:c>
      <x:c r="M68" s="151" t="str">
        <x:f>IFERROR(VLOOKUP(F68,'Base Sectores'!$A$5:$J$47,9,FALSE),"")</x:f>
      </x:c>
      <x:c r="N68" s="154"/>
      <x:c r="O68" s="151" t="str">
        <x:f>IFERROR(VLOOKUP(N68,'Configuracion'!$D$4:$H$15,2,FALSE),"")</x:f>
      </x:c>
      <x:c r="P68" s="151" t="str">
        <x:f>IFERROR(VLOOKUP(N68,'Configuracion'!$D$4:$H$15,3,FALSE),"")</x:f>
      </x:c>
      <x:c r="Q68" s="155"/>
      <x:c r="R68" s="156" t="str">
        <x:f>IFERROR(VLOOKUP(N68,'Configuracion'!$D$4:$H$15,4,FALSE),"")</x:f>
      </x:c>
      <x:c r="S68" s="153"/>
      <x:c r="T68" s="153"/>
      <x:c r="U68" s="156" t="str">
        <x:f>IF(OR(S68="",T68=""),"",MOD(T68-S68,1)*24)</x:f>
      </x:c>
      <x:c r="V68" s="154"/>
      <x:c r="W68" s="154"/>
      <x:c r="X68" s="151" t="str">
        <x:f>IFERROR(VLOOKUP(N68,'Configuracion'!$D$4:$H$15,5,FALSE),"")</x:f>
      </x:c>
      <x:c r="Y68" s="151" t="str">
        <x:f>IFERROR(VLOOKUP(V68,'Cuadrillas'!$A$5:$J$14,2,FALSE),"")</x:f>
      </x:c>
      <x:c r="Z68" s="154"/>
      <x:c r="AA68" s="154"/>
      <x:c r="AB68" s="154"/>
      <x:c r="AC68" s="153"/>
      <x:c r="AD68" s="153"/>
      <x:c r="AE68" s="156" t="str">
        <x:f>IF(OR(AC68="",AD68=""),"",MOD(AD68-AC68,1)*24)</x:f>
      </x:c>
      <x:c r="AF68" s="154"/>
      <x:c r="AG68" s="156" t="str">
        <x:f>IF(AE68="","",MAX(0,AE68-IF(AF68="",0,AF68/60)))</x:f>
      </x:c>
      <x:c r="AH68" s="155"/>
      <x:c r="AI68" s="154"/>
      <x:c r="AJ68" s="154"/>
      <x:c r="AK68" s="156" t="n">
        <x:f>IFERROR(U68*W68,"")</x:f>
        <x:v>0</x:v>
      </x:c>
      <x:c r="AL68" s="156" t="n">
        <x:f>IFERROR(AE68*AI68,"")</x:f>
        <x:v>0</x:v>
      </x:c>
      <x:c r="AM68" s="157" t="str">
        <x:f>IFERROR(AH68/Q68,"")</x:f>
      </x:c>
      <x:c r="AN68" s="156" t="str">
        <x:f>IFERROR(AH68/AG68,"")</x:f>
      </x:c>
      <x:c r="AO68" s="156" t="str">
        <x:f>IFERROR(AL68/AH68,"")</x:f>
      </x:c>
      <x:c r="AP68" s="157" t="str">
        <x:f>IFERROR(AG68/AE68,"")</x:f>
      </x:c>
      <x:c r="AQ68" s="157" t="str">
        <x:f>IFERROR(AN68/(R68/'Configuracion'!$B$13),"")</x:f>
      </x:c>
      <x:c r="AR68" s="156" t="n">
        <x:f>IFERROR(AE68-U68,"")</x:f>
        <x:v>0</x:v>
      </x:c>
      <x:c r="AS68" s="154"/>
      <x:c r="AT68" s="154"/>
      <x:c r="AU68" s="154"/>
      <x:c r="AV68" s="154"/>
      <x:c r="AW68" s="152"/>
      <x:c r="AX68" s="154"/>
      <x:c r="AY68" s="154"/>
      <x:c r="AZ68" s="151"/>
      <x:c r="BA68" s="151"/>
    </x:row>
    <x:row r="69">
      <x:c r="A69" s="151" t="str">
        <x:f>IF(B69="","",TEXT(B69,"yyyymmdd")&amp;"-"&amp;TEXT(COUNTIF($B$5:B69,B69),"000"))</x:f>
      </x:c>
      <x:c r="B69" s="152"/>
      <x:c r="C69" s="153"/>
      <x:c r="D69" s="151" t="str">
        <x:f>IF(B69="","",'Configuracion'!$B$4)</x:f>
      </x:c>
      <x:c r="E69" s="154"/>
      <x:c r="F69" s="154"/>
      <x:c r="G69" s="151" t="str">
        <x:f>IFERROR(VLOOKUP(F69,'Base Sectores'!$A$5:$J$47,2,FALSE),"")</x:f>
      </x:c>
      <x:c r="H69" s="151" t="str">
        <x:f>IFERROR(VLOOKUP(F69,'Base Sectores'!$A$5:$J$47,3,FALSE),"")</x:f>
      </x:c>
      <x:c r="I69" s="151" t="str">
        <x:f>IFERROR(VLOOKUP(F69,'Base Sectores'!$A$5:$J$47,4,FALSE),"")</x:f>
      </x:c>
      <x:c r="J69" s="151" t="str">
        <x:f>IFERROR(VLOOKUP(F69,'Base Sectores'!$A$5:$J$47,5,FALSE),"")</x:f>
      </x:c>
      <x:c r="K69" s="151" t="str">
        <x:f>IFERROR(VLOOKUP(F69,'Base Sectores'!$A$5:$J$47,6,FALSE),"")</x:f>
      </x:c>
      <x:c r="L69" s="151" t="str">
        <x:f>IFERROR(VLOOKUP(F69,'Base Sectores'!$A$5:$J$47,7,FALSE),"")</x:f>
      </x:c>
      <x:c r="M69" s="151" t="str">
        <x:f>IFERROR(VLOOKUP(F69,'Base Sectores'!$A$5:$J$47,9,FALSE),"")</x:f>
      </x:c>
      <x:c r="N69" s="154"/>
      <x:c r="O69" s="151" t="str">
        <x:f>IFERROR(VLOOKUP(N69,'Configuracion'!$D$4:$H$15,2,FALSE),"")</x:f>
      </x:c>
      <x:c r="P69" s="151" t="str">
        <x:f>IFERROR(VLOOKUP(N69,'Configuracion'!$D$4:$H$15,3,FALSE),"")</x:f>
      </x:c>
      <x:c r="Q69" s="155"/>
      <x:c r="R69" s="156" t="str">
        <x:f>IFERROR(VLOOKUP(N69,'Configuracion'!$D$4:$H$15,4,FALSE),"")</x:f>
      </x:c>
      <x:c r="S69" s="153"/>
      <x:c r="T69" s="153"/>
      <x:c r="U69" s="156" t="str">
        <x:f>IF(OR(S69="",T69=""),"",MOD(T69-S69,1)*24)</x:f>
      </x:c>
      <x:c r="V69" s="154"/>
      <x:c r="W69" s="154"/>
      <x:c r="X69" s="151" t="str">
        <x:f>IFERROR(VLOOKUP(N69,'Configuracion'!$D$4:$H$15,5,FALSE),"")</x:f>
      </x:c>
      <x:c r="Y69" s="151" t="str">
        <x:f>IFERROR(VLOOKUP(V69,'Cuadrillas'!$A$5:$J$14,2,FALSE),"")</x:f>
      </x:c>
      <x:c r="Z69" s="154"/>
      <x:c r="AA69" s="154"/>
      <x:c r="AB69" s="154"/>
      <x:c r="AC69" s="153"/>
      <x:c r="AD69" s="153"/>
      <x:c r="AE69" s="156" t="str">
        <x:f>IF(OR(AC69="",AD69=""),"",MOD(AD69-AC69,1)*24)</x:f>
      </x:c>
      <x:c r="AF69" s="154"/>
      <x:c r="AG69" s="156" t="str">
        <x:f>IF(AE69="","",MAX(0,AE69-IF(AF69="",0,AF69/60)))</x:f>
      </x:c>
      <x:c r="AH69" s="155"/>
      <x:c r="AI69" s="154"/>
      <x:c r="AJ69" s="154"/>
      <x:c r="AK69" s="156" t="n">
        <x:f>IFERROR(U69*W69,"")</x:f>
        <x:v>0</x:v>
      </x:c>
      <x:c r="AL69" s="156" t="n">
        <x:f>IFERROR(AE69*AI69,"")</x:f>
        <x:v>0</x:v>
      </x:c>
      <x:c r="AM69" s="157" t="str">
        <x:f>IFERROR(AH69/Q69,"")</x:f>
      </x:c>
      <x:c r="AN69" s="156" t="str">
        <x:f>IFERROR(AH69/AG69,"")</x:f>
      </x:c>
      <x:c r="AO69" s="156" t="str">
        <x:f>IFERROR(AL69/AH69,"")</x:f>
      </x:c>
      <x:c r="AP69" s="157" t="str">
        <x:f>IFERROR(AG69/AE69,"")</x:f>
      </x:c>
      <x:c r="AQ69" s="157" t="str">
        <x:f>IFERROR(AN69/(R69/'Configuracion'!$B$13),"")</x:f>
      </x:c>
      <x:c r="AR69" s="156" t="n">
        <x:f>IFERROR(AE69-U69,"")</x:f>
        <x:v>0</x:v>
      </x:c>
      <x:c r="AS69" s="154"/>
      <x:c r="AT69" s="154"/>
      <x:c r="AU69" s="154"/>
      <x:c r="AV69" s="154"/>
      <x:c r="AW69" s="152"/>
      <x:c r="AX69" s="154"/>
      <x:c r="AY69" s="154"/>
      <x:c r="AZ69" s="151"/>
      <x:c r="BA69" s="151"/>
    </x:row>
    <x:row r="70">
      <x:c r="A70" s="151" t="str">
        <x:f>IF(B70="","",TEXT(B70,"yyyymmdd")&amp;"-"&amp;TEXT(COUNTIF($B$5:B70,B70),"000"))</x:f>
      </x:c>
      <x:c r="B70" s="152"/>
      <x:c r="C70" s="153"/>
      <x:c r="D70" s="151" t="str">
        <x:f>IF(B70="","",'Configuracion'!$B$4)</x:f>
      </x:c>
      <x:c r="E70" s="154"/>
      <x:c r="F70" s="154"/>
      <x:c r="G70" s="151" t="str">
        <x:f>IFERROR(VLOOKUP(F70,'Base Sectores'!$A$5:$J$47,2,FALSE),"")</x:f>
      </x:c>
      <x:c r="H70" s="151" t="str">
        <x:f>IFERROR(VLOOKUP(F70,'Base Sectores'!$A$5:$J$47,3,FALSE),"")</x:f>
      </x:c>
      <x:c r="I70" s="151" t="str">
        <x:f>IFERROR(VLOOKUP(F70,'Base Sectores'!$A$5:$J$47,4,FALSE),"")</x:f>
      </x:c>
      <x:c r="J70" s="151" t="str">
        <x:f>IFERROR(VLOOKUP(F70,'Base Sectores'!$A$5:$J$47,5,FALSE),"")</x:f>
      </x:c>
      <x:c r="K70" s="151" t="str">
        <x:f>IFERROR(VLOOKUP(F70,'Base Sectores'!$A$5:$J$47,6,FALSE),"")</x:f>
      </x:c>
      <x:c r="L70" s="151" t="str">
        <x:f>IFERROR(VLOOKUP(F70,'Base Sectores'!$A$5:$J$47,7,FALSE),"")</x:f>
      </x:c>
      <x:c r="M70" s="151" t="str">
        <x:f>IFERROR(VLOOKUP(F70,'Base Sectores'!$A$5:$J$47,9,FALSE),"")</x:f>
      </x:c>
      <x:c r="N70" s="154"/>
      <x:c r="O70" s="151" t="str">
        <x:f>IFERROR(VLOOKUP(N70,'Configuracion'!$D$4:$H$15,2,FALSE),"")</x:f>
      </x:c>
      <x:c r="P70" s="151" t="str">
        <x:f>IFERROR(VLOOKUP(N70,'Configuracion'!$D$4:$H$15,3,FALSE),"")</x:f>
      </x:c>
      <x:c r="Q70" s="155"/>
      <x:c r="R70" s="156" t="str">
        <x:f>IFERROR(VLOOKUP(N70,'Configuracion'!$D$4:$H$15,4,FALSE),"")</x:f>
      </x:c>
      <x:c r="S70" s="153"/>
      <x:c r="T70" s="153"/>
      <x:c r="U70" s="156" t="str">
        <x:f>IF(OR(S70="",T70=""),"",MOD(T70-S70,1)*24)</x:f>
      </x:c>
      <x:c r="V70" s="154"/>
      <x:c r="W70" s="154"/>
      <x:c r="X70" s="151" t="str">
        <x:f>IFERROR(VLOOKUP(N70,'Configuracion'!$D$4:$H$15,5,FALSE),"")</x:f>
      </x:c>
      <x:c r="Y70" s="151" t="str">
        <x:f>IFERROR(VLOOKUP(V70,'Cuadrillas'!$A$5:$J$14,2,FALSE),"")</x:f>
      </x:c>
      <x:c r="Z70" s="154"/>
      <x:c r="AA70" s="154"/>
      <x:c r="AB70" s="154"/>
      <x:c r="AC70" s="153"/>
      <x:c r="AD70" s="153"/>
      <x:c r="AE70" s="156" t="str">
        <x:f>IF(OR(AC70="",AD70=""),"",MOD(AD70-AC70,1)*24)</x:f>
      </x:c>
      <x:c r="AF70" s="154"/>
      <x:c r="AG70" s="156" t="str">
        <x:f>IF(AE70="","",MAX(0,AE70-IF(AF70="",0,AF70/60)))</x:f>
      </x:c>
      <x:c r="AH70" s="155"/>
      <x:c r="AI70" s="154"/>
      <x:c r="AJ70" s="154"/>
      <x:c r="AK70" s="156" t="n">
        <x:f>IFERROR(U70*W70,"")</x:f>
        <x:v>0</x:v>
      </x:c>
      <x:c r="AL70" s="156" t="n">
        <x:f>IFERROR(AE70*AI70,"")</x:f>
        <x:v>0</x:v>
      </x:c>
      <x:c r="AM70" s="157" t="str">
        <x:f>IFERROR(AH70/Q70,"")</x:f>
      </x:c>
      <x:c r="AN70" s="156" t="str">
        <x:f>IFERROR(AH70/AG70,"")</x:f>
      </x:c>
      <x:c r="AO70" s="156" t="str">
        <x:f>IFERROR(AL70/AH70,"")</x:f>
      </x:c>
      <x:c r="AP70" s="157" t="str">
        <x:f>IFERROR(AG70/AE70,"")</x:f>
      </x:c>
      <x:c r="AQ70" s="157" t="str">
        <x:f>IFERROR(AN70/(R70/'Configuracion'!$B$13),"")</x:f>
      </x:c>
      <x:c r="AR70" s="156" t="n">
        <x:f>IFERROR(AE70-U70,"")</x:f>
        <x:v>0</x:v>
      </x:c>
      <x:c r="AS70" s="154"/>
      <x:c r="AT70" s="154"/>
      <x:c r="AU70" s="154"/>
      <x:c r="AV70" s="154"/>
      <x:c r="AW70" s="152"/>
      <x:c r="AX70" s="154"/>
      <x:c r="AY70" s="154"/>
      <x:c r="AZ70" s="151"/>
      <x:c r="BA70" s="151"/>
    </x:row>
    <x:row r="71">
      <x:c r="A71" s="151" t="str">
        <x:f>IF(B71="","",TEXT(B71,"yyyymmdd")&amp;"-"&amp;TEXT(COUNTIF($B$5:B71,B71),"000"))</x:f>
      </x:c>
      <x:c r="B71" s="152"/>
      <x:c r="C71" s="153"/>
      <x:c r="D71" s="151" t="str">
        <x:f>IF(B71="","",'Configuracion'!$B$4)</x:f>
      </x:c>
      <x:c r="E71" s="154"/>
      <x:c r="F71" s="154"/>
      <x:c r="G71" s="151" t="str">
        <x:f>IFERROR(VLOOKUP(F71,'Base Sectores'!$A$5:$J$47,2,FALSE),"")</x:f>
      </x:c>
      <x:c r="H71" s="151" t="str">
        <x:f>IFERROR(VLOOKUP(F71,'Base Sectores'!$A$5:$J$47,3,FALSE),"")</x:f>
      </x:c>
      <x:c r="I71" s="151" t="str">
        <x:f>IFERROR(VLOOKUP(F71,'Base Sectores'!$A$5:$J$47,4,FALSE),"")</x:f>
      </x:c>
      <x:c r="J71" s="151" t="str">
        <x:f>IFERROR(VLOOKUP(F71,'Base Sectores'!$A$5:$J$47,5,FALSE),"")</x:f>
      </x:c>
      <x:c r="K71" s="151" t="str">
        <x:f>IFERROR(VLOOKUP(F71,'Base Sectores'!$A$5:$J$47,6,FALSE),"")</x:f>
      </x:c>
      <x:c r="L71" s="151" t="str">
        <x:f>IFERROR(VLOOKUP(F71,'Base Sectores'!$A$5:$J$47,7,FALSE),"")</x:f>
      </x:c>
      <x:c r="M71" s="151" t="str">
        <x:f>IFERROR(VLOOKUP(F71,'Base Sectores'!$A$5:$J$47,9,FALSE),"")</x:f>
      </x:c>
      <x:c r="N71" s="154"/>
      <x:c r="O71" s="151" t="str">
        <x:f>IFERROR(VLOOKUP(N71,'Configuracion'!$D$4:$H$15,2,FALSE),"")</x:f>
      </x:c>
      <x:c r="P71" s="151" t="str">
        <x:f>IFERROR(VLOOKUP(N71,'Configuracion'!$D$4:$H$15,3,FALSE),"")</x:f>
      </x:c>
      <x:c r="Q71" s="155"/>
      <x:c r="R71" s="156" t="str">
        <x:f>IFERROR(VLOOKUP(N71,'Configuracion'!$D$4:$H$15,4,FALSE),"")</x:f>
      </x:c>
      <x:c r="S71" s="153"/>
      <x:c r="T71" s="153"/>
      <x:c r="U71" s="156" t="str">
        <x:f>IF(OR(S71="",T71=""),"",MOD(T71-S71,1)*24)</x:f>
      </x:c>
      <x:c r="V71" s="154"/>
      <x:c r="W71" s="154"/>
      <x:c r="X71" s="151" t="str">
        <x:f>IFERROR(VLOOKUP(N71,'Configuracion'!$D$4:$H$15,5,FALSE),"")</x:f>
      </x:c>
      <x:c r="Y71" s="151" t="str">
        <x:f>IFERROR(VLOOKUP(V71,'Cuadrillas'!$A$5:$J$14,2,FALSE),"")</x:f>
      </x:c>
      <x:c r="Z71" s="154"/>
      <x:c r="AA71" s="154"/>
      <x:c r="AB71" s="154"/>
      <x:c r="AC71" s="153"/>
      <x:c r="AD71" s="153"/>
      <x:c r="AE71" s="156" t="str">
        <x:f>IF(OR(AC71="",AD71=""),"",MOD(AD71-AC71,1)*24)</x:f>
      </x:c>
      <x:c r="AF71" s="154"/>
      <x:c r="AG71" s="156" t="str">
        <x:f>IF(AE71="","",MAX(0,AE71-IF(AF71="",0,AF71/60)))</x:f>
      </x:c>
      <x:c r="AH71" s="155"/>
      <x:c r="AI71" s="154"/>
      <x:c r="AJ71" s="154"/>
      <x:c r="AK71" s="156" t="n">
        <x:f>IFERROR(U71*W71,"")</x:f>
        <x:v>0</x:v>
      </x:c>
      <x:c r="AL71" s="156" t="n">
        <x:f>IFERROR(AE71*AI71,"")</x:f>
        <x:v>0</x:v>
      </x:c>
      <x:c r="AM71" s="157" t="str">
        <x:f>IFERROR(AH71/Q71,"")</x:f>
      </x:c>
      <x:c r="AN71" s="156" t="str">
        <x:f>IFERROR(AH71/AG71,"")</x:f>
      </x:c>
      <x:c r="AO71" s="156" t="str">
        <x:f>IFERROR(AL71/AH71,"")</x:f>
      </x:c>
      <x:c r="AP71" s="157" t="str">
        <x:f>IFERROR(AG71/AE71,"")</x:f>
      </x:c>
      <x:c r="AQ71" s="157" t="str">
        <x:f>IFERROR(AN71/(R71/'Configuracion'!$B$13),"")</x:f>
      </x:c>
      <x:c r="AR71" s="156" t="n">
        <x:f>IFERROR(AE71-U71,"")</x:f>
        <x:v>0</x:v>
      </x:c>
      <x:c r="AS71" s="154"/>
      <x:c r="AT71" s="154"/>
      <x:c r="AU71" s="154"/>
      <x:c r="AV71" s="154"/>
      <x:c r="AW71" s="152"/>
      <x:c r="AX71" s="154"/>
      <x:c r="AY71" s="154"/>
      <x:c r="AZ71" s="151"/>
      <x:c r="BA71" s="151"/>
    </x:row>
    <x:row r="72">
      <x:c r="A72" s="151" t="str">
        <x:f>IF(B72="","",TEXT(B72,"yyyymmdd")&amp;"-"&amp;TEXT(COUNTIF($B$5:B72,B72),"000"))</x:f>
      </x:c>
      <x:c r="B72" s="152"/>
      <x:c r="C72" s="153"/>
      <x:c r="D72" s="151" t="str">
        <x:f>IF(B72="","",'Configuracion'!$B$4)</x:f>
      </x:c>
      <x:c r="E72" s="154"/>
      <x:c r="F72" s="154"/>
      <x:c r="G72" s="151" t="str">
        <x:f>IFERROR(VLOOKUP(F72,'Base Sectores'!$A$5:$J$47,2,FALSE),"")</x:f>
      </x:c>
      <x:c r="H72" s="151" t="str">
        <x:f>IFERROR(VLOOKUP(F72,'Base Sectores'!$A$5:$J$47,3,FALSE),"")</x:f>
      </x:c>
      <x:c r="I72" s="151" t="str">
        <x:f>IFERROR(VLOOKUP(F72,'Base Sectores'!$A$5:$J$47,4,FALSE),"")</x:f>
      </x:c>
      <x:c r="J72" s="151" t="str">
        <x:f>IFERROR(VLOOKUP(F72,'Base Sectores'!$A$5:$J$47,5,FALSE),"")</x:f>
      </x:c>
      <x:c r="K72" s="151" t="str">
        <x:f>IFERROR(VLOOKUP(F72,'Base Sectores'!$A$5:$J$47,6,FALSE),"")</x:f>
      </x:c>
      <x:c r="L72" s="151" t="str">
        <x:f>IFERROR(VLOOKUP(F72,'Base Sectores'!$A$5:$J$47,7,FALSE),"")</x:f>
      </x:c>
      <x:c r="M72" s="151" t="str">
        <x:f>IFERROR(VLOOKUP(F72,'Base Sectores'!$A$5:$J$47,9,FALSE),"")</x:f>
      </x:c>
      <x:c r="N72" s="154"/>
      <x:c r="O72" s="151" t="str">
        <x:f>IFERROR(VLOOKUP(N72,'Configuracion'!$D$4:$H$15,2,FALSE),"")</x:f>
      </x:c>
      <x:c r="P72" s="151" t="str">
        <x:f>IFERROR(VLOOKUP(N72,'Configuracion'!$D$4:$H$15,3,FALSE),"")</x:f>
      </x:c>
      <x:c r="Q72" s="155"/>
      <x:c r="R72" s="156" t="str">
        <x:f>IFERROR(VLOOKUP(N72,'Configuracion'!$D$4:$H$15,4,FALSE),"")</x:f>
      </x:c>
      <x:c r="S72" s="153"/>
      <x:c r="T72" s="153"/>
      <x:c r="U72" s="156" t="str">
        <x:f>IF(OR(S72="",T72=""),"",MOD(T72-S72,1)*24)</x:f>
      </x:c>
      <x:c r="V72" s="154"/>
      <x:c r="W72" s="154"/>
      <x:c r="X72" s="151" t="str">
        <x:f>IFERROR(VLOOKUP(N72,'Configuracion'!$D$4:$H$15,5,FALSE),"")</x:f>
      </x:c>
      <x:c r="Y72" s="151" t="str">
        <x:f>IFERROR(VLOOKUP(V72,'Cuadrillas'!$A$5:$J$14,2,FALSE),"")</x:f>
      </x:c>
      <x:c r="Z72" s="154"/>
      <x:c r="AA72" s="154"/>
      <x:c r="AB72" s="154"/>
      <x:c r="AC72" s="153"/>
      <x:c r="AD72" s="153"/>
      <x:c r="AE72" s="156" t="str">
        <x:f>IF(OR(AC72="",AD72=""),"",MOD(AD72-AC72,1)*24)</x:f>
      </x:c>
      <x:c r="AF72" s="154"/>
      <x:c r="AG72" s="156" t="str">
        <x:f>IF(AE72="","",MAX(0,AE72-IF(AF72="",0,AF72/60)))</x:f>
      </x:c>
      <x:c r="AH72" s="155"/>
      <x:c r="AI72" s="154"/>
      <x:c r="AJ72" s="154"/>
      <x:c r="AK72" s="156" t="n">
        <x:f>IFERROR(U72*W72,"")</x:f>
        <x:v>0</x:v>
      </x:c>
      <x:c r="AL72" s="156" t="n">
        <x:f>IFERROR(AE72*AI72,"")</x:f>
        <x:v>0</x:v>
      </x:c>
      <x:c r="AM72" s="157" t="str">
        <x:f>IFERROR(AH72/Q72,"")</x:f>
      </x:c>
      <x:c r="AN72" s="156" t="str">
        <x:f>IFERROR(AH72/AG72,"")</x:f>
      </x:c>
      <x:c r="AO72" s="156" t="str">
        <x:f>IFERROR(AL72/AH72,"")</x:f>
      </x:c>
      <x:c r="AP72" s="157" t="str">
        <x:f>IFERROR(AG72/AE72,"")</x:f>
      </x:c>
      <x:c r="AQ72" s="157" t="str">
        <x:f>IFERROR(AN72/(R72/'Configuracion'!$B$13),"")</x:f>
      </x:c>
      <x:c r="AR72" s="156" t="n">
        <x:f>IFERROR(AE72-U72,"")</x:f>
        <x:v>0</x:v>
      </x:c>
      <x:c r="AS72" s="154"/>
      <x:c r="AT72" s="154"/>
      <x:c r="AU72" s="154"/>
      <x:c r="AV72" s="154"/>
      <x:c r="AW72" s="152"/>
      <x:c r="AX72" s="154"/>
      <x:c r="AY72" s="154"/>
      <x:c r="AZ72" s="151"/>
      <x:c r="BA72" s="151"/>
    </x:row>
    <x:row r="73">
      <x:c r="A73" s="151" t="str">
        <x:f>IF(B73="","",TEXT(B73,"yyyymmdd")&amp;"-"&amp;TEXT(COUNTIF($B$5:B73,B73),"000"))</x:f>
      </x:c>
      <x:c r="B73" s="152"/>
      <x:c r="C73" s="153"/>
      <x:c r="D73" s="151" t="str">
        <x:f>IF(B73="","",'Configuracion'!$B$4)</x:f>
      </x:c>
      <x:c r="E73" s="154"/>
      <x:c r="F73" s="154"/>
      <x:c r="G73" s="151" t="str">
        <x:f>IFERROR(VLOOKUP(F73,'Base Sectores'!$A$5:$J$47,2,FALSE),"")</x:f>
      </x:c>
      <x:c r="H73" s="151" t="str">
        <x:f>IFERROR(VLOOKUP(F73,'Base Sectores'!$A$5:$J$47,3,FALSE),"")</x:f>
      </x:c>
      <x:c r="I73" s="151" t="str">
        <x:f>IFERROR(VLOOKUP(F73,'Base Sectores'!$A$5:$J$47,4,FALSE),"")</x:f>
      </x:c>
      <x:c r="J73" s="151" t="str">
        <x:f>IFERROR(VLOOKUP(F73,'Base Sectores'!$A$5:$J$47,5,FALSE),"")</x:f>
      </x:c>
      <x:c r="K73" s="151" t="str">
        <x:f>IFERROR(VLOOKUP(F73,'Base Sectores'!$A$5:$J$47,6,FALSE),"")</x:f>
      </x:c>
      <x:c r="L73" s="151" t="str">
        <x:f>IFERROR(VLOOKUP(F73,'Base Sectores'!$A$5:$J$47,7,FALSE),"")</x:f>
      </x:c>
      <x:c r="M73" s="151" t="str">
        <x:f>IFERROR(VLOOKUP(F73,'Base Sectores'!$A$5:$J$47,9,FALSE),"")</x:f>
      </x:c>
      <x:c r="N73" s="154"/>
      <x:c r="O73" s="151" t="str">
        <x:f>IFERROR(VLOOKUP(N73,'Configuracion'!$D$4:$H$15,2,FALSE),"")</x:f>
      </x:c>
      <x:c r="P73" s="151" t="str">
        <x:f>IFERROR(VLOOKUP(N73,'Configuracion'!$D$4:$H$15,3,FALSE),"")</x:f>
      </x:c>
      <x:c r="Q73" s="155"/>
      <x:c r="R73" s="156" t="str">
        <x:f>IFERROR(VLOOKUP(N73,'Configuracion'!$D$4:$H$15,4,FALSE),"")</x:f>
      </x:c>
      <x:c r="S73" s="153"/>
      <x:c r="T73" s="153"/>
      <x:c r="U73" s="156" t="str">
        <x:f>IF(OR(S73="",T73=""),"",MOD(T73-S73,1)*24)</x:f>
      </x:c>
      <x:c r="V73" s="154"/>
      <x:c r="W73" s="154"/>
      <x:c r="X73" s="151" t="str">
        <x:f>IFERROR(VLOOKUP(N73,'Configuracion'!$D$4:$H$15,5,FALSE),"")</x:f>
      </x:c>
      <x:c r="Y73" s="151" t="str">
        <x:f>IFERROR(VLOOKUP(V73,'Cuadrillas'!$A$5:$J$14,2,FALSE),"")</x:f>
      </x:c>
      <x:c r="Z73" s="154"/>
      <x:c r="AA73" s="154"/>
      <x:c r="AB73" s="154"/>
      <x:c r="AC73" s="153"/>
      <x:c r="AD73" s="153"/>
      <x:c r="AE73" s="156" t="str">
        <x:f>IF(OR(AC73="",AD73=""),"",MOD(AD73-AC73,1)*24)</x:f>
      </x:c>
      <x:c r="AF73" s="154"/>
      <x:c r="AG73" s="156" t="str">
        <x:f>IF(AE73="","",MAX(0,AE73-IF(AF73="",0,AF73/60)))</x:f>
      </x:c>
      <x:c r="AH73" s="155"/>
      <x:c r="AI73" s="154"/>
      <x:c r="AJ73" s="154"/>
      <x:c r="AK73" s="156" t="n">
        <x:f>IFERROR(U73*W73,"")</x:f>
        <x:v>0</x:v>
      </x:c>
      <x:c r="AL73" s="156" t="n">
        <x:f>IFERROR(AE73*AI73,"")</x:f>
        <x:v>0</x:v>
      </x:c>
      <x:c r="AM73" s="157" t="str">
        <x:f>IFERROR(AH73/Q73,"")</x:f>
      </x:c>
      <x:c r="AN73" s="156" t="str">
        <x:f>IFERROR(AH73/AG73,"")</x:f>
      </x:c>
      <x:c r="AO73" s="156" t="str">
        <x:f>IFERROR(AL73/AH73,"")</x:f>
      </x:c>
      <x:c r="AP73" s="157" t="str">
        <x:f>IFERROR(AG73/AE73,"")</x:f>
      </x:c>
      <x:c r="AQ73" s="157" t="str">
        <x:f>IFERROR(AN73/(R73/'Configuracion'!$B$13),"")</x:f>
      </x:c>
      <x:c r="AR73" s="156" t="n">
        <x:f>IFERROR(AE73-U73,"")</x:f>
        <x:v>0</x:v>
      </x:c>
      <x:c r="AS73" s="154"/>
      <x:c r="AT73" s="154"/>
      <x:c r="AU73" s="154"/>
      <x:c r="AV73" s="154"/>
      <x:c r="AW73" s="152"/>
      <x:c r="AX73" s="154"/>
      <x:c r="AY73" s="154"/>
      <x:c r="AZ73" s="151"/>
      <x:c r="BA73" s="151"/>
    </x:row>
    <x:row r="74">
      <x:c r="A74" s="151" t="str">
        <x:f>IF(B74="","",TEXT(B74,"yyyymmdd")&amp;"-"&amp;TEXT(COUNTIF($B$5:B74,B74),"000"))</x:f>
      </x:c>
      <x:c r="B74" s="152"/>
      <x:c r="C74" s="153"/>
      <x:c r="D74" s="151" t="str">
        <x:f>IF(B74="","",'Configuracion'!$B$4)</x:f>
      </x:c>
      <x:c r="E74" s="154"/>
      <x:c r="F74" s="154"/>
      <x:c r="G74" s="151" t="str">
        <x:f>IFERROR(VLOOKUP(F74,'Base Sectores'!$A$5:$J$47,2,FALSE),"")</x:f>
      </x:c>
      <x:c r="H74" s="151" t="str">
        <x:f>IFERROR(VLOOKUP(F74,'Base Sectores'!$A$5:$J$47,3,FALSE),"")</x:f>
      </x:c>
      <x:c r="I74" s="151" t="str">
        <x:f>IFERROR(VLOOKUP(F74,'Base Sectores'!$A$5:$J$47,4,FALSE),"")</x:f>
      </x:c>
      <x:c r="J74" s="151" t="str">
        <x:f>IFERROR(VLOOKUP(F74,'Base Sectores'!$A$5:$J$47,5,FALSE),"")</x:f>
      </x:c>
      <x:c r="K74" s="151" t="str">
        <x:f>IFERROR(VLOOKUP(F74,'Base Sectores'!$A$5:$J$47,6,FALSE),"")</x:f>
      </x:c>
      <x:c r="L74" s="151" t="str">
        <x:f>IFERROR(VLOOKUP(F74,'Base Sectores'!$A$5:$J$47,7,FALSE),"")</x:f>
      </x:c>
      <x:c r="M74" s="151" t="str">
        <x:f>IFERROR(VLOOKUP(F74,'Base Sectores'!$A$5:$J$47,9,FALSE),"")</x:f>
      </x:c>
      <x:c r="N74" s="154"/>
      <x:c r="O74" s="151" t="str">
        <x:f>IFERROR(VLOOKUP(N74,'Configuracion'!$D$4:$H$15,2,FALSE),"")</x:f>
      </x:c>
      <x:c r="P74" s="151" t="str">
        <x:f>IFERROR(VLOOKUP(N74,'Configuracion'!$D$4:$H$15,3,FALSE),"")</x:f>
      </x:c>
      <x:c r="Q74" s="155"/>
      <x:c r="R74" s="156" t="str">
        <x:f>IFERROR(VLOOKUP(N74,'Configuracion'!$D$4:$H$15,4,FALSE),"")</x:f>
      </x:c>
      <x:c r="S74" s="153"/>
      <x:c r="T74" s="153"/>
      <x:c r="U74" s="156" t="str">
        <x:f>IF(OR(S74="",T74=""),"",MOD(T74-S74,1)*24)</x:f>
      </x:c>
      <x:c r="V74" s="154"/>
      <x:c r="W74" s="154"/>
      <x:c r="X74" s="151" t="str">
        <x:f>IFERROR(VLOOKUP(N74,'Configuracion'!$D$4:$H$15,5,FALSE),"")</x:f>
      </x:c>
      <x:c r="Y74" s="151" t="str">
        <x:f>IFERROR(VLOOKUP(V74,'Cuadrillas'!$A$5:$J$14,2,FALSE),"")</x:f>
      </x:c>
      <x:c r="Z74" s="154"/>
      <x:c r="AA74" s="154"/>
      <x:c r="AB74" s="154"/>
      <x:c r="AC74" s="153"/>
      <x:c r="AD74" s="153"/>
      <x:c r="AE74" s="156" t="str">
        <x:f>IF(OR(AC74="",AD74=""),"",MOD(AD74-AC74,1)*24)</x:f>
      </x:c>
      <x:c r="AF74" s="154"/>
      <x:c r="AG74" s="156" t="str">
        <x:f>IF(AE74="","",MAX(0,AE74-IF(AF74="",0,AF74/60)))</x:f>
      </x:c>
      <x:c r="AH74" s="155"/>
      <x:c r="AI74" s="154"/>
      <x:c r="AJ74" s="154"/>
      <x:c r="AK74" s="156" t="n">
        <x:f>IFERROR(U74*W74,"")</x:f>
        <x:v>0</x:v>
      </x:c>
      <x:c r="AL74" s="156" t="n">
        <x:f>IFERROR(AE74*AI74,"")</x:f>
        <x:v>0</x:v>
      </x:c>
      <x:c r="AM74" s="157" t="str">
        <x:f>IFERROR(AH74/Q74,"")</x:f>
      </x:c>
      <x:c r="AN74" s="156" t="str">
        <x:f>IFERROR(AH74/AG74,"")</x:f>
      </x:c>
      <x:c r="AO74" s="156" t="str">
        <x:f>IFERROR(AL74/AH74,"")</x:f>
      </x:c>
      <x:c r="AP74" s="157" t="str">
        <x:f>IFERROR(AG74/AE74,"")</x:f>
      </x:c>
      <x:c r="AQ74" s="157" t="str">
        <x:f>IFERROR(AN74/(R74/'Configuracion'!$B$13),"")</x:f>
      </x:c>
      <x:c r="AR74" s="156" t="n">
        <x:f>IFERROR(AE74-U74,"")</x:f>
        <x:v>0</x:v>
      </x:c>
      <x:c r="AS74" s="154"/>
      <x:c r="AT74" s="154"/>
      <x:c r="AU74" s="154"/>
      <x:c r="AV74" s="154"/>
      <x:c r="AW74" s="152"/>
      <x:c r="AX74" s="154"/>
      <x:c r="AY74" s="154"/>
      <x:c r="AZ74" s="151"/>
      <x:c r="BA74" s="151"/>
    </x:row>
    <x:row r="75">
      <x:c r="A75" s="151" t="str">
        <x:f>IF(B75="","",TEXT(B75,"yyyymmdd")&amp;"-"&amp;TEXT(COUNTIF($B$5:B75,B75),"000"))</x:f>
      </x:c>
      <x:c r="B75" s="152"/>
      <x:c r="C75" s="153"/>
      <x:c r="D75" s="151" t="str">
        <x:f>IF(B75="","",'Configuracion'!$B$4)</x:f>
      </x:c>
      <x:c r="E75" s="154"/>
      <x:c r="F75" s="154"/>
      <x:c r="G75" s="151" t="str">
        <x:f>IFERROR(VLOOKUP(F75,'Base Sectores'!$A$5:$J$47,2,FALSE),"")</x:f>
      </x:c>
      <x:c r="H75" s="151" t="str">
        <x:f>IFERROR(VLOOKUP(F75,'Base Sectores'!$A$5:$J$47,3,FALSE),"")</x:f>
      </x:c>
      <x:c r="I75" s="151" t="str">
        <x:f>IFERROR(VLOOKUP(F75,'Base Sectores'!$A$5:$J$47,4,FALSE),"")</x:f>
      </x:c>
      <x:c r="J75" s="151" t="str">
        <x:f>IFERROR(VLOOKUP(F75,'Base Sectores'!$A$5:$J$47,5,FALSE),"")</x:f>
      </x:c>
      <x:c r="K75" s="151" t="str">
        <x:f>IFERROR(VLOOKUP(F75,'Base Sectores'!$A$5:$J$47,6,FALSE),"")</x:f>
      </x:c>
      <x:c r="L75" s="151" t="str">
        <x:f>IFERROR(VLOOKUP(F75,'Base Sectores'!$A$5:$J$47,7,FALSE),"")</x:f>
      </x:c>
      <x:c r="M75" s="151" t="str">
        <x:f>IFERROR(VLOOKUP(F75,'Base Sectores'!$A$5:$J$47,9,FALSE),"")</x:f>
      </x:c>
      <x:c r="N75" s="154"/>
      <x:c r="O75" s="151" t="str">
        <x:f>IFERROR(VLOOKUP(N75,'Configuracion'!$D$4:$H$15,2,FALSE),"")</x:f>
      </x:c>
      <x:c r="P75" s="151" t="str">
        <x:f>IFERROR(VLOOKUP(N75,'Configuracion'!$D$4:$H$15,3,FALSE),"")</x:f>
      </x:c>
      <x:c r="Q75" s="155"/>
      <x:c r="R75" s="156" t="str">
        <x:f>IFERROR(VLOOKUP(N75,'Configuracion'!$D$4:$H$15,4,FALSE),"")</x:f>
      </x:c>
      <x:c r="S75" s="153"/>
      <x:c r="T75" s="153"/>
      <x:c r="U75" s="156" t="str">
        <x:f>IF(OR(S75="",T75=""),"",MOD(T75-S75,1)*24)</x:f>
      </x:c>
      <x:c r="V75" s="154"/>
      <x:c r="W75" s="154"/>
      <x:c r="X75" s="151" t="str">
        <x:f>IFERROR(VLOOKUP(N75,'Configuracion'!$D$4:$H$15,5,FALSE),"")</x:f>
      </x:c>
      <x:c r="Y75" s="151" t="str">
        <x:f>IFERROR(VLOOKUP(V75,'Cuadrillas'!$A$5:$J$14,2,FALSE),"")</x:f>
      </x:c>
      <x:c r="Z75" s="154"/>
      <x:c r="AA75" s="154"/>
      <x:c r="AB75" s="154"/>
      <x:c r="AC75" s="153"/>
      <x:c r="AD75" s="153"/>
      <x:c r="AE75" s="156" t="str">
        <x:f>IF(OR(AC75="",AD75=""),"",MOD(AD75-AC75,1)*24)</x:f>
      </x:c>
      <x:c r="AF75" s="154"/>
      <x:c r="AG75" s="156" t="str">
        <x:f>IF(AE75="","",MAX(0,AE75-IF(AF75="",0,AF75/60)))</x:f>
      </x:c>
      <x:c r="AH75" s="155"/>
      <x:c r="AI75" s="154"/>
      <x:c r="AJ75" s="154"/>
      <x:c r="AK75" s="156" t="n">
        <x:f>IFERROR(U75*W75,"")</x:f>
        <x:v>0</x:v>
      </x:c>
      <x:c r="AL75" s="156" t="n">
        <x:f>IFERROR(AE75*AI75,"")</x:f>
        <x:v>0</x:v>
      </x:c>
      <x:c r="AM75" s="157" t="str">
        <x:f>IFERROR(AH75/Q75,"")</x:f>
      </x:c>
      <x:c r="AN75" s="156" t="str">
        <x:f>IFERROR(AH75/AG75,"")</x:f>
      </x:c>
      <x:c r="AO75" s="156" t="str">
        <x:f>IFERROR(AL75/AH75,"")</x:f>
      </x:c>
      <x:c r="AP75" s="157" t="str">
        <x:f>IFERROR(AG75/AE75,"")</x:f>
      </x:c>
      <x:c r="AQ75" s="157" t="str">
        <x:f>IFERROR(AN75/(R75/'Configuracion'!$B$13),"")</x:f>
      </x:c>
      <x:c r="AR75" s="156" t="n">
        <x:f>IFERROR(AE75-U75,"")</x:f>
        <x:v>0</x:v>
      </x:c>
      <x:c r="AS75" s="154"/>
      <x:c r="AT75" s="154"/>
      <x:c r="AU75" s="154"/>
      <x:c r="AV75" s="154"/>
      <x:c r="AW75" s="152"/>
      <x:c r="AX75" s="154"/>
      <x:c r="AY75" s="154"/>
      <x:c r="AZ75" s="151"/>
      <x:c r="BA75" s="151"/>
    </x:row>
    <x:row r="76">
      <x:c r="A76" s="151" t="str">
        <x:f>IF(B76="","",TEXT(B76,"yyyymmdd")&amp;"-"&amp;TEXT(COUNTIF($B$5:B76,B76),"000"))</x:f>
      </x:c>
      <x:c r="B76" s="152"/>
      <x:c r="C76" s="153"/>
      <x:c r="D76" s="151" t="str">
        <x:f>IF(B76="","",'Configuracion'!$B$4)</x:f>
      </x:c>
      <x:c r="E76" s="154"/>
      <x:c r="F76" s="154"/>
      <x:c r="G76" s="151" t="str">
        <x:f>IFERROR(VLOOKUP(F76,'Base Sectores'!$A$5:$J$47,2,FALSE),"")</x:f>
      </x:c>
      <x:c r="H76" s="151" t="str">
        <x:f>IFERROR(VLOOKUP(F76,'Base Sectores'!$A$5:$J$47,3,FALSE),"")</x:f>
      </x:c>
      <x:c r="I76" s="151" t="str">
        <x:f>IFERROR(VLOOKUP(F76,'Base Sectores'!$A$5:$J$47,4,FALSE),"")</x:f>
      </x:c>
      <x:c r="J76" s="151" t="str">
        <x:f>IFERROR(VLOOKUP(F76,'Base Sectores'!$A$5:$J$47,5,FALSE),"")</x:f>
      </x:c>
      <x:c r="K76" s="151" t="str">
        <x:f>IFERROR(VLOOKUP(F76,'Base Sectores'!$A$5:$J$47,6,FALSE),"")</x:f>
      </x:c>
      <x:c r="L76" s="151" t="str">
        <x:f>IFERROR(VLOOKUP(F76,'Base Sectores'!$A$5:$J$47,7,FALSE),"")</x:f>
      </x:c>
      <x:c r="M76" s="151" t="str">
        <x:f>IFERROR(VLOOKUP(F76,'Base Sectores'!$A$5:$J$47,9,FALSE),"")</x:f>
      </x:c>
      <x:c r="N76" s="154"/>
      <x:c r="O76" s="151" t="str">
        <x:f>IFERROR(VLOOKUP(N76,'Configuracion'!$D$4:$H$15,2,FALSE),"")</x:f>
      </x:c>
      <x:c r="P76" s="151" t="str">
        <x:f>IFERROR(VLOOKUP(N76,'Configuracion'!$D$4:$H$15,3,FALSE),"")</x:f>
      </x:c>
      <x:c r="Q76" s="155"/>
      <x:c r="R76" s="156" t="str">
        <x:f>IFERROR(VLOOKUP(N76,'Configuracion'!$D$4:$H$15,4,FALSE),"")</x:f>
      </x:c>
      <x:c r="S76" s="153"/>
      <x:c r="T76" s="153"/>
      <x:c r="U76" s="156" t="str">
        <x:f>IF(OR(S76="",T76=""),"",MOD(T76-S76,1)*24)</x:f>
      </x:c>
      <x:c r="V76" s="154"/>
      <x:c r="W76" s="154"/>
      <x:c r="X76" s="151" t="str">
        <x:f>IFERROR(VLOOKUP(N76,'Configuracion'!$D$4:$H$15,5,FALSE),"")</x:f>
      </x:c>
      <x:c r="Y76" s="151" t="str">
        <x:f>IFERROR(VLOOKUP(V76,'Cuadrillas'!$A$5:$J$14,2,FALSE),"")</x:f>
      </x:c>
      <x:c r="Z76" s="154"/>
      <x:c r="AA76" s="154"/>
      <x:c r="AB76" s="154"/>
      <x:c r="AC76" s="153"/>
      <x:c r="AD76" s="153"/>
      <x:c r="AE76" s="156" t="str">
        <x:f>IF(OR(AC76="",AD76=""),"",MOD(AD76-AC76,1)*24)</x:f>
      </x:c>
      <x:c r="AF76" s="154"/>
      <x:c r="AG76" s="156" t="str">
        <x:f>IF(AE76="","",MAX(0,AE76-IF(AF76="",0,AF76/60)))</x:f>
      </x:c>
      <x:c r="AH76" s="155"/>
      <x:c r="AI76" s="154"/>
      <x:c r="AJ76" s="154"/>
      <x:c r="AK76" s="156" t="n">
        <x:f>IFERROR(U76*W76,"")</x:f>
        <x:v>0</x:v>
      </x:c>
      <x:c r="AL76" s="156" t="n">
        <x:f>IFERROR(AE76*AI76,"")</x:f>
        <x:v>0</x:v>
      </x:c>
      <x:c r="AM76" s="157" t="str">
        <x:f>IFERROR(AH76/Q76,"")</x:f>
      </x:c>
      <x:c r="AN76" s="156" t="str">
        <x:f>IFERROR(AH76/AG76,"")</x:f>
      </x:c>
      <x:c r="AO76" s="156" t="str">
        <x:f>IFERROR(AL76/AH76,"")</x:f>
      </x:c>
      <x:c r="AP76" s="157" t="str">
        <x:f>IFERROR(AG76/AE76,"")</x:f>
      </x:c>
      <x:c r="AQ76" s="157" t="str">
        <x:f>IFERROR(AN76/(R76/'Configuracion'!$B$13),"")</x:f>
      </x:c>
      <x:c r="AR76" s="156" t="n">
        <x:f>IFERROR(AE76-U76,"")</x:f>
        <x:v>0</x:v>
      </x:c>
      <x:c r="AS76" s="154"/>
      <x:c r="AT76" s="154"/>
      <x:c r="AU76" s="154"/>
      <x:c r="AV76" s="154"/>
      <x:c r="AW76" s="152"/>
      <x:c r="AX76" s="154"/>
      <x:c r="AY76" s="154"/>
      <x:c r="AZ76" s="151"/>
      <x:c r="BA76" s="151"/>
    </x:row>
    <x:row r="77">
      <x:c r="A77" s="151" t="str">
        <x:f>IF(B77="","",TEXT(B77,"yyyymmdd")&amp;"-"&amp;TEXT(COUNTIF($B$5:B77,B77),"000"))</x:f>
      </x:c>
      <x:c r="B77" s="152"/>
      <x:c r="C77" s="153"/>
      <x:c r="D77" s="151" t="str">
        <x:f>IF(B77="","",'Configuracion'!$B$4)</x:f>
      </x:c>
      <x:c r="E77" s="154"/>
      <x:c r="F77" s="154"/>
      <x:c r="G77" s="151" t="str">
        <x:f>IFERROR(VLOOKUP(F77,'Base Sectores'!$A$5:$J$47,2,FALSE),"")</x:f>
      </x:c>
      <x:c r="H77" s="151" t="str">
        <x:f>IFERROR(VLOOKUP(F77,'Base Sectores'!$A$5:$J$47,3,FALSE),"")</x:f>
      </x:c>
      <x:c r="I77" s="151" t="str">
        <x:f>IFERROR(VLOOKUP(F77,'Base Sectores'!$A$5:$J$47,4,FALSE),"")</x:f>
      </x:c>
      <x:c r="J77" s="151" t="str">
        <x:f>IFERROR(VLOOKUP(F77,'Base Sectores'!$A$5:$J$47,5,FALSE),"")</x:f>
      </x:c>
      <x:c r="K77" s="151" t="str">
        <x:f>IFERROR(VLOOKUP(F77,'Base Sectores'!$A$5:$J$47,6,FALSE),"")</x:f>
      </x:c>
      <x:c r="L77" s="151" t="str">
        <x:f>IFERROR(VLOOKUP(F77,'Base Sectores'!$A$5:$J$47,7,FALSE),"")</x:f>
      </x:c>
      <x:c r="M77" s="151" t="str">
        <x:f>IFERROR(VLOOKUP(F77,'Base Sectores'!$A$5:$J$47,9,FALSE),"")</x:f>
      </x:c>
      <x:c r="N77" s="154"/>
      <x:c r="O77" s="151" t="str">
        <x:f>IFERROR(VLOOKUP(N77,'Configuracion'!$D$4:$H$15,2,FALSE),"")</x:f>
      </x:c>
      <x:c r="P77" s="151" t="str">
        <x:f>IFERROR(VLOOKUP(N77,'Configuracion'!$D$4:$H$15,3,FALSE),"")</x:f>
      </x:c>
      <x:c r="Q77" s="155"/>
      <x:c r="R77" s="156" t="str">
        <x:f>IFERROR(VLOOKUP(N77,'Configuracion'!$D$4:$H$15,4,FALSE),"")</x:f>
      </x:c>
      <x:c r="S77" s="153"/>
      <x:c r="T77" s="153"/>
      <x:c r="U77" s="156" t="str">
        <x:f>IF(OR(S77="",T77=""),"",MOD(T77-S77,1)*24)</x:f>
      </x:c>
      <x:c r="V77" s="154"/>
      <x:c r="W77" s="154"/>
      <x:c r="X77" s="151" t="str">
        <x:f>IFERROR(VLOOKUP(N77,'Configuracion'!$D$4:$H$15,5,FALSE),"")</x:f>
      </x:c>
      <x:c r="Y77" s="151" t="str">
        <x:f>IFERROR(VLOOKUP(V77,'Cuadrillas'!$A$5:$J$14,2,FALSE),"")</x:f>
      </x:c>
      <x:c r="Z77" s="154"/>
      <x:c r="AA77" s="154"/>
      <x:c r="AB77" s="154"/>
      <x:c r="AC77" s="153"/>
      <x:c r="AD77" s="153"/>
      <x:c r="AE77" s="156" t="str">
        <x:f>IF(OR(AC77="",AD77=""),"",MOD(AD77-AC77,1)*24)</x:f>
      </x:c>
      <x:c r="AF77" s="154"/>
      <x:c r="AG77" s="156" t="str">
        <x:f>IF(AE77="","",MAX(0,AE77-IF(AF77="",0,AF77/60)))</x:f>
      </x:c>
      <x:c r="AH77" s="155"/>
      <x:c r="AI77" s="154"/>
      <x:c r="AJ77" s="154"/>
      <x:c r="AK77" s="156" t="n">
        <x:f>IFERROR(U77*W77,"")</x:f>
        <x:v>0</x:v>
      </x:c>
      <x:c r="AL77" s="156" t="n">
        <x:f>IFERROR(AE77*AI77,"")</x:f>
        <x:v>0</x:v>
      </x:c>
      <x:c r="AM77" s="157" t="str">
        <x:f>IFERROR(AH77/Q77,"")</x:f>
      </x:c>
      <x:c r="AN77" s="156" t="str">
        <x:f>IFERROR(AH77/AG77,"")</x:f>
      </x:c>
      <x:c r="AO77" s="156" t="str">
        <x:f>IFERROR(AL77/AH77,"")</x:f>
      </x:c>
      <x:c r="AP77" s="157" t="str">
        <x:f>IFERROR(AG77/AE77,"")</x:f>
      </x:c>
      <x:c r="AQ77" s="157" t="str">
        <x:f>IFERROR(AN77/(R77/'Configuracion'!$B$13),"")</x:f>
      </x:c>
      <x:c r="AR77" s="156" t="n">
        <x:f>IFERROR(AE77-U77,"")</x:f>
        <x:v>0</x:v>
      </x:c>
      <x:c r="AS77" s="154"/>
      <x:c r="AT77" s="154"/>
      <x:c r="AU77" s="154"/>
      <x:c r="AV77" s="154"/>
      <x:c r="AW77" s="152"/>
      <x:c r="AX77" s="154"/>
      <x:c r="AY77" s="154"/>
      <x:c r="AZ77" s="151"/>
      <x:c r="BA77" s="151"/>
    </x:row>
    <x:row r="78">
      <x:c r="A78" s="151" t="str">
        <x:f>IF(B78="","",TEXT(B78,"yyyymmdd")&amp;"-"&amp;TEXT(COUNTIF($B$5:B78,B78),"000"))</x:f>
      </x:c>
      <x:c r="B78" s="152"/>
      <x:c r="C78" s="153"/>
      <x:c r="D78" s="151" t="str">
        <x:f>IF(B78="","",'Configuracion'!$B$4)</x:f>
      </x:c>
      <x:c r="E78" s="154"/>
      <x:c r="F78" s="154"/>
      <x:c r="G78" s="151" t="str">
        <x:f>IFERROR(VLOOKUP(F78,'Base Sectores'!$A$5:$J$47,2,FALSE),"")</x:f>
      </x:c>
      <x:c r="H78" s="151" t="str">
        <x:f>IFERROR(VLOOKUP(F78,'Base Sectores'!$A$5:$J$47,3,FALSE),"")</x:f>
      </x:c>
      <x:c r="I78" s="151" t="str">
        <x:f>IFERROR(VLOOKUP(F78,'Base Sectores'!$A$5:$J$47,4,FALSE),"")</x:f>
      </x:c>
      <x:c r="J78" s="151" t="str">
        <x:f>IFERROR(VLOOKUP(F78,'Base Sectores'!$A$5:$J$47,5,FALSE),"")</x:f>
      </x:c>
      <x:c r="K78" s="151" t="str">
        <x:f>IFERROR(VLOOKUP(F78,'Base Sectores'!$A$5:$J$47,6,FALSE),"")</x:f>
      </x:c>
      <x:c r="L78" s="151" t="str">
        <x:f>IFERROR(VLOOKUP(F78,'Base Sectores'!$A$5:$J$47,7,FALSE),"")</x:f>
      </x:c>
      <x:c r="M78" s="151" t="str">
        <x:f>IFERROR(VLOOKUP(F78,'Base Sectores'!$A$5:$J$47,9,FALSE),"")</x:f>
      </x:c>
      <x:c r="N78" s="154"/>
      <x:c r="O78" s="151" t="str">
        <x:f>IFERROR(VLOOKUP(N78,'Configuracion'!$D$4:$H$15,2,FALSE),"")</x:f>
      </x:c>
      <x:c r="P78" s="151" t="str">
        <x:f>IFERROR(VLOOKUP(N78,'Configuracion'!$D$4:$H$15,3,FALSE),"")</x:f>
      </x:c>
      <x:c r="Q78" s="155"/>
      <x:c r="R78" s="156" t="str">
        <x:f>IFERROR(VLOOKUP(N78,'Configuracion'!$D$4:$H$15,4,FALSE),"")</x:f>
      </x:c>
      <x:c r="S78" s="153"/>
      <x:c r="T78" s="153"/>
      <x:c r="U78" s="156" t="str">
        <x:f>IF(OR(S78="",T78=""),"",MOD(T78-S78,1)*24)</x:f>
      </x:c>
      <x:c r="V78" s="154"/>
      <x:c r="W78" s="154"/>
      <x:c r="X78" s="151" t="str">
        <x:f>IFERROR(VLOOKUP(N78,'Configuracion'!$D$4:$H$15,5,FALSE),"")</x:f>
      </x:c>
      <x:c r="Y78" s="151" t="str">
        <x:f>IFERROR(VLOOKUP(V78,'Cuadrillas'!$A$5:$J$14,2,FALSE),"")</x:f>
      </x:c>
      <x:c r="Z78" s="154"/>
      <x:c r="AA78" s="154"/>
      <x:c r="AB78" s="154"/>
      <x:c r="AC78" s="153"/>
      <x:c r="AD78" s="153"/>
      <x:c r="AE78" s="156" t="str">
        <x:f>IF(OR(AC78="",AD78=""),"",MOD(AD78-AC78,1)*24)</x:f>
      </x:c>
      <x:c r="AF78" s="154"/>
      <x:c r="AG78" s="156" t="str">
        <x:f>IF(AE78="","",MAX(0,AE78-IF(AF78="",0,AF78/60)))</x:f>
      </x:c>
      <x:c r="AH78" s="155"/>
      <x:c r="AI78" s="154"/>
      <x:c r="AJ78" s="154"/>
      <x:c r="AK78" s="156" t="n">
        <x:f>IFERROR(U78*W78,"")</x:f>
        <x:v>0</x:v>
      </x:c>
      <x:c r="AL78" s="156" t="n">
        <x:f>IFERROR(AE78*AI78,"")</x:f>
        <x:v>0</x:v>
      </x:c>
      <x:c r="AM78" s="157" t="str">
        <x:f>IFERROR(AH78/Q78,"")</x:f>
      </x:c>
      <x:c r="AN78" s="156" t="str">
        <x:f>IFERROR(AH78/AG78,"")</x:f>
      </x:c>
      <x:c r="AO78" s="156" t="str">
        <x:f>IFERROR(AL78/AH78,"")</x:f>
      </x:c>
      <x:c r="AP78" s="157" t="str">
        <x:f>IFERROR(AG78/AE78,"")</x:f>
      </x:c>
      <x:c r="AQ78" s="157" t="str">
        <x:f>IFERROR(AN78/(R78/'Configuracion'!$B$13),"")</x:f>
      </x:c>
      <x:c r="AR78" s="156" t="n">
        <x:f>IFERROR(AE78-U78,"")</x:f>
        <x:v>0</x:v>
      </x:c>
      <x:c r="AS78" s="154"/>
      <x:c r="AT78" s="154"/>
      <x:c r="AU78" s="154"/>
      <x:c r="AV78" s="154"/>
      <x:c r="AW78" s="152"/>
      <x:c r="AX78" s="154"/>
      <x:c r="AY78" s="154"/>
      <x:c r="AZ78" s="151"/>
      <x:c r="BA78" s="151"/>
    </x:row>
    <x:row r="79">
      <x:c r="A79" s="151" t="str">
        <x:f>IF(B79="","",TEXT(B79,"yyyymmdd")&amp;"-"&amp;TEXT(COUNTIF($B$5:B79,B79),"000"))</x:f>
      </x:c>
      <x:c r="B79" s="152"/>
      <x:c r="C79" s="153"/>
      <x:c r="D79" s="151" t="str">
        <x:f>IF(B79="","",'Configuracion'!$B$4)</x:f>
      </x:c>
      <x:c r="E79" s="154"/>
      <x:c r="F79" s="154"/>
      <x:c r="G79" s="151" t="str">
        <x:f>IFERROR(VLOOKUP(F79,'Base Sectores'!$A$5:$J$47,2,FALSE),"")</x:f>
      </x:c>
      <x:c r="H79" s="151" t="str">
        <x:f>IFERROR(VLOOKUP(F79,'Base Sectores'!$A$5:$J$47,3,FALSE),"")</x:f>
      </x:c>
      <x:c r="I79" s="151" t="str">
        <x:f>IFERROR(VLOOKUP(F79,'Base Sectores'!$A$5:$J$47,4,FALSE),"")</x:f>
      </x:c>
      <x:c r="J79" s="151" t="str">
        <x:f>IFERROR(VLOOKUP(F79,'Base Sectores'!$A$5:$J$47,5,FALSE),"")</x:f>
      </x:c>
      <x:c r="K79" s="151" t="str">
        <x:f>IFERROR(VLOOKUP(F79,'Base Sectores'!$A$5:$J$47,6,FALSE),"")</x:f>
      </x:c>
      <x:c r="L79" s="151" t="str">
        <x:f>IFERROR(VLOOKUP(F79,'Base Sectores'!$A$5:$J$47,7,FALSE),"")</x:f>
      </x:c>
      <x:c r="M79" s="151" t="str">
        <x:f>IFERROR(VLOOKUP(F79,'Base Sectores'!$A$5:$J$47,9,FALSE),"")</x:f>
      </x:c>
      <x:c r="N79" s="154"/>
      <x:c r="O79" s="151" t="str">
        <x:f>IFERROR(VLOOKUP(N79,'Configuracion'!$D$4:$H$15,2,FALSE),"")</x:f>
      </x:c>
      <x:c r="P79" s="151" t="str">
        <x:f>IFERROR(VLOOKUP(N79,'Configuracion'!$D$4:$H$15,3,FALSE),"")</x:f>
      </x:c>
      <x:c r="Q79" s="155"/>
      <x:c r="R79" s="156" t="str">
        <x:f>IFERROR(VLOOKUP(N79,'Configuracion'!$D$4:$H$15,4,FALSE),"")</x:f>
      </x:c>
      <x:c r="S79" s="153"/>
      <x:c r="T79" s="153"/>
      <x:c r="U79" s="156" t="str">
        <x:f>IF(OR(S79="",T79=""),"",MOD(T79-S79,1)*24)</x:f>
      </x:c>
      <x:c r="V79" s="154"/>
      <x:c r="W79" s="154"/>
      <x:c r="X79" s="151" t="str">
        <x:f>IFERROR(VLOOKUP(N79,'Configuracion'!$D$4:$H$15,5,FALSE),"")</x:f>
      </x:c>
      <x:c r="Y79" s="151" t="str">
        <x:f>IFERROR(VLOOKUP(V79,'Cuadrillas'!$A$5:$J$14,2,FALSE),"")</x:f>
      </x:c>
      <x:c r="Z79" s="154"/>
      <x:c r="AA79" s="154"/>
      <x:c r="AB79" s="154"/>
      <x:c r="AC79" s="153"/>
      <x:c r="AD79" s="153"/>
      <x:c r="AE79" s="156" t="str">
        <x:f>IF(OR(AC79="",AD79=""),"",MOD(AD79-AC79,1)*24)</x:f>
      </x:c>
      <x:c r="AF79" s="154"/>
      <x:c r="AG79" s="156" t="str">
        <x:f>IF(AE79="","",MAX(0,AE79-IF(AF79="",0,AF79/60)))</x:f>
      </x:c>
      <x:c r="AH79" s="155"/>
      <x:c r="AI79" s="154"/>
      <x:c r="AJ79" s="154"/>
      <x:c r="AK79" s="156" t="n">
        <x:f>IFERROR(U79*W79,"")</x:f>
        <x:v>0</x:v>
      </x:c>
      <x:c r="AL79" s="156" t="n">
        <x:f>IFERROR(AE79*AI79,"")</x:f>
        <x:v>0</x:v>
      </x:c>
      <x:c r="AM79" s="157" t="str">
        <x:f>IFERROR(AH79/Q79,"")</x:f>
      </x:c>
      <x:c r="AN79" s="156" t="str">
        <x:f>IFERROR(AH79/AG79,"")</x:f>
      </x:c>
      <x:c r="AO79" s="156" t="str">
        <x:f>IFERROR(AL79/AH79,"")</x:f>
      </x:c>
      <x:c r="AP79" s="157" t="str">
        <x:f>IFERROR(AG79/AE79,"")</x:f>
      </x:c>
      <x:c r="AQ79" s="157" t="str">
        <x:f>IFERROR(AN79/(R79/'Configuracion'!$B$13),"")</x:f>
      </x:c>
      <x:c r="AR79" s="156" t="n">
        <x:f>IFERROR(AE79-U79,"")</x:f>
        <x:v>0</x:v>
      </x:c>
      <x:c r="AS79" s="154"/>
      <x:c r="AT79" s="154"/>
      <x:c r="AU79" s="154"/>
      <x:c r="AV79" s="154"/>
      <x:c r="AW79" s="152"/>
      <x:c r="AX79" s="154"/>
      <x:c r="AY79" s="154"/>
      <x:c r="AZ79" s="151"/>
      <x:c r="BA79" s="151"/>
    </x:row>
    <x:row r="80">
      <x:c r="A80" s="151" t="str">
        <x:f>IF(B80="","",TEXT(B80,"yyyymmdd")&amp;"-"&amp;TEXT(COUNTIF($B$5:B80,B80),"000"))</x:f>
      </x:c>
      <x:c r="B80" s="152"/>
      <x:c r="C80" s="153"/>
      <x:c r="D80" s="151" t="str">
        <x:f>IF(B80="","",'Configuracion'!$B$4)</x:f>
      </x:c>
      <x:c r="E80" s="154"/>
      <x:c r="F80" s="154"/>
      <x:c r="G80" s="151" t="str">
        <x:f>IFERROR(VLOOKUP(F80,'Base Sectores'!$A$5:$J$47,2,FALSE),"")</x:f>
      </x:c>
      <x:c r="H80" s="151" t="str">
        <x:f>IFERROR(VLOOKUP(F80,'Base Sectores'!$A$5:$J$47,3,FALSE),"")</x:f>
      </x:c>
      <x:c r="I80" s="151" t="str">
        <x:f>IFERROR(VLOOKUP(F80,'Base Sectores'!$A$5:$J$47,4,FALSE),"")</x:f>
      </x:c>
      <x:c r="J80" s="151" t="str">
        <x:f>IFERROR(VLOOKUP(F80,'Base Sectores'!$A$5:$J$47,5,FALSE),"")</x:f>
      </x:c>
      <x:c r="K80" s="151" t="str">
        <x:f>IFERROR(VLOOKUP(F80,'Base Sectores'!$A$5:$J$47,6,FALSE),"")</x:f>
      </x:c>
      <x:c r="L80" s="151" t="str">
        <x:f>IFERROR(VLOOKUP(F80,'Base Sectores'!$A$5:$J$47,7,FALSE),"")</x:f>
      </x:c>
      <x:c r="M80" s="151" t="str">
        <x:f>IFERROR(VLOOKUP(F80,'Base Sectores'!$A$5:$J$47,9,FALSE),"")</x:f>
      </x:c>
      <x:c r="N80" s="154"/>
      <x:c r="O80" s="151" t="str">
        <x:f>IFERROR(VLOOKUP(N80,'Configuracion'!$D$4:$H$15,2,FALSE),"")</x:f>
      </x:c>
      <x:c r="P80" s="151" t="str">
        <x:f>IFERROR(VLOOKUP(N80,'Configuracion'!$D$4:$H$15,3,FALSE),"")</x:f>
      </x:c>
      <x:c r="Q80" s="155"/>
      <x:c r="R80" s="156" t="str">
        <x:f>IFERROR(VLOOKUP(N80,'Configuracion'!$D$4:$H$15,4,FALSE),"")</x:f>
      </x:c>
      <x:c r="S80" s="153"/>
      <x:c r="T80" s="153"/>
      <x:c r="U80" s="156" t="str">
        <x:f>IF(OR(S80="",T80=""),"",MOD(T80-S80,1)*24)</x:f>
      </x:c>
      <x:c r="V80" s="154"/>
      <x:c r="W80" s="154"/>
      <x:c r="X80" s="151" t="str">
        <x:f>IFERROR(VLOOKUP(N80,'Configuracion'!$D$4:$H$15,5,FALSE),"")</x:f>
      </x:c>
      <x:c r="Y80" s="151" t="str">
        <x:f>IFERROR(VLOOKUP(V80,'Cuadrillas'!$A$5:$J$14,2,FALSE),"")</x:f>
      </x:c>
      <x:c r="Z80" s="154"/>
      <x:c r="AA80" s="154"/>
      <x:c r="AB80" s="154"/>
      <x:c r="AC80" s="153"/>
      <x:c r="AD80" s="153"/>
      <x:c r="AE80" s="156" t="str">
        <x:f>IF(OR(AC80="",AD80=""),"",MOD(AD80-AC80,1)*24)</x:f>
      </x:c>
      <x:c r="AF80" s="154"/>
      <x:c r="AG80" s="156" t="str">
        <x:f>IF(AE80="","",MAX(0,AE80-IF(AF80="",0,AF80/60)))</x:f>
      </x:c>
      <x:c r="AH80" s="155"/>
      <x:c r="AI80" s="154"/>
      <x:c r="AJ80" s="154"/>
      <x:c r="AK80" s="156" t="n">
        <x:f>IFERROR(U80*W80,"")</x:f>
        <x:v>0</x:v>
      </x:c>
      <x:c r="AL80" s="156" t="n">
        <x:f>IFERROR(AE80*AI80,"")</x:f>
        <x:v>0</x:v>
      </x:c>
      <x:c r="AM80" s="157" t="str">
        <x:f>IFERROR(AH80/Q80,"")</x:f>
      </x:c>
      <x:c r="AN80" s="156" t="str">
        <x:f>IFERROR(AH80/AG80,"")</x:f>
      </x:c>
      <x:c r="AO80" s="156" t="str">
        <x:f>IFERROR(AL80/AH80,"")</x:f>
      </x:c>
      <x:c r="AP80" s="157" t="str">
        <x:f>IFERROR(AG80/AE80,"")</x:f>
      </x:c>
      <x:c r="AQ80" s="157" t="str">
        <x:f>IFERROR(AN80/(R80/'Configuracion'!$B$13),"")</x:f>
      </x:c>
      <x:c r="AR80" s="156" t="n">
        <x:f>IFERROR(AE80-U80,"")</x:f>
        <x:v>0</x:v>
      </x:c>
      <x:c r="AS80" s="154"/>
      <x:c r="AT80" s="154"/>
      <x:c r="AU80" s="154"/>
      <x:c r="AV80" s="154"/>
      <x:c r="AW80" s="152"/>
      <x:c r="AX80" s="154"/>
      <x:c r="AY80" s="154"/>
      <x:c r="AZ80" s="151"/>
      <x:c r="BA80" s="151"/>
    </x:row>
    <x:row r="81">
      <x:c r="A81" s="151" t="str">
        <x:f>IF(B81="","",TEXT(B81,"yyyymmdd")&amp;"-"&amp;TEXT(COUNTIF($B$5:B81,B81),"000"))</x:f>
      </x:c>
      <x:c r="B81" s="152"/>
      <x:c r="C81" s="153"/>
      <x:c r="D81" s="151" t="str">
        <x:f>IF(B81="","",'Configuracion'!$B$4)</x:f>
      </x:c>
      <x:c r="E81" s="154"/>
      <x:c r="F81" s="154"/>
      <x:c r="G81" s="151" t="str">
        <x:f>IFERROR(VLOOKUP(F81,'Base Sectores'!$A$5:$J$47,2,FALSE),"")</x:f>
      </x:c>
      <x:c r="H81" s="151" t="str">
        <x:f>IFERROR(VLOOKUP(F81,'Base Sectores'!$A$5:$J$47,3,FALSE),"")</x:f>
      </x:c>
      <x:c r="I81" s="151" t="str">
        <x:f>IFERROR(VLOOKUP(F81,'Base Sectores'!$A$5:$J$47,4,FALSE),"")</x:f>
      </x:c>
      <x:c r="J81" s="151" t="str">
        <x:f>IFERROR(VLOOKUP(F81,'Base Sectores'!$A$5:$J$47,5,FALSE),"")</x:f>
      </x:c>
      <x:c r="K81" s="151" t="str">
        <x:f>IFERROR(VLOOKUP(F81,'Base Sectores'!$A$5:$J$47,6,FALSE),"")</x:f>
      </x:c>
      <x:c r="L81" s="151" t="str">
        <x:f>IFERROR(VLOOKUP(F81,'Base Sectores'!$A$5:$J$47,7,FALSE),"")</x:f>
      </x:c>
      <x:c r="M81" s="151" t="str">
        <x:f>IFERROR(VLOOKUP(F81,'Base Sectores'!$A$5:$J$47,9,FALSE),"")</x:f>
      </x:c>
      <x:c r="N81" s="154"/>
      <x:c r="O81" s="151" t="str">
        <x:f>IFERROR(VLOOKUP(N81,'Configuracion'!$D$4:$H$15,2,FALSE),"")</x:f>
      </x:c>
      <x:c r="P81" s="151" t="str">
        <x:f>IFERROR(VLOOKUP(N81,'Configuracion'!$D$4:$H$15,3,FALSE),"")</x:f>
      </x:c>
      <x:c r="Q81" s="155"/>
      <x:c r="R81" s="156" t="str">
        <x:f>IFERROR(VLOOKUP(N81,'Configuracion'!$D$4:$H$15,4,FALSE),"")</x:f>
      </x:c>
      <x:c r="S81" s="153"/>
      <x:c r="T81" s="153"/>
      <x:c r="U81" s="156" t="str">
        <x:f>IF(OR(S81="",T81=""),"",MOD(T81-S81,1)*24)</x:f>
      </x:c>
      <x:c r="V81" s="154"/>
      <x:c r="W81" s="154"/>
      <x:c r="X81" s="151" t="str">
        <x:f>IFERROR(VLOOKUP(N81,'Configuracion'!$D$4:$H$15,5,FALSE),"")</x:f>
      </x:c>
      <x:c r="Y81" s="151" t="str">
        <x:f>IFERROR(VLOOKUP(V81,'Cuadrillas'!$A$5:$J$14,2,FALSE),"")</x:f>
      </x:c>
      <x:c r="Z81" s="154"/>
      <x:c r="AA81" s="154"/>
      <x:c r="AB81" s="154"/>
      <x:c r="AC81" s="153"/>
      <x:c r="AD81" s="153"/>
      <x:c r="AE81" s="156" t="str">
        <x:f>IF(OR(AC81="",AD81=""),"",MOD(AD81-AC81,1)*24)</x:f>
      </x:c>
      <x:c r="AF81" s="154"/>
      <x:c r="AG81" s="156" t="str">
        <x:f>IF(AE81="","",MAX(0,AE81-IF(AF81="",0,AF81/60)))</x:f>
      </x:c>
      <x:c r="AH81" s="155"/>
      <x:c r="AI81" s="154"/>
      <x:c r="AJ81" s="154"/>
      <x:c r="AK81" s="156" t="n">
        <x:f>IFERROR(U81*W81,"")</x:f>
        <x:v>0</x:v>
      </x:c>
      <x:c r="AL81" s="156" t="n">
        <x:f>IFERROR(AE81*AI81,"")</x:f>
        <x:v>0</x:v>
      </x:c>
      <x:c r="AM81" s="157" t="str">
        <x:f>IFERROR(AH81/Q81,"")</x:f>
      </x:c>
      <x:c r="AN81" s="156" t="str">
        <x:f>IFERROR(AH81/AG81,"")</x:f>
      </x:c>
      <x:c r="AO81" s="156" t="str">
        <x:f>IFERROR(AL81/AH81,"")</x:f>
      </x:c>
      <x:c r="AP81" s="157" t="str">
        <x:f>IFERROR(AG81/AE81,"")</x:f>
      </x:c>
      <x:c r="AQ81" s="157" t="str">
        <x:f>IFERROR(AN81/(R81/'Configuracion'!$B$13),"")</x:f>
      </x:c>
      <x:c r="AR81" s="156" t="n">
        <x:f>IFERROR(AE81-U81,"")</x:f>
        <x:v>0</x:v>
      </x:c>
      <x:c r="AS81" s="154"/>
      <x:c r="AT81" s="154"/>
      <x:c r="AU81" s="154"/>
      <x:c r="AV81" s="154"/>
      <x:c r="AW81" s="152"/>
      <x:c r="AX81" s="154"/>
      <x:c r="AY81" s="154"/>
      <x:c r="AZ81" s="151"/>
      <x:c r="BA81" s="151"/>
    </x:row>
    <x:row r="82">
      <x:c r="A82" s="151" t="str">
        <x:f>IF(B82="","",TEXT(B82,"yyyymmdd")&amp;"-"&amp;TEXT(COUNTIF($B$5:B82,B82),"000"))</x:f>
      </x:c>
      <x:c r="B82" s="152"/>
      <x:c r="C82" s="153"/>
      <x:c r="D82" s="151" t="str">
        <x:f>IF(B82="","",'Configuracion'!$B$4)</x:f>
      </x:c>
      <x:c r="E82" s="154"/>
      <x:c r="F82" s="154"/>
      <x:c r="G82" s="151" t="str">
        <x:f>IFERROR(VLOOKUP(F82,'Base Sectores'!$A$5:$J$47,2,FALSE),"")</x:f>
      </x:c>
      <x:c r="H82" s="151" t="str">
        <x:f>IFERROR(VLOOKUP(F82,'Base Sectores'!$A$5:$J$47,3,FALSE),"")</x:f>
      </x:c>
      <x:c r="I82" s="151" t="str">
        <x:f>IFERROR(VLOOKUP(F82,'Base Sectores'!$A$5:$J$47,4,FALSE),"")</x:f>
      </x:c>
      <x:c r="J82" s="151" t="str">
        <x:f>IFERROR(VLOOKUP(F82,'Base Sectores'!$A$5:$J$47,5,FALSE),"")</x:f>
      </x:c>
      <x:c r="K82" s="151" t="str">
        <x:f>IFERROR(VLOOKUP(F82,'Base Sectores'!$A$5:$J$47,6,FALSE),"")</x:f>
      </x:c>
      <x:c r="L82" s="151" t="str">
        <x:f>IFERROR(VLOOKUP(F82,'Base Sectores'!$A$5:$J$47,7,FALSE),"")</x:f>
      </x:c>
      <x:c r="M82" s="151" t="str">
        <x:f>IFERROR(VLOOKUP(F82,'Base Sectores'!$A$5:$J$47,9,FALSE),"")</x:f>
      </x:c>
      <x:c r="N82" s="154"/>
      <x:c r="O82" s="151" t="str">
        <x:f>IFERROR(VLOOKUP(N82,'Configuracion'!$D$4:$H$15,2,FALSE),"")</x:f>
      </x:c>
      <x:c r="P82" s="151" t="str">
        <x:f>IFERROR(VLOOKUP(N82,'Configuracion'!$D$4:$H$15,3,FALSE),"")</x:f>
      </x:c>
      <x:c r="Q82" s="155"/>
      <x:c r="R82" s="156" t="str">
        <x:f>IFERROR(VLOOKUP(N82,'Configuracion'!$D$4:$H$15,4,FALSE),"")</x:f>
      </x:c>
      <x:c r="S82" s="153"/>
      <x:c r="T82" s="153"/>
      <x:c r="U82" s="156" t="str">
        <x:f>IF(OR(S82="",T82=""),"",MOD(T82-S82,1)*24)</x:f>
      </x:c>
      <x:c r="V82" s="154"/>
      <x:c r="W82" s="154"/>
      <x:c r="X82" s="151" t="str">
        <x:f>IFERROR(VLOOKUP(N82,'Configuracion'!$D$4:$H$15,5,FALSE),"")</x:f>
      </x:c>
      <x:c r="Y82" s="151" t="str">
        <x:f>IFERROR(VLOOKUP(V82,'Cuadrillas'!$A$5:$J$14,2,FALSE),"")</x:f>
      </x:c>
      <x:c r="Z82" s="154"/>
      <x:c r="AA82" s="154"/>
      <x:c r="AB82" s="154"/>
      <x:c r="AC82" s="153"/>
      <x:c r="AD82" s="153"/>
      <x:c r="AE82" s="156" t="str">
        <x:f>IF(OR(AC82="",AD82=""),"",MOD(AD82-AC82,1)*24)</x:f>
      </x:c>
      <x:c r="AF82" s="154"/>
      <x:c r="AG82" s="156" t="str">
        <x:f>IF(AE82="","",MAX(0,AE82-IF(AF82="",0,AF82/60)))</x:f>
      </x:c>
      <x:c r="AH82" s="155"/>
      <x:c r="AI82" s="154"/>
      <x:c r="AJ82" s="154"/>
      <x:c r="AK82" s="156" t="n">
        <x:f>IFERROR(U82*W82,"")</x:f>
        <x:v>0</x:v>
      </x:c>
      <x:c r="AL82" s="156" t="n">
        <x:f>IFERROR(AE82*AI82,"")</x:f>
        <x:v>0</x:v>
      </x:c>
      <x:c r="AM82" s="157" t="str">
        <x:f>IFERROR(AH82/Q82,"")</x:f>
      </x:c>
      <x:c r="AN82" s="156" t="str">
        <x:f>IFERROR(AH82/AG82,"")</x:f>
      </x:c>
      <x:c r="AO82" s="156" t="str">
        <x:f>IFERROR(AL82/AH82,"")</x:f>
      </x:c>
      <x:c r="AP82" s="157" t="str">
        <x:f>IFERROR(AG82/AE82,"")</x:f>
      </x:c>
      <x:c r="AQ82" s="157" t="str">
        <x:f>IFERROR(AN82/(R82/'Configuracion'!$B$13),"")</x:f>
      </x:c>
      <x:c r="AR82" s="156" t="n">
        <x:f>IFERROR(AE82-U82,"")</x:f>
        <x:v>0</x:v>
      </x:c>
      <x:c r="AS82" s="154"/>
      <x:c r="AT82" s="154"/>
      <x:c r="AU82" s="154"/>
      <x:c r="AV82" s="154"/>
      <x:c r="AW82" s="152"/>
      <x:c r="AX82" s="154"/>
      <x:c r="AY82" s="154"/>
      <x:c r="AZ82" s="151"/>
      <x:c r="BA82" s="151"/>
    </x:row>
    <x:row r="83">
      <x:c r="A83" s="151" t="str">
        <x:f>IF(B83="","",TEXT(B83,"yyyymmdd")&amp;"-"&amp;TEXT(COUNTIF($B$5:B83,B83),"000"))</x:f>
      </x:c>
      <x:c r="B83" s="152"/>
      <x:c r="C83" s="153"/>
      <x:c r="D83" s="151" t="str">
        <x:f>IF(B83="","",'Configuracion'!$B$4)</x:f>
      </x:c>
      <x:c r="E83" s="154"/>
      <x:c r="F83" s="154"/>
      <x:c r="G83" s="151" t="str">
        <x:f>IFERROR(VLOOKUP(F83,'Base Sectores'!$A$5:$J$47,2,FALSE),"")</x:f>
      </x:c>
      <x:c r="H83" s="151" t="str">
        <x:f>IFERROR(VLOOKUP(F83,'Base Sectores'!$A$5:$J$47,3,FALSE),"")</x:f>
      </x:c>
      <x:c r="I83" s="151" t="str">
        <x:f>IFERROR(VLOOKUP(F83,'Base Sectores'!$A$5:$J$47,4,FALSE),"")</x:f>
      </x:c>
      <x:c r="J83" s="151" t="str">
        <x:f>IFERROR(VLOOKUP(F83,'Base Sectores'!$A$5:$J$47,5,FALSE),"")</x:f>
      </x:c>
      <x:c r="K83" s="151" t="str">
        <x:f>IFERROR(VLOOKUP(F83,'Base Sectores'!$A$5:$J$47,6,FALSE),"")</x:f>
      </x:c>
      <x:c r="L83" s="151" t="str">
        <x:f>IFERROR(VLOOKUP(F83,'Base Sectores'!$A$5:$J$47,7,FALSE),"")</x:f>
      </x:c>
      <x:c r="M83" s="151" t="str">
        <x:f>IFERROR(VLOOKUP(F83,'Base Sectores'!$A$5:$J$47,9,FALSE),"")</x:f>
      </x:c>
      <x:c r="N83" s="154"/>
      <x:c r="O83" s="151" t="str">
        <x:f>IFERROR(VLOOKUP(N83,'Configuracion'!$D$4:$H$15,2,FALSE),"")</x:f>
      </x:c>
      <x:c r="P83" s="151" t="str">
        <x:f>IFERROR(VLOOKUP(N83,'Configuracion'!$D$4:$H$15,3,FALSE),"")</x:f>
      </x:c>
      <x:c r="Q83" s="155"/>
      <x:c r="R83" s="156" t="str">
        <x:f>IFERROR(VLOOKUP(N83,'Configuracion'!$D$4:$H$15,4,FALSE),"")</x:f>
      </x:c>
      <x:c r="S83" s="153"/>
      <x:c r="T83" s="153"/>
      <x:c r="U83" s="156" t="str">
        <x:f>IF(OR(S83="",T83=""),"",MOD(T83-S83,1)*24)</x:f>
      </x:c>
      <x:c r="V83" s="154"/>
      <x:c r="W83" s="154"/>
      <x:c r="X83" s="151" t="str">
        <x:f>IFERROR(VLOOKUP(N83,'Configuracion'!$D$4:$H$15,5,FALSE),"")</x:f>
      </x:c>
      <x:c r="Y83" s="151" t="str">
        <x:f>IFERROR(VLOOKUP(V83,'Cuadrillas'!$A$5:$J$14,2,FALSE),"")</x:f>
      </x:c>
      <x:c r="Z83" s="154"/>
      <x:c r="AA83" s="154"/>
      <x:c r="AB83" s="154"/>
      <x:c r="AC83" s="153"/>
      <x:c r="AD83" s="153"/>
      <x:c r="AE83" s="156" t="str">
        <x:f>IF(OR(AC83="",AD83=""),"",MOD(AD83-AC83,1)*24)</x:f>
      </x:c>
      <x:c r="AF83" s="154"/>
      <x:c r="AG83" s="156" t="str">
        <x:f>IF(AE83="","",MAX(0,AE83-IF(AF83="",0,AF83/60)))</x:f>
      </x:c>
      <x:c r="AH83" s="155"/>
      <x:c r="AI83" s="154"/>
      <x:c r="AJ83" s="154"/>
      <x:c r="AK83" s="156" t="n">
        <x:f>IFERROR(U83*W83,"")</x:f>
        <x:v>0</x:v>
      </x:c>
      <x:c r="AL83" s="156" t="n">
        <x:f>IFERROR(AE83*AI83,"")</x:f>
        <x:v>0</x:v>
      </x:c>
      <x:c r="AM83" s="157" t="str">
        <x:f>IFERROR(AH83/Q83,"")</x:f>
      </x:c>
      <x:c r="AN83" s="156" t="str">
        <x:f>IFERROR(AH83/AG83,"")</x:f>
      </x:c>
      <x:c r="AO83" s="156" t="str">
        <x:f>IFERROR(AL83/AH83,"")</x:f>
      </x:c>
      <x:c r="AP83" s="157" t="str">
        <x:f>IFERROR(AG83/AE83,"")</x:f>
      </x:c>
      <x:c r="AQ83" s="157" t="str">
        <x:f>IFERROR(AN83/(R83/'Configuracion'!$B$13),"")</x:f>
      </x:c>
      <x:c r="AR83" s="156" t="n">
        <x:f>IFERROR(AE83-U83,"")</x:f>
        <x:v>0</x:v>
      </x:c>
      <x:c r="AS83" s="154"/>
      <x:c r="AT83" s="154"/>
      <x:c r="AU83" s="154"/>
      <x:c r="AV83" s="154"/>
      <x:c r="AW83" s="152"/>
      <x:c r="AX83" s="154"/>
      <x:c r="AY83" s="154"/>
      <x:c r="AZ83" s="151"/>
      <x:c r="BA83" s="151"/>
    </x:row>
    <x:row r="84">
      <x:c r="A84" s="151" t="str">
        <x:f>IF(B84="","",TEXT(B84,"yyyymmdd")&amp;"-"&amp;TEXT(COUNTIF($B$5:B84,B84),"000"))</x:f>
      </x:c>
      <x:c r="B84" s="152"/>
      <x:c r="C84" s="153"/>
      <x:c r="D84" s="151" t="str">
        <x:f>IF(B84="","",'Configuracion'!$B$4)</x:f>
      </x:c>
      <x:c r="E84" s="154"/>
      <x:c r="F84" s="154"/>
      <x:c r="G84" s="151" t="str">
        <x:f>IFERROR(VLOOKUP(F84,'Base Sectores'!$A$5:$J$47,2,FALSE),"")</x:f>
      </x:c>
      <x:c r="H84" s="151" t="str">
        <x:f>IFERROR(VLOOKUP(F84,'Base Sectores'!$A$5:$J$47,3,FALSE),"")</x:f>
      </x:c>
      <x:c r="I84" s="151" t="str">
        <x:f>IFERROR(VLOOKUP(F84,'Base Sectores'!$A$5:$J$47,4,FALSE),"")</x:f>
      </x:c>
      <x:c r="J84" s="151" t="str">
        <x:f>IFERROR(VLOOKUP(F84,'Base Sectores'!$A$5:$J$47,5,FALSE),"")</x:f>
      </x:c>
      <x:c r="K84" s="151" t="str">
        <x:f>IFERROR(VLOOKUP(F84,'Base Sectores'!$A$5:$J$47,6,FALSE),"")</x:f>
      </x:c>
      <x:c r="L84" s="151" t="str">
        <x:f>IFERROR(VLOOKUP(F84,'Base Sectores'!$A$5:$J$47,7,FALSE),"")</x:f>
      </x:c>
      <x:c r="M84" s="151" t="str">
        <x:f>IFERROR(VLOOKUP(F84,'Base Sectores'!$A$5:$J$47,9,FALSE),"")</x:f>
      </x:c>
      <x:c r="N84" s="154"/>
      <x:c r="O84" s="151" t="str">
        <x:f>IFERROR(VLOOKUP(N84,'Configuracion'!$D$4:$H$15,2,FALSE),"")</x:f>
      </x:c>
      <x:c r="P84" s="151" t="str">
        <x:f>IFERROR(VLOOKUP(N84,'Configuracion'!$D$4:$H$15,3,FALSE),"")</x:f>
      </x:c>
      <x:c r="Q84" s="155"/>
      <x:c r="R84" s="156" t="str">
        <x:f>IFERROR(VLOOKUP(N84,'Configuracion'!$D$4:$H$15,4,FALSE),"")</x:f>
      </x:c>
      <x:c r="S84" s="153"/>
      <x:c r="T84" s="153"/>
      <x:c r="U84" s="156" t="str">
        <x:f>IF(OR(S84="",T84=""),"",MOD(T84-S84,1)*24)</x:f>
      </x:c>
      <x:c r="V84" s="154"/>
      <x:c r="W84" s="154"/>
      <x:c r="X84" s="151" t="str">
        <x:f>IFERROR(VLOOKUP(N84,'Configuracion'!$D$4:$H$15,5,FALSE),"")</x:f>
      </x:c>
      <x:c r="Y84" s="151" t="str">
        <x:f>IFERROR(VLOOKUP(V84,'Cuadrillas'!$A$5:$J$14,2,FALSE),"")</x:f>
      </x:c>
      <x:c r="Z84" s="154"/>
      <x:c r="AA84" s="154"/>
      <x:c r="AB84" s="154"/>
      <x:c r="AC84" s="153"/>
      <x:c r="AD84" s="153"/>
      <x:c r="AE84" s="156" t="str">
        <x:f>IF(OR(AC84="",AD84=""),"",MOD(AD84-AC84,1)*24)</x:f>
      </x:c>
      <x:c r="AF84" s="154"/>
      <x:c r="AG84" s="156" t="str">
        <x:f>IF(AE84="","",MAX(0,AE84-IF(AF84="",0,AF84/60)))</x:f>
      </x:c>
      <x:c r="AH84" s="155"/>
      <x:c r="AI84" s="154"/>
      <x:c r="AJ84" s="154"/>
      <x:c r="AK84" s="156" t="n">
        <x:f>IFERROR(U84*W84,"")</x:f>
        <x:v>0</x:v>
      </x:c>
      <x:c r="AL84" s="156" t="n">
        <x:f>IFERROR(AE84*AI84,"")</x:f>
        <x:v>0</x:v>
      </x:c>
      <x:c r="AM84" s="157" t="str">
        <x:f>IFERROR(AH84/Q84,"")</x:f>
      </x:c>
      <x:c r="AN84" s="156" t="str">
        <x:f>IFERROR(AH84/AG84,"")</x:f>
      </x:c>
      <x:c r="AO84" s="156" t="str">
        <x:f>IFERROR(AL84/AH84,"")</x:f>
      </x:c>
      <x:c r="AP84" s="157" t="str">
        <x:f>IFERROR(AG84/AE84,"")</x:f>
      </x:c>
      <x:c r="AQ84" s="157" t="str">
        <x:f>IFERROR(AN84/(R84/'Configuracion'!$B$13),"")</x:f>
      </x:c>
      <x:c r="AR84" s="156" t="n">
        <x:f>IFERROR(AE84-U84,"")</x:f>
        <x:v>0</x:v>
      </x:c>
      <x:c r="AS84" s="154"/>
      <x:c r="AT84" s="154"/>
      <x:c r="AU84" s="154"/>
      <x:c r="AV84" s="154"/>
      <x:c r="AW84" s="152"/>
      <x:c r="AX84" s="154"/>
      <x:c r="AY84" s="154"/>
      <x:c r="AZ84" s="151"/>
      <x:c r="BA84" s="151"/>
    </x:row>
    <x:row r="85">
      <x:c r="A85" s="151" t="str">
        <x:f>IF(B85="","",TEXT(B85,"yyyymmdd")&amp;"-"&amp;TEXT(COUNTIF($B$5:B85,B85),"000"))</x:f>
      </x:c>
      <x:c r="B85" s="152"/>
      <x:c r="C85" s="153"/>
      <x:c r="D85" s="151" t="str">
        <x:f>IF(B85="","",'Configuracion'!$B$4)</x:f>
      </x:c>
      <x:c r="E85" s="154"/>
      <x:c r="F85" s="154"/>
      <x:c r="G85" s="151" t="str">
        <x:f>IFERROR(VLOOKUP(F85,'Base Sectores'!$A$5:$J$47,2,FALSE),"")</x:f>
      </x:c>
      <x:c r="H85" s="151" t="str">
        <x:f>IFERROR(VLOOKUP(F85,'Base Sectores'!$A$5:$J$47,3,FALSE),"")</x:f>
      </x:c>
      <x:c r="I85" s="151" t="str">
        <x:f>IFERROR(VLOOKUP(F85,'Base Sectores'!$A$5:$J$47,4,FALSE),"")</x:f>
      </x:c>
      <x:c r="J85" s="151" t="str">
        <x:f>IFERROR(VLOOKUP(F85,'Base Sectores'!$A$5:$J$47,5,FALSE),"")</x:f>
      </x:c>
      <x:c r="K85" s="151" t="str">
        <x:f>IFERROR(VLOOKUP(F85,'Base Sectores'!$A$5:$J$47,6,FALSE),"")</x:f>
      </x:c>
      <x:c r="L85" s="151" t="str">
        <x:f>IFERROR(VLOOKUP(F85,'Base Sectores'!$A$5:$J$47,7,FALSE),"")</x:f>
      </x:c>
      <x:c r="M85" s="151" t="str">
        <x:f>IFERROR(VLOOKUP(F85,'Base Sectores'!$A$5:$J$47,9,FALSE),"")</x:f>
      </x:c>
      <x:c r="N85" s="154"/>
      <x:c r="O85" s="151" t="str">
        <x:f>IFERROR(VLOOKUP(N85,'Configuracion'!$D$4:$H$15,2,FALSE),"")</x:f>
      </x:c>
      <x:c r="P85" s="151" t="str">
        <x:f>IFERROR(VLOOKUP(N85,'Configuracion'!$D$4:$H$15,3,FALSE),"")</x:f>
      </x:c>
      <x:c r="Q85" s="155"/>
      <x:c r="R85" s="156" t="str">
        <x:f>IFERROR(VLOOKUP(N85,'Configuracion'!$D$4:$H$15,4,FALSE),"")</x:f>
      </x:c>
      <x:c r="S85" s="153"/>
      <x:c r="T85" s="153"/>
      <x:c r="U85" s="156" t="str">
        <x:f>IF(OR(S85="",T85=""),"",MOD(T85-S85,1)*24)</x:f>
      </x:c>
      <x:c r="V85" s="154"/>
      <x:c r="W85" s="154"/>
      <x:c r="X85" s="151" t="str">
        <x:f>IFERROR(VLOOKUP(N85,'Configuracion'!$D$4:$H$15,5,FALSE),"")</x:f>
      </x:c>
      <x:c r="Y85" s="151" t="str">
        <x:f>IFERROR(VLOOKUP(V85,'Cuadrillas'!$A$5:$J$14,2,FALSE),"")</x:f>
      </x:c>
      <x:c r="Z85" s="154"/>
      <x:c r="AA85" s="154"/>
      <x:c r="AB85" s="154"/>
      <x:c r="AC85" s="153"/>
      <x:c r="AD85" s="153"/>
      <x:c r="AE85" s="156" t="str">
        <x:f>IF(OR(AC85="",AD85=""),"",MOD(AD85-AC85,1)*24)</x:f>
      </x:c>
      <x:c r="AF85" s="154"/>
      <x:c r="AG85" s="156" t="str">
        <x:f>IF(AE85="","",MAX(0,AE85-IF(AF85="",0,AF85/60)))</x:f>
      </x:c>
      <x:c r="AH85" s="155"/>
      <x:c r="AI85" s="154"/>
      <x:c r="AJ85" s="154"/>
      <x:c r="AK85" s="156" t="n">
        <x:f>IFERROR(U85*W85,"")</x:f>
        <x:v>0</x:v>
      </x:c>
      <x:c r="AL85" s="156" t="n">
        <x:f>IFERROR(AE85*AI85,"")</x:f>
        <x:v>0</x:v>
      </x:c>
      <x:c r="AM85" s="157" t="str">
        <x:f>IFERROR(AH85/Q85,"")</x:f>
      </x:c>
      <x:c r="AN85" s="156" t="str">
        <x:f>IFERROR(AH85/AG85,"")</x:f>
      </x:c>
      <x:c r="AO85" s="156" t="str">
        <x:f>IFERROR(AL85/AH85,"")</x:f>
      </x:c>
      <x:c r="AP85" s="157" t="str">
        <x:f>IFERROR(AG85/AE85,"")</x:f>
      </x:c>
      <x:c r="AQ85" s="157" t="str">
        <x:f>IFERROR(AN85/(R85/'Configuracion'!$B$13),"")</x:f>
      </x:c>
      <x:c r="AR85" s="156" t="n">
        <x:f>IFERROR(AE85-U85,"")</x:f>
        <x:v>0</x:v>
      </x:c>
      <x:c r="AS85" s="154"/>
      <x:c r="AT85" s="154"/>
      <x:c r="AU85" s="154"/>
      <x:c r="AV85" s="154"/>
      <x:c r="AW85" s="152"/>
      <x:c r="AX85" s="154"/>
      <x:c r="AY85" s="154"/>
      <x:c r="AZ85" s="151"/>
      <x:c r="BA85" s="151"/>
    </x:row>
    <x:row r="86">
      <x:c r="A86" s="151" t="str">
        <x:f>IF(B86="","",TEXT(B86,"yyyymmdd")&amp;"-"&amp;TEXT(COUNTIF($B$5:B86,B86),"000"))</x:f>
      </x:c>
      <x:c r="B86" s="152"/>
      <x:c r="C86" s="153"/>
      <x:c r="D86" s="151" t="str">
        <x:f>IF(B86="","",'Configuracion'!$B$4)</x:f>
      </x:c>
      <x:c r="E86" s="154"/>
      <x:c r="F86" s="154"/>
      <x:c r="G86" s="151" t="str">
        <x:f>IFERROR(VLOOKUP(F86,'Base Sectores'!$A$5:$J$47,2,FALSE),"")</x:f>
      </x:c>
      <x:c r="H86" s="151" t="str">
        <x:f>IFERROR(VLOOKUP(F86,'Base Sectores'!$A$5:$J$47,3,FALSE),"")</x:f>
      </x:c>
      <x:c r="I86" s="151" t="str">
        <x:f>IFERROR(VLOOKUP(F86,'Base Sectores'!$A$5:$J$47,4,FALSE),"")</x:f>
      </x:c>
      <x:c r="J86" s="151" t="str">
        <x:f>IFERROR(VLOOKUP(F86,'Base Sectores'!$A$5:$J$47,5,FALSE),"")</x:f>
      </x:c>
      <x:c r="K86" s="151" t="str">
        <x:f>IFERROR(VLOOKUP(F86,'Base Sectores'!$A$5:$J$47,6,FALSE),"")</x:f>
      </x:c>
      <x:c r="L86" s="151" t="str">
        <x:f>IFERROR(VLOOKUP(F86,'Base Sectores'!$A$5:$J$47,7,FALSE),"")</x:f>
      </x:c>
      <x:c r="M86" s="151" t="str">
        <x:f>IFERROR(VLOOKUP(F86,'Base Sectores'!$A$5:$J$47,9,FALSE),"")</x:f>
      </x:c>
      <x:c r="N86" s="154"/>
      <x:c r="O86" s="151" t="str">
        <x:f>IFERROR(VLOOKUP(N86,'Configuracion'!$D$4:$H$15,2,FALSE),"")</x:f>
      </x:c>
      <x:c r="P86" s="151" t="str">
        <x:f>IFERROR(VLOOKUP(N86,'Configuracion'!$D$4:$H$15,3,FALSE),"")</x:f>
      </x:c>
      <x:c r="Q86" s="155"/>
      <x:c r="R86" s="156" t="str">
        <x:f>IFERROR(VLOOKUP(N86,'Configuracion'!$D$4:$H$15,4,FALSE),"")</x:f>
      </x:c>
      <x:c r="S86" s="153"/>
      <x:c r="T86" s="153"/>
      <x:c r="U86" s="156" t="str">
        <x:f>IF(OR(S86="",T86=""),"",MOD(T86-S86,1)*24)</x:f>
      </x:c>
      <x:c r="V86" s="154"/>
      <x:c r="W86" s="154"/>
      <x:c r="X86" s="151" t="str">
        <x:f>IFERROR(VLOOKUP(N86,'Configuracion'!$D$4:$H$15,5,FALSE),"")</x:f>
      </x:c>
      <x:c r="Y86" s="151" t="str">
        <x:f>IFERROR(VLOOKUP(V86,'Cuadrillas'!$A$5:$J$14,2,FALSE),"")</x:f>
      </x:c>
      <x:c r="Z86" s="154"/>
      <x:c r="AA86" s="154"/>
      <x:c r="AB86" s="154"/>
      <x:c r="AC86" s="153"/>
      <x:c r="AD86" s="153"/>
      <x:c r="AE86" s="156" t="str">
        <x:f>IF(OR(AC86="",AD86=""),"",MOD(AD86-AC86,1)*24)</x:f>
      </x:c>
      <x:c r="AF86" s="154"/>
      <x:c r="AG86" s="156" t="str">
        <x:f>IF(AE86="","",MAX(0,AE86-IF(AF86="",0,AF86/60)))</x:f>
      </x:c>
      <x:c r="AH86" s="155"/>
      <x:c r="AI86" s="154"/>
      <x:c r="AJ86" s="154"/>
      <x:c r="AK86" s="156" t="n">
        <x:f>IFERROR(U86*W86,"")</x:f>
        <x:v>0</x:v>
      </x:c>
      <x:c r="AL86" s="156" t="n">
        <x:f>IFERROR(AE86*AI86,"")</x:f>
        <x:v>0</x:v>
      </x:c>
      <x:c r="AM86" s="157" t="str">
        <x:f>IFERROR(AH86/Q86,"")</x:f>
      </x:c>
      <x:c r="AN86" s="156" t="str">
        <x:f>IFERROR(AH86/AG86,"")</x:f>
      </x:c>
      <x:c r="AO86" s="156" t="str">
        <x:f>IFERROR(AL86/AH86,"")</x:f>
      </x:c>
      <x:c r="AP86" s="157" t="str">
        <x:f>IFERROR(AG86/AE86,"")</x:f>
      </x:c>
      <x:c r="AQ86" s="157" t="str">
        <x:f>IFERROR(AN86/(R86/'Configuracion'!$B$13),"")</x:f>
      </x:c>
      <x:c r="AR86" s="156" t="n">
        <x:f>IFERROR(AE86-U86,"")</x:f>
        <x:v>0</x:v>
      </x:c>
      <x:c r="AS86" s="154"/>
      <x:c r="AT86" s="154"/>
      <x:c r="AU86" s="154"/>
      <x:c r="AV86" s="154"/>
      <x:c r="AW86" s="152"/>
      <x:c r="AX86" s="154"/>
      <x:c r="AY86" s="154"/>
      <x:c r="AZ86" s="151"/>
      <x:c r="BA86" s="151"/>
    </x:row>
    <x:row r="87">
      <x:c r="A87" s="151" t="str">
        <x:f>IF(B87="","",TEXT(B87,"yyyymmdd")&amp;"-"&amp;TEXT(COUNTIF($B$5:B87,B87),"000"))</x:f>
      </x:c>
      <x:c r="B87" s="152"/>
      <x:c r="C87" s="153"/>
      <x:c r="D87" s="151" t="str">
        <x:f>IF(B87="","",'Configuracion'!$B$4)</x:f>
      </x:c>
      <x:c r="E87" s="154"/>
      <x:c r="F87" s="154"/>
      <x:c r="G87" s="151" t="str">
        <x:f>IFERROR(VLOOKUP(F87,'Base Sectores'!$A$5:$J$47,2,FALSE),"")</x:f>
      </x:c>
      <x:c r="H87" s="151" t="str">
        <x:f>IFERROR(VLOOKUP(F87,'Base Sectores'!$A$5:$J$47,3,FALSE),"")</x:f>
      </x:c>
      <x:c r="I87" s="151" t="str">
        <x:f>IFERROR(VLOOKUP(F87,'Base Sectores'!$A$5:$J$47,4,FALSE),"")</x:f>
      </x:c>
      <x:c r="J87" s="151" t="str">
        <x:f>IFERROR(VLOOKUP(F87,'Base Sectores'!$A$5:$J$47,5,FALSE),"")</x:f>
      </x:c>
      <x:c r="K87" s="151" t="str">
        <x:f>IFERROR(VLOOKUP(F87,'Base Sectores'!$A$5:$J$47,6,FALSE),"")</x:f>
      </x:c>
      <x:c r="L87" s="151" t="str">
        <x:f>IFERROR(VLOOKUP(F87,'Base Sectores'!$A$5:$J$47,7,FALSE),"")</x:f>
      </x:c>
      <x:c r="M87" s="151" t="str">
        <x:f>IFERROR(VLOOKUP(F87,'Base Sectores'!$A$5:$J$47,9,FALSE),"")</x:f>
      </x:c>
      <x:c r="N87" s="154"/>
      <x:c r="O87" s="151" t="str">
        <x:f>IFERROR(VLOOKUP(N87,'Configuracion'!$D$4:$H$15,2,FALSE),"")</x:f>
      </x:c>
      <x:c r="P87" s="151" t="str">
        <x:f>IFERROR(VLOOKUP(N87,'Configuracion'!$D$4:$H$15,3,FALSE),"")</x:f>
      </x:c>
      <x:c r="Q87" s="155"/>
      <x:c r="R87" s="156" t="str">
        <x:f>IFERROR(VLOOKUP(N87,'Configuracion'!$D$4:$H$15,4,FALSE),"")</x:f>
      </x:c>
      <x:c r="S87" s="153"/>
      <x:c r="T87" s="153"/>
      <x:c r="U87" s="156" t="str">
        <x:f>IF(OR(S87="",T87=""),"",MOD(T87-S87,1)*24)</x:f>
      </x:c>
      <x:c r="V87" s="154"/>
      <x:c r="W87" s="154"/>
      <x:c r="X87" s="151" t="str">
        <x:f>IFERROR(VLOOKUP(N87,'Configuracion'!$D$4:$H$15,5,FALSE),"")</x:f>
      </x:c>
      <x:c r="Y87" s="151" t="str">
        <x:f>IFERROR(VLOOKUP(V87,'Cuadrillas'!$A$5:$J$14,2,FALSE),"")</x:f>
      </x:c>
      <x:c r="Z87" s="154"/>
      <x:c r="AA87" s="154"/>
      <x:c r="AB87" s="154"/>
      <x:c r="AC87" s="153"/>
      <x:c r="AD87" s="153"/>
      <x:c r="AE87" s="156" t="str">
        <x:f>IF(OR(AC87="",AD87=""),"",MOD(AD87-AC87,1)*24)</x:f>
      </x:c>
      <x:c r="AF87" s="154"/>
      <x:c r="AG87" s="156" t="str">
        <x:f>IF(AE87="","",MAX(0,AE87-IF(AF87="",0,AF87/60)))</x:f>
      </x:c>
      <x:c r="AH87" s="155"/>
      <x:c r="AI87" s="154"/>
      <x:c r="AJ87" s="154"/>
      <x:c r="AK87" s="156" t="n">
        <x:f>IFERROR(U87*W87,"")</x:f>
        <x:v>0</x:v>
      </x:c>
      <x:c r="AL87" s="156" t="n">
        <x:f>IFERROR(AE87*AI87,"")</x:f>
        <x:v>0</x:v>
      </x:c>
      <x:c r="AM87" s="157" t="str">
        <x:f>IFERROR(AH87/Q87,"")</x:f>
      </x:c>
      <x:c r="AN87" s="156" t="str">
        <x:f>IFERROR(AH87/AG87,"")</x:f>
      </x:c>
      <x:c r="AO87" s="156" t="str">
        <x:f>IFERROR(AL87/AH87,"")</x:f>
      </x:c>
      <x:c r="AP87" s="157" t="str">
        <x:f>IFERROR(AG87/AE87,"")</x:f>
      </x:c>
      <x:c r="AQ87" s="157" t="str">
        <x:f>IFERROR(AN87/(R87/'Configuracion'!$B$13),"")</x:f>
      </x:c>
      <x:c r="AR87" s="156" t="n">
        <x:f>IFERROR(AE87-U87,"")</x:f>
        <x:v>0</x:v>
      </x:c>
      <x:c r="AS87" s="154"/>
      <x:c r="AT87" s="154"/>
      <x:c r="AU87" s="154"/>
      <x:c r="AV87" s="154"/>
      <x:c r="AW87" s="152"/>
      <x:c r="AX87" s="154"/>
      <x:c r="AY87" s="154"/>
      <x:c r="AZ87" s="151"/>
      <x:c r="BA87" s="151"/>
    </x:row>
    <x:row r="88">
      <x:c r="A88" s="151" t="str">
        <x:f>IF(B88="","",TEXT(B88,"yyyymmdd")&amp;"-"&amp;TEXT(COUNTIF($B$5:B88,B88),"000"))</x:f>
      </x:c>
      <x:c r="B88" s="152"/>
      <x:c r="C88" s="153"/>
      <x:c r="D88" s="151" t="str">
        <x:f>IF(B88="","",'Configuracion'!$B$4)</x:f>
      </x:c>
      <x:c r="E88" s="154"/>
      <x:c r="F88" s="154"/>
      <x:c r="G88" s="151" t="str">
        <x:f>IFERROR(VLOOKUP(F88,'Base Sectores'!$A$5:$J$47,2,FALSE),"")</x:f>
      </x:c>
      <x:c r="H88" s="151" t="str">
        <x:f>IFERROR(VLOOKUP(F88,'Base Sectores'!$A$5:$J$47,3,FALSE),"")</x:f>
      </x:c>
      <x:c r="I88" s="151" t="str">
        <x:f>IFERROR(VLOOKUP(F88,'Base Sectores'!$A$5:$J$47,4,FALSE),"")</x:f>
      </x:c>
      <x:c r="J88" s="151" t="str">
        <x:f>IFERROR(VLOOKUP(F88,'Base Sectores'!$A$5:$J$47,5,FALSE),"")</x:f>
      </x:c>
      <x:c r="K88" s="151" t="str">
        <x:f>IFERROR(VLOOKUP(F88,'Base Sectores'!$A$5:$J$47,6,FALSE),"")</x:f>
      </x:c>
      <x:c r="L88" s="151" t="str">
        <x:f>IFERROR(VLOOKUP(F88,'Base Sectores'!$A$5:$J$47,7,FALSE),"")</x:f>
      </x:c>
      <x:c r="M88" s="151" t="str">
        <x:f>IFERROR(VLOOKUP(F88,'Base Sectores'!$A$5:$J$47,9,FALSE),"")</x:f>
      </x:c>
      <x:c r="N88" s="154"/>
      <x:c r="O88" s="151" t="str">
        <x:f>IFERROR(VLOOKUP(N88,'Configuracion'!$D$4:$H$15,2,FALSE),"")</x:f>
      </x:c>
      <x:c r="P88" s="151" t="str">
        <x:f>IFERROR(VLOOKUP(N88,'Configuracion'!$D$4:$H$15,3,FALSE),"")</x:f>
      </x:c>
      <x:c r="Q88" s="155"/>
      <x:c r="R88" s="156" t="str">
        <x:f>IFERROR(VLOOKUP(N88,'Configuracion'!$D$4:$H$15,4,FALSE),"")</x:f>
      </x:c>
      <x:c r="S88" s="153"/>
      <x:c r="T88" s="153"/>
      <x:c r="U88" s="156" t="str">
        <x:f>IF(OR(S88="",T88=""),"",MOD(T88-S88,1)*24)</x:f>
      </x:c>
      <x:c r="V88" s="154"/>
      <x:c r="W88" s="154"/>
      <x:c r="X88" s="151" t="str">
        <x:f>IFERROR(VLOOKUP(N88,'Configuracion'!$D$4:$H$15,5,FALSE),"")</x:f>
      </x:c>
      <x:c r="Y88" s="151" t="str">
        <x:f>IFERROR(VLOOKUP(V88,'Cuadrillas'!$A$5:$J$14,2,FALSE),"")</x:f>
      </x:c>
      <x:c r="Z88" s="154"/>
      <x:c r="AA88" s="154"/>
      <x:c r="AB88" s="154"/>
      <x:c r="AC88" s="153"/>
      <x:c r="AD88" s="153"/>
      <x:c r="AE88" s="156" t="str">
        <x:f>IF(OR(AC88="",AD88=""),"",MOD(AD88-AC88,1)*24)</x:f>
      </x:c>
      <x:c r="AF88" s="154"/>
      <x:c r="AG88" s="156" t="str">
        <x:f>IF(AE88="","",MAX(0,AE88-IF(AF88="",0,AF88/60)))</x:f>
      </x:c>
      <x:c r="AH88" s="155"/>
      <x:c r="AI88" s="154"/>
      <x:c r="AJ88" s="154"/>
      <x:c r="AK88" s="156" t="n">
        <x:f>IFERROR(U88*W88,"")</x:f>
        <x:v>0</x:v>
      </x:c>
      <x:c r="AL88" s="156" t="n">
        <x:f>IFERROR(AE88*AI88,"")</x:f>
        <x:v>0</x:v>
      </x:c>
      <x:c r="AM88" s="157" t="str">
        <x:f>IFERROR(AH88/Q88,"")</x:f>
      </x:c>
      <x:c r="AN88" s="156" t="str">
        <x:f>IFERROR(AH88/AG88,"")</x:f>
      </x:c>
      <x:c r="AO88" s="156" t="str">
        <x:f>IFERROR(AL88/AH88,"")</x:f>
      </x:c>
      <x:c r="AP88" s="157" t="str">
        <x:f>IFERROR(AG88/AE88,"")</x:f>
      </x:c>
      <x:c r="AQ88" s="157" t="str">
        <x:f>IFERROR(AN88/(R88/'Configuracion'!$B$13),"")</x:f>
      </x:c>
      <x:c r="AR88" s="156" t="n">
        <x:f>IFERROR(AE88-U88,"")</x:f>
        <x:v>0</x:v>
      </x:c>
      <x:c r="AS88" s="154"/>
      <x:c r="AT88" s="154"/>
      <x:c r="AU88" s="154"/>
      <x:c r="AV88" s="154"/>
      <x:c r="AW88" s="152"/>
      <x:c r="AX88" s="154"/>
      <x:c r="AY88" s="154"/>
      <x:c r="AZ88" s="151"/>
      <x:c r="BA88" s="151"/>
    </x:row>
    <x:row r="89">
      <x:c r="A89" s="151" t="str">
        <x:f>IF(B89="","",TEXT(B89,"yyyymmdd")&amp;"-"&amp;TEXT(COUNTIF($B$5:B89,B89),"000"))</x:f>
      </x:c>
      <x:c r="B89" s="152"/>
      <x:c r="C89" s="153"/>
      <x:c r="D89" s="151" t="str">
        <x:f>IF(B89="","",'Configuracion'!$B$4)</x:f>
      </x:c>
      <x:c r="E89" s="154"/>
      <x:c r="F89" s="154"/>
      <x:c r="G89" s="151" t="str">
        <x:f>IFERROR(VLOOKUP(F89,'Base Sectores'!$A$5:$J$47,2,FALSE),"")</x:f>
      </x:c>
      <x:c r="H89" s="151" t="str">
        <x:f>IFERROR(VLOOKUP(F89,'Base Sectores'!$A$5:$J$47,3,FALSE),"")</x:f>
      </x:c>
      <x:c r="I89" s="151" t="str">
        <x:f>IFERROR(VLOOKUP(F89,'Base Sectores'!$A$5:$J$47,4,FALSE),"")</x:f>
      </x:c>
      <x:c r="J89" s="151" t="str">
        <x:f>IFERROR(VLOOKUP(F89,'Base Sectores'!$A$5:$J$47,5,FALSE),"")</x:f>
      </x:c>
      <x:c r="K89" s="151" t="str">
        <x:f>IFERROR(VLOOKUP(F89,'Base Sectores'!$A$5:$J$47,6,FALSE),"")</x:f>
      </x:c>
      <x:c r="L89" s="151" t="str">
        <x:f>IFERROR(VLOOKUP(F89,'Base Sectores'!$A$5:$J$47,7,FALSE),"")</x:f>
      </x:c>
      <x:c r="M89" s="151" t="str">
        <x:f>IFERROR(VLOOKUP(F89,'Base Sectores'!$A$5:$J$47,9,FALSE),"")</x:f>
      </x:c>
      <x:c r="N89" s="154"/>
      <x:c r="O89" s="151" t="str">
        <x:f>IFERROR(VLOOKUP(N89,'Configuracion'!$D$4:$H$15,2,FALSE),"")</x:f>
      </x:c>
      <x:c r="P89" s="151" t="str">
        <x:f>IFERROR(VLOOKUP(N89,'Configuracion'!$D$4:$H$15,3,FALSE),"")</x:f>
      </x:c>
      <x:c r="Q89" s="155"/>
      <x:c r="R89" s="156" t="str">
        <x:f>IFERROR(VLOOKUP(N89,'Configuracion'!$D$4:$H$15,4,FALSE),"")</x:f>
      </x:c>
      <x:c r="S89" s="153"/>
      <x:c r="T89" s="153"/>
      <x:c r="U89" s="156" t="str">
        <x:f>IF(OR(S89="",T89=""),"",MOD(T89-S89,1)*24)</x:f>
      </x:c>
      <x:c r="V89" s="154"/>
      <x:c r="W89" s="154"/>
      <x:c r="X89" s="151" t="str">
        <x:f>IFERROR(VLOOKUP(N89,'Configuracion'!$D$4:$H$15,5,FALSE),"")</x:f>
      </x:c>
      <x:c r="Y89" s="151" t="str">
        <x:f>IFERROR(VLOOKUP(V89,'Cuadrillas'!$A$5:$J$14,2,FALSE),"")</x:f>
      </x:c>
      <x:c r="Z89" s="154"/>
      <x:c r="AA89" s="154"/>
      <x:c r="AB89" s="154"/>
      <x:c r="AC89" s="153"/>
      <x:c r="AD89" s="153"/>
      <x:c r="AE89" s="156" t="str">
        <x:f>IF(OR(AC89="",AD89=""),"",MOD(AD89-AC89,1)*24)</x:f>
      </x:c>
      <x:c r="AF89" s="154"/>
      <x:c r="AG89" s="156" t="str">
        <x:f>IF(AE89="","",MAX(0,AE89-IF(AF89="",0,AF89/60)))</x:f>
      </x:c>
      <x:c r="AH89" s="155"/>
      <x:c r="AI89" s="154"/>
      <x:c r="AJ89" s="154"/>
      <x:c r="AK89" s="156" t="n">
        <x:f>IFERROR(U89*W89,"")</x:f>
        <x:v>0</x:v>
      </x:c>
      <x:c r="AL89" s="156" t="n">
        <x:f>IFERROR(AE89*AI89,"")</x:f>
        <x:v>0</x:v>
      </x:c>
      <x:c r="AM89" s="157" t="str">
        <x:f>IFERROR(AH89/Q89,"")</x:f>
      </x:c>
      <x:c r="AN89" s="156" t="str">
        <x:f>IFERROR(AH89/AG89,"")</x:f>
      </x:c>
      <x:c r="AO89" s="156" t="str">
        <x:f>IFERROR(AL89/AH89,"")</x:f>
      </x:c>
      <x:c r="AP89" s="157" t="str">
        <x:f>IFERROR(AG89/AE89,"")</x:f>
      </x:c>
      <x:c r="AQ89" s="157" t="str">
        <x:f>IFERROR(AN89/(R89/'Configuracion'!$B$13),"")</x:f>
      </x:c>
      <x:c r="AR89" s="156" t="n">
        <x:f>IFERROR(AE89-U89,"")</x:f>
        <x:v>0</x:v>
      </x:c>
      <x:c r="AS89" s="154"/>
      <x:c r="AT89" s="154"/>
      <x:c r="AU89" s="154"/>
      <x:c r="AV89" s="154"/>
      <x:c r="AW89" s="152"/>
      <x:c r="AX89" s="154"/>
      <x:c r="AY89" s="154"/>
      <x:c r="AZ89" s="151"/>
      <x:c r="BA89" s="151"/>
    </x:row>
    <x:row r="90">
      <x:c r="A90" s="151" t="str">
        <x:f>IF(B90="","",TEXT(B90,"yyyymmdd")&amp;"-"&amp;TEXT(COUNTIF($B$5:B90,B90),"000"))</x:f>
      </x:c>
      <x:c r="B90" s="152"/>
      <x:c r="C90" s="153"/>
      <x:c r="D90" s="151" t="str">
        <x:f>IF(B90="","",'Configuracion'!$B$4)</x:f>
      </x:c>
      <x:c r="E90" s="154"/>
      <x:c r="F90" s="154"/>
      <x:c r="G90" s="151" t="str">
        <x:f>IFERROR(VLOOKUP(F90,'Base Sectores'!$A$5:$J$47,2,FALSE),"")</x:f>
      </x:c>
      <x:c r="H90" s="151" t="str">
        <x:f>IFERROR(VLOOKUP(F90,'Base Sectores'!$A$5:$J$47,3,FALSE),"")</x:f>
      </x:c>
      <x:c r="I90" s="151" t="str">
        <x:f>IFERROR(VLOOKUP(F90,'Base Sectores'!$A$5:$J$47,4,FALSE),"")</x:f>
      </x:c>
      <x:c r="J90" s="151" t="str">
        <x:f>IFERROR(VLOOKUP(F90,'Base Sectores'!$A$5:$J$47,5,FALSE),"")</x:f>
      </x:c>
      <x:c r="K90" s="151" t="str">
        <x:f>IFERROR(VLOOKUP(F90,'Base Sectores'!$A$5:$J$47,6,FALSE),"")</x:f>
      </x:c>
      <x:c r="L90" s="151" t="str">
        <x:f>IFERROR(VLOOKUP(F90,'Base Sectores'!$A$5:$J$47,7,FALSE),"")</x:f>
      </x:c>
      <x:c r="M90" s="151" t="str">
        <x:f>IFERROR(VLOOKUP(F90,'Base Sectores'!$A$5:$J$47,9,FALSE),"")</x:f>
      </x:c>
      <x:c r="N90" s="154"/>
      <x:c r="O90" s="151" t="str">
        <x:f>IFERROR(VLOOKUP(N90,'Configuracion'!$D$4:$H$15,2,FALSE),"")</x:f>
      </x:c>
      <x:c r="P90" s="151" t="str">
        <x:f>IFERROR(VLOOKUP(N90,'Configuracion'!$D$4:$H$15,3,FALSE),"")</x:f>
      </x:c>
      <x:c r="Q90" s="155"/>
      <x:c r="R90" s="156" t="str">
        <x:f>IFERROR(VLOOKUP(N90,'Configuracion'!$D$4:$H$15,4,FALSE),"")</x:f>
      </x:c>
      <x:c r="S90" s="153"/>
      <x:c r="T90" s="153"/>
      <x:c r="U90" s="156" t="str">
        <x:f>IF(OR(S90="",T90=""),"",MOD(T90-S90,1)*24)</x:f>
      </x:c>
      <x:c r="V90" s="154"/>
      <x:c r="W90" s="154"/>
      <x:c r="X90" s="151" t="str">
        <x:f>IFERROR(VLOOKUP(N90,'Configuracion'!$D$4:$H$15,5,FALSE),"")</x:f>
      </x:c>
      <x:c r="Y90" s="151" t="str">
        <x:f>IFERROR(VLOOKUP(V90,'Cuadrillas'!$A$5:$J$14,2,FALSE),"")</x:f>
      </x:c>
      <x:c r="Z90" s="154"/>
      <x:c r="AA90" s="154"/>
      <x:c r="AB90" s="154"/>
      <x:c r="AC90" s="153"/>
      <x:c r="AD90" s="153"/>
      <x:c r="AE90" s="156" t="str">
        <x:f>IF(OR(AC90="",AD90=""),"",MOD(AD90-AC90,1)*24)</x:f>
      </x:c>
      <x:c r="AF90" s="154"/>
      <x:c r="AG90" s="156" t="str">
        <x:f>IF(AE90="","",MAX(0,AE90-IF(AF90="",0,AF90/60)))</x:f>
      </x:c>
      <x:c r="AH90" s="155"/>
      <x:c r="AI90" s="154"/>
      <x:c r="AJ90" s="154"/>
      <x:c r="AK90" s="156" t="n">
        <x:f>IFERROR(U90*W90,"")</x:f>
        <x:v>0</x:v>
      </x:c>
      <x:c r="AL90" s="156" t="n">
        <x:f>IFERROR(AE90*AI90,"")</x:f>
        <x:v>0</x:v>
      </x:c>
      <x:c r="AM90" s="157" t="str">
        <x:f>IFERROR(AH90/Q90,"")</x:f>
      </x:c>
      <x:c r="AN90" s="156" t="str">
        <x:f>IFERROR(AH90/AG90,"")</x:f>
      </x:c>
      <x:c r="AO90" s="156" t="str">
        <x:f>IFERROR(AL90/AH90,"")</x:f>
      </x:c>
      <x:c r="AP90" s="157" t="str">
        <x:f>IFERROR(AG90/AE90,"")</x:f>
      </x:c>
      <x:c r="AQ90" s="157" t="str">
        <x:f>IFERROR(AN90/(R90/'Configuracion'!$B$13),"")</x:f>
      </x:c>
      <x:c r="AR90" s="156" t="n">
        <x:f>IFERROR(AE90-U90,"")</x:f>
        <x:v>0</x:v>
      </x:c>
      <x:c r="AS90" s="154"/>
      <x:c r="AT90" s="154"/>
      <x:c r="AU90" s="154"/>
      <x:c r="AV90" s="154"/>
      <x:c r="AW90" s="152"/>
      <x:c r="AX90" s="154"/>
      <x:c r="AY90" s="154"/>
      <x:c r="AZ90" s="151"/>
      <x:c r="BA90" s="151"/>
    </x:row>
    <x:row r="91">
      <x:c r="A91" s="151" t="str">
        <x:f>IF(B91="","",TEXT(B91,"yyyymmdd")&amp;"-"&amp;TEXT(COUNTIF($B$5:B91,B91),"000"))</x:f>
      </x:c>
      <x:c r="B91" s="152"/>
      <x:c r="C91" s="153"/>
      <x:c r="D91" s="151" t="str">
        <x:f>IF(B91="","",'Configuracion'!$B$4)</x:f>
      </x:c>
      <x:c r="E91" s="154"/>
      <x:c r="F91" s="154"/>
      <x:c r="G91" s="151" t="str">
        <x:f>IFERROR(VLOOKUP(F91,'Base Sectores'!$A$5:$J$47,2,FALSE),"")</x:f>
      </x:c>
      <x:c r="H91" s="151" t="str">
        <x:f>IFERROR(VLOOKUP(F91,'Base Sectores'!$A$5:$J$47,3,FALSE),"")</x:f>
      </x:c>
      <x:c r="I91" s="151" t="str">
        <x:f>IFERROR(VLOOKUP(F91,'Base Sectores'!$A$5:$J$47,4,FALSE),"")</x:f>
      </x:c>
      <x:c r="J91" s="151" t="str">
        <x:f>IFERROR(VLOOKUP(F91,'Base Sectores'!$A$5:$J$47,5,FALSE),"")</x:f>
      </x:c>
      <x:c r="K91" s="151" t="str">
        <x:f>IFERROR(VLOOKUP(F91,'Base Sectores'!$A$5:$J$47,6,FALSE),"")</x:f>
      </x:c>
      <x:c r="L91" s="151" t="str">
        <x:f>IFERROR(VLOOKUP(F91,'Base Sectores'!$A$5:$J$47,7,FALSE),"")</x:f>
      </x:c>
      <x:c r="M91" s="151" t="str">
        <x:f>IFERROR(VLOOKUP(F91,'Base Sectores'!$A$5:$J$47,9,FALSE),"")</x:f>
      </x:c>
      <x:c r="N91" s="154"/>
      <x:c r="O91" s="151" t="str">
        <x:f>IFERROR(VLOOKUP(N91,'Configuracion'!$D$4:$H$15,2,FALSE),"")</x:f>
      </x:c>
      <x:c r="P91" s="151" t="str">
        <x:f>IFERROR(VLOOKUP(N91,'Configuracion'!$D$4:$H$15,3,FALSE),"")</x:f>
      </x:c>
      <x:c r="Q91" s="155"/>
      <x:c r="R91" s="156" t="str">
        <x:f>IFERROR(VLOOKUP(N91,'Configuracion'!$D$4:$H$15,4,FALSE),"")</x:f>
      </x:c>
      <x:c r="S91" s="153"/>
      <x:c r="T91" s="153"/>
      <x:c r="U91" s="156" t="str">
        <x:f>IF(OR(S91="",T91=""),"",MOD(T91-S91,1)*24)</x:f>
      </x:c>
      <x:c r="V91" s="154"/>
      <x:c r="W91" s="154"/>
      <x:c r="X91" s="151" t="str">
        <x:f>IFERROR(VLOOKUP(N91,'Configuracion'!$D$4:$H$15,5,FALSE),"")</x:f>
      </x:c>
      <x:c r="Y91" s="151" t="str">
        <x:f>IFERROR(VLOOKUP(V91,'Cuadrillas'!$A$5:$J$14,2,FALSE),"")</x:f>
      </x:c>
      <x:c r="Z91" s="154"/>
      <x:c r="AA91" s="154"/>
      <x:c r="AB91" s="154"/>
      <x:c r="AC91" s="153"/>
      <x:c r="AD91" s="153"/>
      <x:c r="AE91" s="156" t="str">
        <x:f>IF(OR(AC91="",AD91=""),"",MOD(AD91-AC91,1)*24)</x:f>
      </x:c>
      <x:c r="AF91" s="154"/>
      <x:c r="AG91" s="156" t="str">
        <x:f>IF(AE91="","",MAX(0,AE91-IF(AF91="",0,AF91/60)))</x:f>
      </x:c>
      <x:c r="AH91" s="155"/>
      <x:c r="AI91" s="154"/>
      <x:c r="AJ91" s="154"/>
      <x:c r="AK91" s="156" t="n">
        <x:f>IFERROR(U91*W91,"")</x:f>
        <x:v>0</x:v>
      </x:c>
      <x:c r="AL91" s="156" t="n">
        <x:f>IFERROR(AE91*AI91,"")</x:f>
        <x:v>0</x:v>
      </x:c>
      <x:c r="AM91" s="157" t="str">
        <x:f>IFERROR(AH91/Q91,"")</x:f>
      </x:c>
      <x:c r="AN91" s="156" t="str">
        <x:f>IFERROR(AH91/AG91,"")</x:f>
      </x:c>
      <x:c r="AO91" s="156" t="str">
        <x:f>IFERROR(AL91/AH91,"")</x:f>
      </x:c>
      <x:c r="AP91" s="157" t="str">
        <x:f>IFERROR(AG91/AE91,"")</x:f>
      </x:c>
      <x:c r="AQ91" s="157" t="str">
        <x:f>IFERROR(AN91/(R91/'Configuracion'!$B$13),"")</x:f>
      </x:c>
      <x:c r="AR91" s="156" t="n">
        <x:f>IFERROR(AE91-U91,"")</x:f>
        <x:v>0</x:v>
      </x:c>
      <x:c r="AS91" s="154"/>
      <x:c r="AT91" s="154"/>
      <x:c r="AU91" s="154"/>
      <x:c r="AV91" s="154"/>
      <x:c r="AW91" s="152"/>
      <x:c r="AX91" s="154"/>
      <x:c r="AY91" s="154"/>
      <x:c r="AZ91" s="151"/>
      <x:c r="BA91" s="151"/>
    </x:row>
    <x:row r="92">
      <x:c r="A92" s="151" t="str">
        <x:f>IF(B92="","",TEXT(B92,"yyyymmdd")&amp;"-"&amp;TEXT(COUNTIF($B$5:B92,B92),"000"))</x:f>
      </x:c>
      <x:c r="B92" s="152"/>
      <x:c r="C92" s="153"/>
      <x:c r="D92" s="151" t="str">
        <x:f>IF(B92="","",'Configuracion'!$B$4)</x:f>
      </x:c>
      <x:c r="E92" s="154"/>
      <x:c r="F92" s="154"/>
      <x:c r="G92" s="151" t="str">
        <x:f>IFERROR(VLOOKUP(F92,'Base Sectores'!$A$5:$J$47,2,FALSE),"")</x:f>
      </x:c>
      <x:c r="H92" s="151" t="str">
        <x:f>IFERROR(VLOOKUP(F92,'Base Sectores'!$A$5:$J$47,3,FALSE),"")</x:f>
      </x:c>
      <x:c r="I92" s="151" t="str">
        <x:f>IFERROR(VLOOKUP(F92,'Base Sectores'!$A$5:$J$47,4,FALSE),"")</x:f>
      </x:c>
      <x:c r="J92" s="151" t="str">
        <x:f>IFERROR(VLOOKUP(F92,'Base Sectores'!$A$5:$J$47,5,FALSE),"")</x:f>
      </x:c>
      <x:c r="K92" s="151" t="str">
        <x:f>IFERROR(VLOOKUP(F92,'Base Sectores'!$A$5:$J$47,6,FALSE),"")</x:f>
      </x:c>
      <x:c r="L92" s="151" t="str">
        <x:f>IFERROR(VLOOKUP(F92,'Base Sectores'!$A$5:$J$47,7,FALSE),"")</x:f>
      </x:c>
      <x:c r="M92" s="151" t="str">
        <x:f>IFERROR(VLOOKUP(F92,'Base Sectores'!$A$5:$J$47,9,FALSE),"")</x:f>
      </x:c>
      <x:c r="N92" s="154"/>
      <x:c r="O92" s="151" t="str">
        <x:f>IFERROR(VLOOKUP(N92,'Configuracion'!$D$4:$H$15,2,FALSE),"")</x:f>
      </x:c>
      <x:c r="P92" s="151" t="str">
        <x:f>IFERROR(VLOOKUP(N92,'Configuracion'!$D$4:$H$15,3,FALSE),"")</x:f>
      </x:c>
      <x:c r="Q92" s="155"/>
      <x:c r="R92" s="156" t="str">
        <x:f>IFERROR(VLOOKUP(N92,'Configuracion'!$D$4:$H$15,4,FALSE),"")</x:f>
      </x:c>
      <x:c r="S92" s="153"/>
      <x:c r="T92" s="153"/>
      <x:c r="U92" s="156" t="str">
        <x:f>IF(OR(S92="",T92=""),"",MOD(T92-S92,1)*24)</x:f>
      </x:c>
      <x:c r="V92" s="154"/>
      <x:c r="W92" s="154"/>
      <x:c r="X92" s="151" t="str">
        <x:f>IFERROR(VLOOKUP(N92,'Configuracion'!$D$4:$H$15,5,FALSE),"")</x:f>
      </x:c>
      <x:c r="Y92" s="151" t="str">
        <x:f>IFERROR(VLOOKUP(V92,'Cuadrillas'!$A$5:$J$14,2,FALSE),"")</x:f>
      </x:c>
      <x:c r="Z92" s="154"/>
      <x:c r="AA92" s="154"/>
      <x:c r="AB92" s="154"/>
      <x:c r="AC92" s="153"/>
      <x:c r="AD92" s="153"/>
      <x:c r="AE92" s="156" t="str">
        <x:f>IF(OR(AC92="",AD92=""),"",MOD(AD92-AC92,1)*24)</x:f>
      </x:c>
      <x:c r="AF92" s="154"/>
      <x:c r="AG92" s="156" t="str">
        <x:f>IF(AE92="","",MAX(0,AE92-IF(AF92="",0,AF92/60)))</x:f>
      </x:c>
      <x:c r="AH92" s="155"/>
      <x:c r="AI92" s="154"/>
      <x:c r="AJ92" s="154"/>
      <x:c r="AK92" s="156" t="n">
        <x:f>IFERROR(U92*W92,"")</x:f>
        <x:v>0</x:v>
      </x:c>
      <x:c r="AL92" s="156" t="n">
        <x:f>IFERROR(AE92*AI92,"")</x:f>
        <x:v>0</x:v>
      </x:c>
      <x:c r="AM92" s="157" t="str">
        <x:f>IFERROR(AH92/Q92,"")</x:f>
      </x:c>
      <x:c r="AN92" s="156" t="str">
        <x:f>IFERROR(AH92/AG92,"")</x:f>
      </x:c>
      <x:c r="AO92" s="156" t="str">
        <x:f>IFERROR(AL92/AH92,"")</x:f>
      </x:c>
      <x:c r="AP92" s="157" t="str">
        <x:f>IFERROR(AG92/AE92,"")</x:f>
      </x:c>
      <x:c r="AQ92" s="157" t="str">
        <x:f>IFERROR(AN92/(R92/'Configuracion'!$B$13),"")</x:f>
      </x:c>
      <x:c r="AR92" s="156" t="n">
        <x:f>IFERROR(AE92-U92,"")</x:f>
        <x:v>0</x:v>
      </x:c>
      <x:c r="AS92" s="154"/>
      <x:c r="AT92" s="154"/>
      <x:c r="AU92" s="154"/>
      <x:c r="AV92" s="154"/>
      <x:c r="AW92" s="152"/>
      <x:c r="AX92" s="154"/>
      <x:c r="AY92" s="154"/>
      <x:c r="AZ92" s="151"/>
      <x:c r="BA92" s="151"/>
    </x:row>
    <x:row r="93">
      <x:c r="A93" s="151" t="str">
        <x:f>IF(B93="","",TEXT(B93,"yyyymmdd")&amp;"-"&amp;TEXT(COUNTIF($B$5:B93,B93),"000"))</x:f>
      </x:c>
      <x:c r="B93" s="152"/>
      <x:c r="C93" s="153"/>
      <x:c r="D93" s="151" t="str">
        <x:f>IF(B93="","",'Configuracion'!$B$4)</x:f>
      </x:c>
      <x:c r="E93" s="154"/>
      <x:c r="F93" s="154"/>
      <x:c r="G93" s="151" t="str">
        <x:f>IFERROR(VLOOKUP(F93,'Base Sectores'!$A$5:$J$47,2,FALSE),"")</x:f>
      </x:c>
      <x:c r="H93" s="151" t="str">
        <x:f>IFERROR(VLOOKUP(F93,'Base Sectores'!$A$5:$J$47,3,FALSE),"")</x:f>
      </x:c>
      <x:c r="I93" s="151" t="str">
        <x:f>IFERROR(VLOOKUP(F93,'Base Sectores'!$A$5:$J$47,4,FALSE),"")</x:f>
      </x:c>
      <x:c r="J93" s="151" t="str">
        <x:f>IFERROR(VLOOKUP(F93,'Base Sectores'!$A$5:$J$47,5,FALSE),"")</x:f>
      </x:c>
      <x:c r="K93" s="151" t="str">
        <x:f>IFERROR(VLOOKUP(F93,'Base Sectores'!$A$5:$J$47,6,FALSE),"")</x:f>
      </x:c>
      <x:c r="L93" s="151" t="str">
        <x:f>IFERROR(VLOOKUP(F93,'Base Sectores'!$A$5:$J$47,7,FALSE),"")</x:f>
      </x:c>
      <x:c r="M93" s="151" t="str">
        <x:f>IFERROR(VLOOKUP(F93,'Base Sectores'!$A$5:$J$47,9,FALSE),"")</x:f>
      </x:c>
      <x:c r="N93" s="154"/>
      <x:c r="O93" s="151" t="str">
        <x:f>IFERROR(VLOOKUP(N93,'Configuracion'!$D$4:$H$15,2,FALSE),"")</x:f>
      </x:c>
      <x:c r="P93" s="151" t="str">
        <x:f>IFERROR(VLOOKUP(N93,'Configuracion'!$D$4:$H$15,3,FALSE),"")</x:f>
      </x:c>
      <x:c r="Q93" s="155"/>
      <x:c r="R93" s="156" t="str">
        <x:f>IFERROR(VLOOKUP(N93,'Configuracion'!$D$4:$H$15,4,FALSE),"")</x:f>
      </x:c>
      <x:c r="S93" s="153"/>
      <x:c r="T93" s="153"/>
      <x:c r="U93" s="156" t="str">
        <x:f>IF(OR(S93="",T93=""),"",MOD(T93-S93,1)*24)</x:f>
      </x:c>
      <x:c r="V93" s="154"/>
      <x:c r="W93" s="154"/>
      <x:c r="X93" s="151" t="str">
        <x:f>IFERROR(VLOOKUP(N93,'Configuracion'!$D$4:$H$15,5,FALSE),"")</x:f>
      </x:c>
      <x:c r="Y93" s="151" t="str">
        <x:f>IFERROR(VLOOKUP(V93,'Cuadrillas'!$A$5:$J$14,2,FALSE),"")</x:f>
      </x:c>
      <x:c r="Z93" s="154"/>
      <x:c r="AA93" s="154"/>
      <x:c r="AB93" s="154"/>
      <x:c r="AC93" s="153"/>
      <x:c r="AD93" s="153"/>
      <x:c r="AE93" s="156" t="str">
        <x:f>IF(OR(AC93="",AD93=""),"",MOD(AD93-AC93,1)*24)</x:f>
      </x:c>
      <x:c r="AF93" s="154"/>
      <x:c r="AG93" s="156" t="str">
        <x:f>IF(AE93="","",MAX(0,AE93-IF(AF93="",0,AF93/60)))</x:f>
      </x:c>
      <x:c r="AH93" s="155"/>
      <x:c r="AI93" s="154"/>
      <x:c r="AJ93" s="154"/>
      <x:c r="AK93" s="156" t="n">
        <x:f>IFERROR(U93*W93,"")</x:f>
        <x:v>0</x:v>
      </x:c>
      <x:c r="AL93" s="156" t="n">
        <x:f>IFERROR(AE93*AI93,"")</x:f>
        <x:v>0</x:v>
      </x:c>
      <x:c r="AM93" s="157" t="str">
        <x:f>IFERROR(AH93/Q93,"")</x:f>
      </x:c>
      <x:c r="AN93" s="156" t="str">
        <x:f>IFERROR(AH93/AG93,"")</x:f>
      </x:c>
      <x:c r="AO93" s="156" t="str">
        <x:f>IFERROR(AL93/AH93,"")</x:f>
      </x:c>
      <x:c r="AP93" s="157" t="str">
        <x:f>IFERROR(AG93/AE93,"")</x:f>
      </x:c>
      <x:c r="AQ93" s="157" t="str">
        <x:f>IFERROR(AN93/(R93/'Configuracion'!$B$13),"")</x:f>
      </x:c>
      <x:c r="AR93" s="156" t="n">
        <x:f>IFERROR(AE93-U93,"")</x:f>
        <x:v>0</x:v>
      </x:c>
      <x:c r="AS93" s="154"/>
      <x:c r="AT93" s="154"/>
      <x:c r="AU93" s="154"/>
      <x:c r="AV93" s="154"/>
      <x:c r="AW93" s="152"/>
      <x:c r="AX93" s="154"/>
      <x:c r="AY93" s="154"/>
      <x:c r="AZ93" s="151"/>
      <x:c r="BA93" s="151"/>
    </x:row>
    <x:row r="94">
      <x:c r="A94" s="151" t="str">
        <x:f>IF(B94="","",TEXT(B94,"yyyymmdd")&amp;"-"&amp;TEXT(COUNTIF($B$5:B94,B94),"000"))</x:f>
      </x:c>
      <x:c r="B94" s="152"/>
      <x:c r="C94" s="153"/>
      <x:c r="D94" s="151" t="str">
        <x:f>IF(B94="","",'Configuracion'!$B$4)</x:f>
      </x:c>
      <x:c r="E94" s="154"/>
      <x:c r="F94" s="154"/>
      <x:c r="G94" s="151" t="str">
        <x:f>IFERROR(VLOOKUP(F94,'Base Sectores'!$A$5:$J$47,2,FALSE),"")</x:f>
      </x:c>
      <x:c r="H94" s="151" t="str">
        <x:f>IFERROR(VLOOKUP(F94,'Base Sectores'!$A$5:$J$47,3,FALSE),"")</x:f>
      </x:c>
      <x:c r="I94" s="151" t="str">
        <x:f>IFERROR(VLOOKUP(F94,'Base Sectores'!$A$5:$J$47,4,FALSE),"")</x:f>
      </x:c>
      <x:c r="J94" s="151" t="str">
        <x:f>IFERROR(VLOOKUP(F94,'Base Sectores'!$A$5:$J$47,5,FALSE),"")</x:f>
      </x:c>
      <x:c r="K94" s="151" t="str">
        <x:f>IFERROR(VLOOKUP(F94,'Base Sectores'!$A$5:$J$47,6,FALSE),"")</x:f>
      </x:c>
      <x:c r="L94" s="151" t="str">
        <x:f>IFERROR(VLOOKUP(F94,'Base Sectores'!$A$5:$J$47,7,FALSE),"")</x:f>
      </x:c>
      <x:c r="M94" s="151" t="str">
        <x:f>IFERROR(VLOOKUP(F94,'Base Sectores'!$A$5:$J$47,9,FALSE),"")</x:f>
      </x:c>
      <x:c r="N94" s="154"/>
      <x:c r="O94" s="151" t="str">
        <x:f>IFERROR(VLOOKUP(N94,'Configuracion'!$D$4:$H$15,2,FALSE),"")</x:f>
      </x:c>
      <x:c r="P94" s="151" t="str">
        <x:f>IFERROR(VLOOKUP(N94,'Configuracion'!$D$4:$H$15,3,FALSE),"")</x:f>
      </x:c>
      <x:c r="Q94" s="155"/>
      <x:c r="R94" s="156" t="str">
        <x:f>IFERROR(VLOOKUP(N94,'Configuracion'!$D$4:$H$15,4,FALSE),"")</x:f>
      </x:c>
      <x:c r="S94" s="153"/>
      <x:c r="T94" s="153"/>
      <x:c r="U94" s="156" t="str">
        <x:f>IF(OR(S94="",T94=""),"",MOD(T94-S94,1)*24)</x:f>
      </x:c>
      <x:c r="V94" s="154"/>
      <x:c r="W94" s="154"/>
      <x:c r="X94" s="151" t="str">
        <x:f>IFERROR(VLOOKUP(N94,'Configuracion'!$D$4:$H$15,5,FALSE),"")</x:f>
      </x:c>
      <x:c r="Y94" s="151" t="str">
        <x:f>IFERROR(VLOOKUP(V94,'Cuadrillas'!$A$5:$J$14,2,FALSE),"")</x:f>
      </x:c>
      <x:c r="Z94" s="154"/>
      <x:c r="AA94" s="154"/>
      <x:c r="AB94" s="154"/>
      <x:c r="AC94" s="153"/>
      <x:c r="AD94" s="153"/>
      <x:c r="AE94" s="156" t="str">
        <x:f>IF(OR(AC94="",AD94=""),"",MOD(AD94-AC94,1)*24)</x:f>
      </x:c>
      <x:c r="AF94" s="154"/>
      <x:c r="AG94" s="156" t="str">
        <x:f>IF(AE94="","",MAX(0,AE94-IF(AF94="",0,AF94/60)))</x:f>
      </x:c>
      <x:c r="AH94" s="155"/>
      <x:c r="AI94" s="154"/>
      <x:c r="AJ94" s="154"/>
      <x:c r="AK94" s="156" t="n">
        <x:f>IFERROR(U94*W94,"")</x:f>
        <x:v>0</x:v>
      </x:c>
      <x:c r="AL94" s="156" t="n">
        <x:f>IFERROR(AE94*AI94,"")</x:f>
        <x:v>0</x:v>
      </x:c>
      <x:c r="AM94" s="157" t="str">
        <x:f>IFERROR(AH94/Q94,"")</x:f>
      </x:c>
      <x:c r="AN94" s="156" t="str">
        <x:f>IFERROR(AH94/AG94,"")</x:f>
      </x:c>
      <x:c r="AO94" s="156" t="str">
        <x:f>IFERROR(AL94/AH94,"")</x:f>
      </x:c>
      <x:c r="AP94" s="157" t="str">
        <x:f>IFERROR(AG94/AE94,"")</x:f>
      </x:c>
      <x:c r="AQ94" s="157" t="str">
        <x:f>IFERROR(AN94/(R94/'Configuracion'!$B$13),"")</x:f>
      </x:c>
      <x:c r="AR94" s="156" t="n">
        <x:f>IFERROR(AE94-U94,"")</x:f>
        <x:v>0</x:v>
      </x:c>
      <x:c r="AS94" s="154"/>
      <x:c r="AT94" s="154"/>
      <x:c r="AU94" s="154"/>
      <x:c r="AV94" s="154"/>
      <x:c r="AW94" s="152"/>
      <x:c r="AX94" s="154"/>
      <x:c r="AY94" s="154"/>
      <x:c r="AZ94" s="151"/>
      <x:c r="BA94" s="151"/>
    </x:row>
    <x:row r="95">
      <x:c r="A95" s="151" t="str">
        <x:f>IF(B95="","",TEXT(B95,"yyyymmdd")&amp;"-"&amp;TEXT(COUNTIF($B$5:B95,B95),"000"))</x:f>
      </x:c>
      <x:c r="B95" s="152"/>
      <x:c r="C95" s="153"/>
      <x:c r="D95" s="151" t="str">
        <x:f>IF(B95="","",'Configuracion'!$B$4)</x:f>
      </x:c>
      <x:c r="E95" s="154"/>
      <x:c r="F95" s="154"/>
      <x:c r="G95" s="151" t="str">
        <x:f>IFERROR(VLOOKUP(F95,'Base Sectores'!$A$5:$J$47,2,FALSE),"")</x:f>
      </x:c>
      <x:c r="H95" s="151" t="str">
        <x:f>IFERROR(VLOOKUP(F95,'Base Sectores'!$A$5:$J$47,3,FALSE),"")</x:f>
      </x:c>
      <x:c r="I95" s="151" t="str">
        <x:f>IFERROR(VLOOKUP(F95,'Base Sectores'!$A$5:$J$47,4,FALSE),"")</x:f>
      </x:c>
      <x:c r="J95" s="151" t="str">
        <x:f>IFERROR(VLOOKUP(F95,'Base Sectores'!$A$5:$J$47,5,FALSE),"")</x:f>
      </x:c>
      <x:c r="K95" s="151" t="str">
        <x:f>IFERROR(VLOOKUP(F95,'Base Sectores'!$A$5:$J$47,6,FALSE),"")</x:f>
      </x:c>
      <x:c r="L95" s="151" t="str">
        <x:f>IFERROR(VLOOKUP(F95,'Base Sectores'!$A$5:$J$47,7,FALSE),"")</x:f>
      </x:c>
      <x:c r="M95" s="151" t="str">
        <x:f>IFERROR(VLOOKUP(F95,'Base Sectores'!$A$5:$J$47,9,FALSE),"")</x:f>
      </x:c>
      <x:c r="N95" s="154"/>
      <x:c r="O95" s="151" t="str">
        <x:f>IFERROR(VLOOKUP(N95,'Configuracion'!$D$4:$H$15,2,FALSE),"")</x:f>
      </x:c>
      <x:c r="P95" s="151" t="str">
        <x:f>IFERROR(VLOOKUP(N95,'Configuracion'!$D$4:$H$15,3,FALSE),"")</x:f>
      </x:c>
      <x:c r="Q95" s="155"/>
      <x:c r="R95" s="156" t="str">
        <x:f>IFERROR(VLOOKUP(N95,'Configuracion'!$D$4:$H$15,4,FALSE),"")</x:f>
      </x:c>
      <x:c r="S95" s="153"/>
      <x:c r="T95" s="153"/>
      <x:c r="U95" s="156" t="str">
        <x:f>IF(OR(S95="",T95=""),"",MOD(T95-S95,1)*24)</x:f>
      </x:c>
      <x:c r="V95" s="154"/>
      <x:c r="W95" s="154"/>
      <x:c r="X95" s="151" t="str">
        <x:f>IFERROR(VLOOKUP(N95,'Configuracion'!$D$4:$H$15,5,FALSE),"")</x:f>
      </x:c>
      <x:c r="Y95" s="151" t="str">
        <x:f>IFERROR(VLOOKUP(V95,'Cuadrillas'!$A$5:$J$14,2,FALSE),"")</x:f>
      </x:c>
      <x:c r="Z95" s="154"/>
      <x:c r="AA95" s="154"/>
      <x:c r="AB95" s="154"/>
      <x:c r="AC95" s="153"/>
      <x:c r="AD95" s="153"/>
      <x:c r="AE95" s="156" t="str">
        <x:f>IF(OR(AC95="",AD95=""),"",MOD(AD95-AC95,1)*24)</x:f>
      </x:c>
      <x:c r="AF95" s="154"/>
      <x:c r="AG95" s="156" t="str">
        <x:f>IF(AE95="","",MAX(0,AE95-IF(AF95="",0,AF95/60)))</x:f>
      </x:c>
      <x:c r="AH95" s="155"/>
      <x:c r="AI95" s="154"/>
      <x:c r="AJ95" s="154"/>
      <x:c r="AK95" s="156" t="n">
        <x:f>IFERROR(U95*W95,"")</x:f>
        <x:v>0</x:v>
      </x:c>
      <x:c r="AL95" s="156" t="n">
        <x:f>IFERROR(AE95*AI95,"")</x:f>
        <x:v>0</x:v>
      </x:c>
      <x:c r="AM95" s="157" t="str">
        <x:f>IFERROR(AH95/Q95,"")</x:f>
      </x:c>
      <x:c r="AN95" s="156" t="str">
        <x:f>IFERROR(AH95/AG95,"")</x:f>
      </x:c>
      <x:c r="AO95" s="156" t="str">
        <x:f>IFERROR(AL95/AH95,"")</x:f>
      </x:c>
      <x:c r="AP95" s="157" t="str">
        <x:f>IFERROR(AG95/AE95,"")</x:f>
      </x:c>
      <x:c r="AQ95" s="157" t="str">
        <x:f>IFERROR(AN95/(R95/'Configuracion'!$B$13),"")</x:f>
      </x:c>
      <x:c r="AR95" s="156" t="n">
        <x:f>IFERROR(AE95-U95,"")</x:f>
        <x:v>0</x:v>
      </x:c>
      <x:c r="AS95" s="154"/>
      <x:c r="AT95" s="154"/>
      <x:c r="AU95" s="154"/>
      <x:c r="AV95" s="154"/>
      <x:c r="AW95" s="152"/>
      <x:c r="AX95" s="154"/>
      <x:c r="AY95" s="154"/>
      <x:c r="AZ95" s="151"/>
      <x:c r="BA95" s="151"/>
    </x:row>
    <x:row r="96">
      <x:c r="A96" s="151" t="str">
        <x:f>IF(B96="","",TEXT(B96,"yyyymmdd")&amp;"-"&amp;TEXT(COUNTIF($B$5:B96,B96),"000"))</x:f>
      </x:c>
      <x:c r="B96" s="152"/>
      <x:c r="C96" s="153"/>
      <x:c r="D96" s="151" t="str">
        <x:f>IF(B96="","",'Configuracion'!$B$4)</x:f>
      </x:c>
      <x:c r="E96" s="154"/>
      <x:c r="F96" s="154"/>
      <x:c r="G96" s="151" t="str">
        <x:f>IFERROR(VLOOKUP(F96,'Base Sectores'!$A$5:$J$47,2,FALSE),"")</x:f>
      </x:c>
      <x:c r="H96" s="151" t="str">
        <x:f>IFERROR(VLOOKUP(F96,'Base Sectores'!$A$5:$J$47,3,FALSE),"")</x:f>
      </x:c>
      <x:c r="I96" s="151" t="str">
        <x:f>IFERROR(VLOOKUP(F96,'Base Sectores'!$A$5:$J$47,4,FALSE),"")</x:f>
      </x:c>
      <x:c r="J96" s="151" t="str">
        <x:f>IFERROR(VLOOKUP(F96,'Base Sectores'!$A$5:$J$47,5,FALSE),"")</x:f>
      </x:c>
      <x:c r="K96" s="151" t="str">
        <x:f>IFERROR(VLOOKUP(F96,'Base Sectores'!$A$5:$J$47,6,FALSE),"")</x:f>
      </x:c>
      <x:c r="L96" s="151" t="str">
        <x:f>IFERROR(VLOOKUP(F96,'Base Sectores'!$A$5:$J$47,7,FALSE),"")</x:f>
      </x:c>
      <x:c r="M96" s="151" t="str">
        <x:f>IFERROR(VLOOKUP(F96,'Base Sectores'!$A$5:$J$47,9,FALSE),"")</x:f>
      </x:c>
      <x:c r="N96" s="154"/>
      <x:c r="O96" s="151" t="str">
        <x:f>IFERROR(VLOOKUP(N96,'Configuracion'!$D$4:$H$15,2,FALSE),"")</x:f>
      </x:c>
      <x:c r="P96" s="151" t="str">
        <x:f>IFERROR(VLOOKUP(N96,'Configuracion'!$D$4:$H$15,3,FALSE),"")</x:f>
      </x:c>
      <x:c r="Q96" s="155"/>
      <x:c r="R96" s="156" t="str">
        <x:f>IFERROR(VLOOKUP(N96,'Configuracion'!$D$4:$H$15,4,FALSE),"")</x:f>
      </x:c>
      <x:c r="S96" s="153"/>
      <x:c r="T96" s="153"/>
      <x:c r="U96" s="156" t="str">
        <x:f>IF(OR(S96="",T96=""),"",MOD(T96-S96,1)*24)</x:f>
      </x:c>
      <x:c r="V96" s="154"/>
      <x:c r="W96" s="154"/>
      <x:c r="X96" s="151" t="str">
        <x:f>IFERROR(VLOOKUP(N96,'Configuracion'!$D$4:$H$15,5,FALSE),"")</x:f>
      </x:c>
      <x:c r="Y96" s="151" t="str">
        <x:f>IFERROR(VLOOKUP(V96,'Cuadrillas'!$A$5:$J$14,2,FALSE),"")</x:f>
      </x:c>
      <x:c r="Z96" s="154"/>
      <x:c r="AA96" s="154"/>
      <x:c r="AB96" s="154"/>
      <x:c r="AC96" s="153"/>
      <x:c r="AD96" s="153"/>
      <x:c r="AE96" s="156" t="str">
        <x:f>IF(OR(AC96="",AD96=""),"",MOD(AD96-AC96,1)*24)</x:f>
      </x:c>
      <x:c r="AF96" s="154"/>
      <x:c r="AG96" s="156" t="str">
        <x:f>IF(AE96="","",MAX(0,AE96-IF(AF96="",0,AF96/60)))</x:f>
      </x:c>
      <x:c r="AH96" s="155"/>
      <x:c r="AI96" s="154"/>
      <x:c r="AJ96" s="154"/>
      <x:c r="AK96" s="156" t="n">
        <x:f>IFERROR(U96*W96,"")</x:f>
        <x:v>0</x:v>
      </x:c>
      <x:c r="AL96" s="156" t="n">
        <x:f>IFERROR(AE96*AI96,"")</x:f>
        <x:v>0</x:v>
      </x:c>
      <x:c r="AM96" s="157" t="str">
        <x:f>IFERROR(AH96/Q96,"")</x:f>
      </x:c>
      <x:c r="AN96" s="156" t="str">
        <x:f>IFERROR(AH96/AG96,"")</x:f>
      </x:c>
      <x:c r="AO96" s="156" t="str">
        <x:f>IFERROR(AL96/AH96,"")</x:f>
      </x:c>
      <x:c r="AP96" s="157" t="str">
        <x:f>IFERROR(AG96/AE96,"")</x:f>
      </x:c>
      <x:c r="AQ96" s="157" t="str">
        <x:f>IFERROR(AN96/(R96/'Configuracion'!$B$13),"")</x:f>
      </x:c>
      <x:c r="AR96" s="156" t="n">
        <x:f>IFERROR(AE96-U96,"")</x:f>
        <x:v>0</x:v>
      </x:c>
      <x:c r="AS96" s="154"/>
      <x:c r="AT96" s="154"/>
      <x:c r="AU96" s="154"/>
      <x:c r="AV96" s="154"/>
      <x:c r="AW96" s="152"/>
      <x:c r="AX96" s="154"/>
      <x:c r="AY96" s="154"/>
      <x:c r="AZ96" s="151"/>
      <x:c r="BA96" s="151"/>
    </x:row>
    <x:row r="97">
      <x:c r="A97" s="151" t="str">
        <x:f>IF(B97="","",TEXT(B97,"yyyymmdd")&amp;"-"&amp;TEXT(COUNTIF($B$5:B97,B97),"000"))</x:f>
      </x:c>
      <x:c r="B97" s="152"/>
      <x:c r="C97" s="153"/>
      <x:c r="D97" s="151" t="str">
        <x:f>IF(B97="","",'Configuracion'!$B$4)</x:f>
      </x:c>
      <x:c r="E97" s="154"/>
      <x:c r="F97" s="154"/>
      <x:c r="G97" s="151" t="str">
        <x:f>IFERROR(VLOOKUP(F97,'Base Sectores'!$A$5:$J$47,2,FALSE),"")</x:f>
      </x:c>
      <x:c r="H97" s="151" t="str">
        <x:f>IFERROR(VLOOKUP(F97,'Base Sectores'!$A$5:$J$47,3,FALSE),"")</x:f>
      </x:c>
      <x:c r="I97" s="151" t="str">
        <x:f>IFERROR(VLOOKUP(F97,'Base Sectores'!$A$5:$J$47,4,FALSE),"")</x:f>
      </x:c>
      <x:c r="J97" s="151" t="str">
        <x:f>IFERROR(VLOOKUP(F97,'Base Sectores'!$A$5:$J$47,5,FALSE),"")</x:f>
      </x:c>
      <x:c r="K97" s="151" t="str">
        <x:f>IFERROR(VLOOKUP(F97,'Base Sectores'!$A$5:$J$47,6,FALSE),"")</x:f>
      </x:c>
      <x:c r="L97" s="151" t="str">
        <x:f>IFERROR(VLOOKUP(F97,'Base Sectores'!$A$5:$J$47,7,FALSE),"")</x:f>
      </x:c>
      <x:c r="M97" s="151" t="str">
        <x:f>IFERROR(VLOOKUP(F97,'Base Sectores'!$A$5:$J$47,9,FALSE),"")</x:f>
      </x:c>
      <x:c r="N97" s="154"/>
      <x:c r="O97" s="151" t="str">
        <x:f>IFERROR(VLOOKUP(N97,'Configuracion'!$D$4:$H$15,2,FALSE),"")</x:f>
      </x:c>
      <x:c r="P97" s="151" t="str">
        <x:f>IFERROR(VLOOKUP(N97,'Configuracion'!$D$4:$H$15,3,FALSE),"")</x:f>
      </x:c>
      <x:c r="Q97" s="155"/>
      <x:c r="R97" s="156" t="str">
        <x:f>IFERROR(VLOOKUP(N97,'Configuracion'!$D$4:$H$15,4,FALSE),"")</x:f>
      </x:c>
      <x:c r="S97" s="153"/>
      <x:c r="T97" s="153"/>
      <x:c r="U97" s="156" t="str">
        <x:f>IF(OR(S97="",T97=""),"",MOD(T97-S97,1)*24)</x:f>
      </x:c>
      <x:c r="V97" s="154"/>
      <x:c r="W97" s="154"/>
      <x:c r="X97" s="151" t="str">
        <x:f>IFERROR(VLOOKUP(N97,'Configuracion'!$D$4:$H$15,5,FALSE),"")</x:f>
      </x:c>
      <x:c r="Y97" s="151" t="str">
        <x:f>IFERROR(VLOOKUP(V97,'Cuadrillas'!$A$5:$J$14,2,FALSE),"")</x:f>
      </x:c>
      <x:c r="Z97" s="154"/>
      <x:c r="AA97" s="154"/>
      <x:c r="AB97" s="154"/>
      <x:c r="AC97" s="153"/>
      <x:c r="AD97" s="153"/>
      <x:c r="AE97" s="156" t="str">
        <x:f>IF(OR(AC97="",AD97=""),"",MOD(AD97-AC97,1)*24)</x:f>
      </x:c>
      <x:c r="AF97" s="154"/>
      <x:c r="AG97" s="156" t="str">
        <x:f>IF(AE97="","",MAX(0,AE97-IF(AF97="",0,AF97/60)))</x:f>
      </x:c>
      <x:c r="AH97" s="155"/>
      <x:c r="AI97" s="154"/>
      <x:c r="AJ97" s="154"/>
      <x:c r="AK97" s="156" t="n">
        <x:f>IFERROR(U97*W97,"")</x:f>
        <x:v>0</x:v>
      </x:c>
      <x:c r="AL97" s="156" t="n">
        <x:f>IFERROR(AE97*AI97,"")</x:f>
        <x:v>0</x:v>
      </x:c>
      <x:c r="AM97" s="157" t="str">
        <x:f>IFERROR(AH97/Q97,"")</x:f>
      </x:c>
      <x:c r="AN97" s="156" t="str">
        <x:f>IFERROR(AH97/AG97,"")</x:f>
      </x:c>
      <x:c r="AO97" s="156" t="str">
        <x:f>IFERROR(AL97/AH97,"")</x:f>
      </x:c>
      <x:c r="AP97" s="157" t="str">
        <x:f>IFERROR(AG97/AE97,"")</x:f>
      </x:c>
      <x:c r="AQ97" s="157" t="str">
        <x:f>IFERROR(AN97/(R97/'Configuracion'!$B$13),"")</x:f>
      </x:c>
      <x:c r="AR97" s="156" t="n">
        <x:f>IFERROR(AE97-U97,"")</x:f>
        <x:v>0</x:v>
      </x:c>
      <x:c r="AS97" s="154"/>
      <x:c r="AT97" s="154"/>
      <x:c r="AU97" s="154"/>
      <x:c r="AV97" s="154"/>
      <x:c r="AW97" s="152"/>
      <x:c r="AX97" s="154"/>
      <x:c r="AY97" s="154"/>
      <x:c r="AZ97" s="151"/>
      <x:c r="BA97" s="151"/>
    </x:row>
    <x:row r="98">
      <x:c r="A98" s="151" t="str">
        <x:f>IF(B98="","",TEXT(B98,"yyyymmdd")&amp;"-"&amp;TEXT(COUNTIF($B$5:B98,B98),"000"))</x:f>
      </x:c>
      <x:c r="B98" s="152"/>
      <x:c r="C98" s="153"/>
      <x:c r="D98" s="151" t="str">
        <x:f>IF(B98="","",'Configuracion'!$B$4)</x:f>
      </x:c>
      <x:c r="E98" s="154"/>
      <x:c r="F98" s="154"/>
      <x:c r="G98" s="151" t="str">
        <x:f>IFERROR(VLOOKUP(F98,'Base Sectores'!$A$5:$J$47,2,FALSE),"")</x:f>
      </x:c>
      <x:c r="H98" s="151" t="str">
        <x:f>IFERROR(VLOOKUP(F98,'Base Sectores'!$A$5:$J$47,3,FALSE),"")</x:f>
      </x:c>
      <x:c r="I98" s="151" t="str">
        <x:f>IFERROR(VLOOKUP(F98,'Base Sectores'!$A$5:$J$47,4,FALSE),"")</x:f>
      </x:c>
      <x:c r="J98" s="151" t="str">
        <x:f>IFERROR(VLOOKUP(F98,'Base Sectores'!$A$5:$J$47,5,FALSE),"")</x:f>
      </x:c>
      <x:c r="K98" s="151" t="str">
        <x:f>IFERROR(VLOOKUP(F98,'Base Sectores'!$A$5:$J$47,6,FALSE),"")</x:f>
      </x:c>
      <x:c r="L98" s="151" t="str">
        <x:f>IFERROR(VLOOKUP(F98,'Base Sectores'!$A$5:$J$47,7,FALSE),"")</x:f>
      </x:c>
      <x:c r="M98" s="151" t="str">
        <x:f>IFERROR(VLOOKUP(F98,'Base Sectores'!$A$5:$J$47,9,FALSE),"")</x:f>
      </x:c>
      <x:c r="N98" s="154"/>
      <x:c r="O98" s="151" t="str">
        <x:f>IFERROR(VLOOKUP(N98,'Configuracion'!$D$4:$H$15,2,FALSE),"")</x:f>
      </x:c>
      <x:c r="P98" s="151" t="str">
        <x:f>IFERROR(VLOOKUP(N98,'Configuracion'!$D$4:$H$15,3,FALSE),"")</x:f>
      </x:c>
      <x:c r="Q98" s="155"/>
      <x:c r="R98" s="156" t="str">
        <x:f>IFERROR(VLOOKUP(N98,'Configuracion'!$D$4:$H$15,4,FALSE),"")</x:f>
      </x:c>
      <x:c r="S98" s="153"/>
      <x:c r="T98" s="153"/>
      <x:c r="U98" s="156" t="str">
        <x:f>IF(OR(S98="",T98=""),"",MOD(T98-S98,1)*24)</x:f>
      </x:c>
      <x:c r="V98" s="154"/>
      <x:c r="W98" s="154"/>
      <x:c r="X98" s="151" t="str">
        <x:f>IFERROR(VLOOKUP(N98,'Configuracion'!$D$4:$H$15,5,FALSE),"")</x:f>
      </x:c>
      <x:c r="Y98" s="151" t="str">
        <x:f>IFERROR(VLOOKUP(V98,'Cuadrillas'!$A$5:$J$14,2,FALSE),"")</x:f>
      </x:c>
      <x:c r="Z98" s="154"/>
      <x:c r="AA98" s="154"/>
      <x:c r="AB98" s="154"/>
      <x:c r="AC98" s="153"/>
      <x:c r="AD98" s="153"/>
      <x:c r="AE98" s="156" t="str">
        <x:f>IF(OR(AC98="",AD98=""),"",MOD(AD98-AC98,1)*24)</x:f>
      </x:c>
      <x:c r="AF98" s="154"/>
      <x:c r="AG98" s="156" t="str">
        <x:f>IF(AE98="","",MAX(0,AE98-IF(AF98="",0,AF98/60)))</x:f>
      </x:c>
      <x:c r="AH98" s="155"/>
      <x:c r="AI98" s="154"/>
      <x:c r="AJ98" s="154"/>
      <x:c r="AK98" s="156" t="n">
        <x:f>IFERROR(U98*W98,"")</x:f>
        <x:v>0</x:v>
      </x:c>
      <x:c r="AL98" s="156" t="n">
        <x:f>IFERROR(AE98*AI98,"")</x:f>
        <x:v>0</x:v>
      </x:c>
      <x:c r="AM98" s="157" t="str">
        <x:f>IFERROR(AH98/Q98,"")</x:f>
      </x:c>
      <x:c r="AN98" s="156" t="str">
        <x:f>IFERROR(AH98/AG98,"")</x:f>
      </x:c>
      <x:c r="AO98" s="156" t="str">
        <x:f>IFERROR(AL98/AH98,"")</x:f>
      </x:c>
      <x:c r="AP98" s="157" t="str">
        <x:f>IFERROR(AG98/AE98,"")</x:f>
      </x:c>
      <x:c r="AQ98" s="157" t="str">
        <x:f>IFERROR(AN98/(R98/'Configuracion'!$B$13),"")</x:f>
      </x:c>
      <x:c r="AR98" s="156" t="n">
        <x:f>IFERROR(AE98-U98,"")</x:f>
        <x:v>0</x:v>
      </x:c>
      <x:c r="AS98" s="154"/>
      <x:c r="AT98" s="154"/>
      <x:c r="AU98" s="154"/>
      <x:c r="AV98" s="154"/>
      <x:c r="AW98" s="152"/>
      <x:c r="AX98" s="154"/>
      <x:c r="AY98" s="154"/>
      <x:c r="AZ98" s="151"/>
      <x:c r="BA98" s="151"/>
    </x:row>
    <x:row r="99">
      <x:c r="A99" s="151" t="str">
        <x:f>IF(B99="","",TEXT(B99,"yyyymmdd")&amp;"-"&amp;TEXT(COUNTIF($B$5:B99,B99),"000"))</x:f>
      </x:c>
      <x:c r="B99" s="152"/>
      <x:c r="C99" s="153"/>
      <x:c r="D99" s="151" t="str">
        <x:f>IF(B99="","",'Configuracion'!$B$4)</x:f>
      </x:c>
      <x:c r="E99" s="154"/>
      <x:c r="F99" s="154"/>
      <x:c r="G99" s="151" t="str">
        <x:f>IFERROR(VLOOKUP(F99,'Base Sectores'!$A$5:$J$47,2,FALSE),"")</x:f>
      </x:c>
      <x:c r="H99" s="151" t="str">
        <x:f>IFERROR(VLOOKUP(F99,'Base Sectores'!$A$5:$J$47,3,FALSE),"")</x:f>
      </x:c>
      <x:c r="I99" s="151" t="str">
        <x:f>IFERROR(VLOOKUP(F99,'Base Sectores'!$A$5:$J$47,4,FALSE),"")</x:f>
      </x:c>
      <x:c r="J99" s="151" t="str">
        <x:f>IFERROR(VLOOKUP(F99,'Base Sectores'!$A$5:$J$47,5,FALSE),"")</x:f>
      </x:c>
      <x:c r="K99" s="151" t="str">
        <x:f>IFERROR(VLOOKUP(F99,'Base Sectores'!$A$5:$J$47,6,FALSE),"")</x:f>
      </x:c>
      <x:c r="L99" s="151" t="str">
        <x:f>IFERROR(VLOOKUP(F99,'Base Sectores'!$A$5:$J$47,7,FALSE),"")</x:f>
      </x:c>
      <x:c r="M99" s="151" t="str">
        <x:f>IFERROR(VLOOKUP(F99,'Base Sectores'!$A$5:$J$47,9,FALSE),"")</x:f>
      </x:c>
      <x:c r="N99" s="154"/>
      <x:c r="O99" s="151" t="str">
        <x:f>IFERROR(VLOOKUP(N99,'Configuracion'!$D$4:$H$15,2,FALSE),"")</x:f>
      </x:c>
      <x:c r="P99" s="151" t="str">
        <x:f>IFERROR(VLOOKUP(N99,'Configuracion'!$D$4:$H$15,3,FALSE),"")</x:f>
      </x:c>
      <x:c r="Q99" s="155"/>
      <x:c r="R99" s="156" t="str">
        <x:f>IFERROR(VLOOKUP(N99,'Configuracion'!$D$4:$H$15,4,FALSE),"")</x:f>
      </x:c>
      <x:c r="S99" s="153"/>
      <x:c r="T99" s="153"/>
      <x:c r="U99" s="156" t="str">
        <x:f>IF(OR(S99="",T99=""),"",MOD(T99-S99,1)*24)</x:f>
      </x:c>
      <x:c r="V99" s="154"/>
      <x:c r="W99" s="154"/>
      <x:c r="X99" s="151" t="str">
        <x:f>IFERROR(VLOOKUP(N99,'Configuracion'!$D$4:$H$15,5,FALSE),"")</x:f>
      </x:c>
      <x:c r="Y99" s="151" t="str">
        <x:f>IFERROR(VLOOKUP(V99,'Cuadrillas'!$A$5:$J$14,2,FALSE),"")</x:f>
      </x:c>
      <x:c r="Z99" s="154"/>
      <x:c r="AA99" s="154"/>
      <x:c r="AB99" s="154"/>
      <x:c r="AC99" s="153"/>
      <x:c r="AD99" s="153"/>
      <x:c r="AE99" s="156" t="str">
        <x:f>IF(OR(AC99="",AD99=""),"",MOD(AD99-AC99,1)*24)</x:f>
      </x:c>
      <x:c r="AF99" s="154"/>
      <x:c r="AG99" s="156" t="str">
        <x:f>IF(AE99="","",MAX(0,AE99-IF(AF99="",0,AF99/60)))</x:f>
      </x:c>
      <x:c r="AH99" s="155"/>
      <x:c r="AI99" s="154"/>
      <x:c r="AJ99" s="154"/>
      <x:c r="AK99" s="156" t="n">
        <x:f>IFERROR(U99*W99,"")</x:f>
        <x:v>0</x:v>
      </x:c>
      <x:c r="AL99" s="156" t="n">
        <x:f>IFERROR(AE99*AI99,"")</x:f>
        <x:v>0</x:v>
      </x:c>
      <x:c r="AM99" s="157" t="str">
        <x:f>IFERROR(AH99/Q99,"")</x:f>
      </x:c>
      <x:c r="AN99" s="156" t="str">
        <x:f>IFERROR(AH99/AG99,"")</x:f>
      </x:c>
      <x:c r="AO99" s="156" t="str">
        <x:f>IFERROR(AL99/AH99,"")</x:f>
      </x:c>
      <x:c r="AP99" s="157" t="str">
        <x:f>IFERROR(AG99/AE99,"")</x:f>
      </x:c>
      <x:c r="AQ99" s="157" t="str">
        <x:f>IFERROR(AN99/(R99/'Configuracion'!$B$13),"")</x:f>
      </x:c>
      <x:c r="AR99" s="156" t="n">
        <x:f>IFERROR(AE99-U99,"")</x:f>
        <x:v>0</x:v>
      </x:c>
      <x:c r="AS99" s="154"/>
      <x:c r="AT99" s="154"/>
      <x:c r="AU99" s="154"/>
      <x:c r="AV99" s="154"/>
      <x:c r="AW99" s="152"/>
      <x:c r="AX99" s="154"/>
      <x:c r="AY99" s="154"/>
      <x:c r="AZ99" s="151"/>
      <x:c r="BA99" s="151"/>
    </x:row>
    <x:row r="100">
      <x:c r="A100" s="151" t="str">
        <x:f>IF(B100="","",TEXT(B100,"yyyymmdd")&amp;"-"&amp;TEXT(COUNTIF($B$5:B100,B100),"000"))</x:f>
      </x:c>
      <x:c r="B100" s="152"/>
      <x:c r="C100" s="153"/>
      <x:c r="D100" s="151" t="str">
        <x:f>IF(B100="","",'Configuracion'!$B$4)</x:f>
      </x:c>
      <x:c r="E100" s="154"/>
      <x:c r="F100" s="154"/>
      <x:c r="G100" s="151" t="str">
        <x:f>IFERROR(VLOOKUP(F100,'Base Sectores'!$A$5:$J$47,2,FALSE),"")</x:f>
      </x:c>
      <x:c r="H100" s="151" t="str">
        <x:f>IFERROR(VLOOKUP(F100,'Base Sectores'!$A$5:$J$47,3,FALSE),"")</x:f>
      </x:c>
      <x:c r="I100" s="151" t="str">
        <x:f>IFERROR(VLOOKUP(F100,'Base Sectores'!$A$5:$J$47,4,FALSE),"")</x:f>
      </x:c>
      <x:c r="J100" s="151" t="str">
        <x:f>IFERROR(VLOOKUP(F100,'Base Sectores'!$A$5:$J$47,5,FALSE),"")</x:f>
      </x:c>
      <x:c r="K100" s="151" t="str">
        <x:f>IFERROR(VLOOKUP(F100,'Base Sectores'!$A$5:$J$47,6,FALSE),"")</x:f>
      </x:c>
      <x:c r="L100" s="151" t="str">
        <x:f>IFERROR(VLOOKUP(F100,'Base Sectores'!$A$5:$J$47,7,FALSE),"")</x:f>
      </x:c>
      <x:c r="M100" s="151" t="str">
        <x:f>IFERROR(VLOOKUP(F100,'Base Sectores'!$A$5:$J$47,9,FALSE),"")</x:f>
      </x:c>
      <x:c r="N100" s="154"/>
      <x:c r="O100" s="151" t="str">
        <x:f>IFERROR(VLOOKUP(N100,'Configuracion'!$D$4:$H$15,2,FALSE),"")</x:f>
      </x:c>
      <x:c r="P100" s="151" t="str">
        <x:f>IFERROR(VLOOKUP(N100,'Configuracion'!$D$4:$H$15,3,FALSE),"")</x:f>
      </x:c>
      <x:c r="Q100" s="155"/>
      <x:c r="R100" s="156" t="str">
        <x:f>IFERROR(VLOOKUP(N100,'Configuracion'!$D$4:$H$15,4,FALSE),"")</x:f>
      </x:c>
      <x:c r="S100" s="153"/>
      <x:c r="T100" s="153"/>
      <x:c r="U100" s="156" t="str">
        <x:f>IF(OR(S100="",T100=""),"",MOD(T100-S100,1)*24)</x:f>
      </x:c>
      <x:c r="V100" s="154"/>
      <x:c r="W100" s="154"/>
      <x:c r="X100" s="151" t="str">
        <x:f>IFERROR(VLOOKUP(N100,'Configuracion'!$D$4:$H$15,5,FALSE),"")</x:f>
      </x:c>
      <x:c r="Y100" s="151" t="str">
        <x:f>IFERROR(VLOOKUP(V100,'Cuadrillas'!$A$5:$J$14,2,FALSE),"")</x:f>
      </x:c>
      <x:c r="Z100" s="154"/>
      <x:c r="AA100" s="154"/>
      <x:c r="AB100" s="154"/>
      <x:c r="AC100" s="153"/>
      <x:c r="AD100" s="153"/>
      <x:c r="AE100" s="156" t="str">
        <x:f>IF(OR(AC100="",AD100=""),"",MOD(AD100-AC100,1)*24)</x:f>
      </x:c>
      <x:c r="AF100" s="154"/>
      <x:c r="AG100" s="156" t="str">
        <x:f>IF(AE100="","",MAX(0,AE100-IF(AF100="",0,AF100/60)))</x:f>
      </x:c>
      <x:c r="AH100" s="155"/>
      <x:c r="AI100" s="154"/>
      <x:c r="AJ100" s="154"/>
      <x:c r="AK100" s="156" t="n">
        <x:f>IFERROR(U100*W100,"")</x:f>
        <x:v>0</x:v>
      </x:c>
      <x:c r="AL100" s="156" t="n">
        <x:f>IFERROR(AE100*AI100,"")</x:f>
        <x:v>0</x:v>
      </x:c>
      <x:c r="AM100" s="157" t="str">
        <x:f>IFERROR(AH100/Q100,"")</x:f>
      </x:c>
      <x:c r="AN100" s="156" t="str">
        <x:f>IFERROR(AH100/AG100,"")</x:f>
      </x:c>
      <x:c r="AO100" s="156" t="str">
        <x:f>IFERROR(AL100/AH100,"")</x:f>
      </x:c>
      <x:c r="AP100" s="157" t="str">
        <x:f>IFERROR(AG100/AE100,"")</x:f>
      </x:c>
      <x:c r="AQ100" s="157" t="str">
        <x:f>IFERROR(AN100/(R100/'Configuracion'!$B$13),"")</x:f>
      </x:c>
      <x:c r="AR100" s="156" t="n">
        <x:f>IFERROR(AE100-U100,"")</x:f>
        <x:v>0</x:v>
      </x:c>
      <x:c r="AS100" s="154"/>
      <x:c r="AT100" s="154"/>
      <x:c r="AU100" s="154"/>
      <x:c r="AV100" s="154"/>
      <x:c r="AW100" s="152"/>
      <x:c r="AX100" s="154"/>
      <x:c r="AY100" s="154"/>
      <x:c r="AZ100" s="151"/>
      <x:c r="BA100" s="151"/>
    </x:row>
    <x:row r="101">
      <x:c r="A101" s="151" t="str">
        <x:f>IF(B101="","",TEXT(B101,"yyyymmdd")&amp;"-"&amp;TEXT(COUNTIF($B$5:B101,B101),"000"))</x:f>
      </x:c>
      <x:c r="B101" s="152"/>
      <x:c r="C101" s="153"/>
      <x:c r="D101" s="151" t="str">
        <x:f>IF(B101="","",'Configuracion'!$B$4)</x:f>
      </x:c>
      <x:c r="E101" s="154"/>
      <x:c r="F101" s="154"/>
      <x:c r="G101" s="151" t="str">
        <x:f>IFERROR(VLOOKUP(F101,'Base Sectores'!$A$5:$J$47,2,FALSE),"")</x:f>
      </x:c>
      <x:c r="H101" s="151" t="str">
        <x:f>IFERROR(VLOOKUP(F101,'Base Sectores'!$A$5:$J$47,3,FALSE),"")</x:f>
      </x:c>
      <x:c r="I101" s="151" t="str">
        <x:f>IFERROR(VLOOKUP(F101,'Base Sectores'!$A$5:$J$47,4,FALSE),"")</x:f>
      </x:c>
      <x:c r="J101" s="151" t="str">
        <x:f>IFERROR(VLOOKUP(F101,'Base Sectores'!$A$5:$J$47,5,FALSE),"")</x:f>
      </x:c>
      <x:c r="K101" s="151" t="str">
        <x:f>IFERROR(VLOOKUP(F101,'Base Sectores'!$A$5:$J$47,6,FALSE),"")</x:f>
      </x:c>
      <x:c r="L101" s="151" t="str">
        <x:f>IFERROR(VLOOKUP(F101,'Base Sectores'!$A$5:$J$47,7,FALSE),"")</x:f>
      </x:c>
      <x:c r="M101" s="151" t="str">
        <x:f>IFERROR(VLOOKUP(F101,'Base Sectores'!$A$5:$J$47,9,FALSE),"")</x:f>
      </x:c>
      <x:c r="N101" s="154"/>
      <x:c r="O101" s="151" t="str">
        <x:f>IFERROR(VLOOKUP(N101,'Configuracion'!$D$4:$H$15,2,FALSE),"")</x:f>
      </x:c>
      <x:c r="P101" s="151" t="str">
        <x:f>IFERROR(VLOOKUP(N101,'Configuracion'!$D$4:$H$15,3,FALSE),"")</x:f>
      </x:c>
      <x:c r="Q101" s="155"/>
      <x:c r="R101" s="156" t="str">
        <x:f>IFERROR(VLOOKUP(N101,'Configuracion'!$D$4:$H$15,4,FALSE),"")</x:f>
      </x:c>
      <x:c r="S101" s="153"/>
      <x:c r="T101" s="153"/>
      <x:c r="U101" s="156" t="str">
        <x:f>IF(OR(S101="",T101=""),"",MOD(T101-S101,1)*24)</x:f>
      </x:c>
      <x:c r="V101" s="154"/>
      <x:c r="W101" s="154"/>
      <x:c r="X101" s="151" t="str">
        <x:f>IFERROR(VLOOKUP(N101,'Configuracion'!$D$4:$H$15,5,FALSE),"")</x:f>
      </x:c>
      <x:c r="Y101" s="151" t="str">
        <x:f>IFERROR(VLOOKUP(V101,'Cuadrillas'!$A$5:$J$14,2,FALSE),"")</x:f>
      </x:c>
      <x:c r="Z101" s="154"/>
      <x:c r="AA101" s="154"/>
      <x:c r="AB101" s="154"/>
      <x:c r="AC101" s="153"/>
      <x:c r="AD101" s="153"/>
      <x:c r="AE101" s="156" t="str">
        <x:f>IF(OR(AC101="",AD101=""),"",MOD(AD101-AC101,1)*24)</x:f>
      </x:c>
      <x:c r="AF101" s="154"/>
      <x:c r="AG101" s="156" t="str">
        <x:f>IF(AE101="","",MAX(0,AE101-IF(AF101="",0,AF101/60)))</x:f>
      </x:c>
      <x:c r="AH101" s="155"/>
      <x:c r="AI101" s="154"/>
      <x:c r="AJ101" s="154"/>
      <x:c r="AK101" s="156" t="n">
        <x:f>IFERROR(U101*W101,"")</x:f>
        <x:v>0</x:v>
      </x:c>
      <x:c r="AL101" s="156" t="n">
        <x:f>IFERROR(AE101*AI101,"")</x:f>
        <x:v>0</x:v>
      </x:c>
      <x:c r="AM101" s="157" t="str">
        <x:f>IFERROR(AH101/Q101,"")</x:f>
      </x:c>
      <x:c r="AN101" s="156" t="str">
        <x:f>IFERROR(AH101/AG101,"")</x:f>
      </x:c>
      <x:c r="AO101" s="156" t="str">
        <x:f>IFERROR(AL101/AH101,"")</x:f>
      </x:c>
      <x:c r="AP101" s="157" t="str">
        <x:f>IFERROR(AG101/AE101,"")</x:f>
      </x:c>
      <x:c r="AQ101" s="157" t="str">
        <x:f>IFERROR(AN101/(R101/'Configuracion'!$B$13),"")</x:f>
      </x:c>
      <x:c r="AR101" s="156" t="n">
        <x:f>IFERROR(AE101-U101,"")</x:f>
        <x:v>0</x:v>
      </x:c>
      <x:c r="AS101" s="154"/>
      <x:c r="AT101" s="154"/>
      <x:c r="AU101" s="154"/>
      <x:c r="AV101" s="154"/>
      <x:c r="AW101" s="152"/>
      <x:c r="AX101" s="154"/>
      <x:c r="AY101" s="154"/>
      <x:c r="AZ101" s="151"/>
      <x:c r="BA101" s="151"/>
    </x:row>
    <x:row r="102">
      <x:c r="A102" s="151" t="str">
        <x:f>IF(B102="","",TEXT(B102,"yyyymmdd")&amp;"-"&amp;TEXT(COUNTIF($B$5:B102,B102),"000"))</x:f>
      </x:c>
      <x:c r="B102" s="152"/>
      <x:c r="C102" s="153"/>
      <x:c r="D102" s="151" t="str">
        <x:f>IF(B102="","",'Configuracion'!$B$4)</x:f>
      </x:c>
      <x:c r="E102" s="154"/>
      <x:c r="F102" s="154"/>
      <x:c r="G102" s="151" t="str">
        <x:f>IFERROR(VLOOKUP(F102,'Base Sectores'!$A$5:$J$47,2,FALSE),"")</x:f>
      </x:c>
      <x:c r="H102" s="151" t="str">
        <x:f>IFERROR(VLOOKUP(F102,'Base Sectores'!$A$5:$J$47,3,FALSE),"")</x:f>
      </x:c>
      <x:c r="I102" s="151" t="str">
        <x:f>IFERROR(VLOOKUP(F102,'Base Sectores'!$A$5:$J$47,4,FALSE),"")</x:f>
      </x:c>
      <x:c r="J102" s="151" t="str">
        <x:f>IFERROR(VLOOKUP(F102,'Base Sectores'!$A$5:$J$47,5,FALSE),"")</x:f>
      </x:c>
      <x:c r="K102" s="151" t="str">
        <x:f>IFERROR(VLOOKUP(F102,'Base Sectores'!$A$5:$J$47,6,FALSE),"")</x:f>
      </x:c>
      <x:c r="L102" s="151" t="str">
        <x:f>IFERROR(VLOOKUP(F102,'Base Sectores'!$A$5:$J$47,7,FALSE),"")</x:f>
      </x:c>
      <x:c r="M102" s="151" t="str">
        <x:f>IFERROR(VLOOKUP(F102,'Base Sectores'!$A$5:$J$47,9,FALSE),"")</x:f>
      </x:c>
      <x:c r="N102" s="154"/>
      <x:c r="O102" s="151" t="str">
        <x:f>IFERROR(VLOOKUP(N102,'Configuracion'!$D$4:$H$15,2,FALSE),"")</x:f>
      </x:c>
      <x:c r="P102" s="151" t="str">
        <x:f>IFERROR(VLOOKUP(N102,'Configuracion'!$D$4:$H$15,3,FALSE),"")</x:f>
      </x:c>
      <x:c r="Q102" s="155"/>
      <x:c r="R102" s="156" t="str">
        <x:f>IFERROR(VLOOKUP(N102,'Configuracion'!$D$4:$H$15,4,FALSE),"")</x:f>
      </x:c>
      <x:c r="S102" s="153"/>
      <x:c r="T102" s="153"/>
      <x:c r="U102" s="156" t="str">
        <x:f>IF(OR(S102="",T102=""),"",MOD(T102-S102,1)*24)</x:f>
      </x:c>
      <x:c r="V102" s="154"/>
      <x:c r="W102" s="154"/>
      <x:c r="X102" s="151" t="str">
        <x:f>IFERROR(VLOOKUP(N102,'Configuracion'!$D$4:$H$15,5,FALSE),"")</x:f>
      </x:c>
      <x:c r="Y102" s="151" t="str">
        <x:f>IFERROR(VLOOKUP(V102,'Cuadrillas'!$A$5:$J$14,2,FALSE),"")</x:f>
      </x:c>
      <x:c r="Z102" s="154"/>
      <x:c r="AA102" s="154"/>
      <x:c r="AB102" s="154"/>
      <x:c r="AC102" s="153"/>
      <x:c r="AD102" s="153"/>
      <x:c r="AE102" s="156" t="str">
        <x:f>IF(OR(AC102="",AD102=""),"",MOD(AD102-AC102,1)*24)</x:f>
      </x:c>
      <x:c r="AF102" s="154"/>
      <x:c r="AG102" s="156" t="str">
        <x:f>IF(AE102="","",MAX(0,AE102-IF(AF102="",0,AF102/60)))</x:f>
      </x:c>
      <x:c r="AH102" s="155"/>
      <x:c r="AI102" s="154"/>
      <x:c r="AJ102" s="154"/>
      <x:c r="AK102" s="156" t="n">
        <x:f>IFERROR(U102*W102,"")</x:f>
        <x:v>0</x:v>
      </x:c>
      <x:c r="AL102" s="156" t="n">
        <x:f>IFERROR(AE102*AI102,"")</x:f>
        <x:v>0</x:v>
      </x:c>
      <x:c r="AM102" s="157" t="str">
        <x:f>IFERROR(AH102/Q102,"")</x:f>
      </x:c>
      <x:c r="AN102" s="156" t="str">
        <x:f>IFERROR(AH102/AG102,"")</x:f>
      </x:c>
      <x:c r="AO102" s="156" t="str">
        <x:f>IFERROR(AL102/AH102,"")</x:f>
      </x:c>
      <x:c r="AP102" s="157" t="str">
        <x:f>IFERROR(AG102/AE102,"")</x:f>
      </x:c>
      <x:c r="AQ102" s="157" t="str">
        <x:f>IFERROR(AN102/(R102/'Configuracion'!$B$13),"")</x:f>
      </x:c>
      <x:c r="AR102" s="156" t="n">
        <x:f>IFERROR(AE102-U102,"")</x:f>
        <x:v>0</x:v>
      </x:c>
      <x:c r="AS102" s="154"/>
      <x:c r="AT102" s="154"/>
      <x:c r="AU102" s="154"/>
      <x:c r="AV102" s="154"/>
      <x:c r="AW102" s="152"/>
      <x:c r="AX102" s="154"/>
      <x:c r="AY102" s="154"/>
      <x:c r="AZ102" s="151"/>
      <x:c r="BA102" s="151"/>
    </x:row>
    <x:row r="103">
      <x:c r="A103" s="151" t="str">
        <x:f>IF(B103="","",TEXT(B103,"yyyymmdd")&amp;"-"&amp;TEXT(COUNTIF($B$5:B103,B103),"000"))</x:f>
      </x:c>
      <x:c r="B103" s="152"/>
      <x:c r="C103" s="153"/>
      <x:c r="D103" s="151" t="str">
        <x:f>IF(B103="","",'Configuracion'!$B$4)</x:f>
      </x:c>
      <x:c r="E103" s="154"/>
      <x:c r="F103" s="154"/>
      <x:c r="G103" s="151" t="str">
        <x:f>IFERROR(VLOOKUP(F103,'Base Sectores'!$A$5:$J$47,2,FALSE),"")</x:f>
      </x:c>
      <x:c r="H103" s="151" t="str">
        <x:f>IFERROR(VLOOKUP(F103,'Base Sectores'!$A$5:$J$47,3,FALSE),"")</x:f>
      </x:c>
      <x:c r="I103" s="151" t="str">
        <x:f>IFERROR(VLOOKUP(F103,'Base Sectores'!$A$5:$J$47,4,FALSE),"")</x:f>
      </x:c>
      <x:c r="J103" s="151" t="str">
        <x:f>IFERROR(VLOOKUP(F103,'Base Sectores'!$A$5:$J$47,5,FALSE),"")</x:f>
      </x:c>
      <x:c r="K103" s="151" t="str">
        <x:f>IFERROR(VLOOKUP(F103,'Base Sectores'!$A$5:$J$47,6,FALSE),"")</x:f>
      </x:c>
      <x:c r="L103" s="151" t="str">
        <x:f>IFERROR(VLOOKUP(F103,'Base Sectores'!$A$5:$J$47,7,FALSE),"")</x:f>
      </x:c>
      <x:c r="M103" s="151" t="str">
        <x:f>IFERROR(VLOOKUP(F103,'Base Sectores'!$A$5:$J$47,9,FALSE),"")</x:f>
      </x:c>
      <x:c r="N103" s="154"/>
      <x:c r="O103" s="151" t="str">
        <x:f>IFERROR(VLOOKUP(N103,'Configuracion'!$D$4:$H$15,2,FALSE),"")</x:f>
      </x:c>
      <x:c r="P103" s="151" t="str">
        <x:f>IFERROR(VLOOKUP(N103,'Configuracion'!$D$4:$H$15,3,FALSE),"")</x:f>
      </x:c>
      <x:c r="Q103" s="155"/>
      <x:c r="R103" s="156" t="str">
        <x:f>IFERROR(VLOOKUP(N103,'Configuracion'!$D$4:$H$15,4,FALSE),"")</x:f>
      </x:c>
      <x:c r="S103" s="153"/>
      <x:c r="T103" s="153"/>
      <x:c r="U103" s="156" t="str">
        <x:f>IF(OR(S103="",T103=""),"",MOD(T103-S103,1)*24)</x:f>
      </x:c>
      <x:c r="V103" s="154"/>
      <x:c r="W103" s="154"/>
      <x:c r="X103" s="151" t="str">
        <x:f>IFERROR(VLOOKUP(N103,'Configuracion'!$D$4:$H$15,5,FALSE),"")</x:f>
      </x:c>
      <x:c r="Y103" s="151" t="str">
        <x:f>IFERROR(VLOOKUP(V103,'Cuadrillas'!$A$5:$J$14,2,FALSE),"")</x:f>
      </x:c>
      <x:c r="Z103" s="154"/>
      <x:c r="AA103" s="154"/>
      <x:c r="AB103" s="154"/>
      <x:c r="AC103" s="153"/>
      <x:c r="AD103" s="153"/>
      <x:c r="AE103" s="156" t="str">
        <x:f>IF(OR(AC103="",AD103=""),"",MOD(AD103-AC103,1)*24)</x:f>
      </x:c>
      <x:c r="AF103" s="154"/>
      <x:c r="AG103" s="156" t="str">
        <x:f>IF(AE103="","",MAX(0,AE103-IF(AF103="",0,AF103/60)))</x:f>
      </x:c>
      <x:c r="AH103" s="155"/>
      <x:c r="AI103" s="154"/>
      <x:c r="AJ103" s="154"/>
      <x:c r="AK103" s="156" t="n">
        <x:f>IFERROR(U103*W103,"")</x:f>
        <x:v>0</x:v>
      </x:c>
      <x:c r="AL103" s="156" t="n">
        <x:f>IFERROR(AE103*AI103,"")</x:f>
        <x:v>0</x:v>
      </x:c>
      <x:c r="AM103" s="157" t="str">
        <x:f>IFERROR(AH103/Q103,"")</x:f>
      </x:c>
      <x:c r="AN103" s="156" t="str">
        <x:f>IFERROR(AH103/AG103,"")</x:f>
      </x:c>
      <x:c r="AO103" s="156" t="str">
        <x:f>IFERROR(AL103/AH103,"")</x:f>
      </x:c>
      <x:c r="AP103" s="157" t="str">
        <x:f>IFERROR(AG103/AE103,"")</x:f>
      </x:c>
      <x:c r="AQ103" s="157" t="str">
        <x:f>IFERROR(AN103/(R103/'Configuracion'!$B$13),"")</x:f>
      </x:c>
      <x:c r="AR103" s="156" t="n">
        <x:f>IFERROR(AE103-U103,"")</x:f>
        <x:v>0</x:v>
      </x:c>
      <x:c r="AS103" s="154"/>
      <x:c r="AT103" s="154"/>
      <x:c r="AU103" s="154"/>
      <x:c r="AV103" s="154"/>
      <x:c r="AW103" s="152"/>
      <x:c r="AX103" s="154"/>
      <x:c r="AY103" s="154"/>
      <x:c r="AZ103" s="151"/>
      <x:c r="BA103" s="151"/>
    </x:row>
    <x:row r="104">
      <x:c r="A104" s="151" t="str">
        <x:f>IF(B104="","",TEXT(B104,"yyyymmdd")&amp;"-"&amp;TEXT(COUNTIF($B$5:B104,B104),"000"))</x:f>
      </x:c>
      <x:c r="B104" s="152"/>
      <x:c r="C104" s="153"/>
      <x:c r="D104" s="151" t="str">
        <x:f>IF(B104="","",'Configuracion'!$B$4)</x:f>
      </x:c>
      <x:c r="E104" s="154"/>
      <x:c r="F104" s="154"/>
      <x:c r="G104" s="151" t="str">
        <x:f>IFERROR(VLOOKUP(F104,'Base Sectores'!$A$5:$J$47,2,FALSE),"")</x:f>
      </x:c>
      <x:c r="H104" s="151" t="str">
        <x:f>IFERROR(VLOOKUP(F104,'Base Sectores'!$A$5:$J$47,3,FALSE),"")</x:f>
      </x:c>
      <x:c r="I104" s="151" t="str">
        <x:f>IFERROR(VLOOKUP(F104,'Base Sectores'!$A$5:$J$47,4,FALSE),"")</x:f>
      </x:c>
      <x:c r="J104" s="151" t="str">
        <x:f>IFERROR(VLOOKUP(F104,'Base Sectores'!$A$5:$J$47,5,FALSE),"")</x:f>
      </x:c>
      <x:c r="K104" s="151" t="str">
        <x:f>IFERROR(VLOOKUP(F104,'Base Sectores'!$A$5:$J$47,6,FALSE),"")</x:f>
      </x:c>
      <x:c r="L104" s="151" t="str">
        <x:f>IFERROR(VLOOKUP(F104,'Base Sectores'!$A$5:$J$47,7,FALSE),"")</x:f>
      </x:c>
      <x:c r="M104" s="151" t="str">
        <x:f>IFERROR(VLOOKUP(F104,'Base Sectores'!$A$5:$J$47,9,FALSE),"")</x:f>
      </x:c>
      <x:c r="N104" s="154"/>
      <x:c r="O104" s="151" t="str">
        <x:f>IFERROR(VLOOKUP(N104,'Configuracion'!$D$4:$H$15,2,FALSE),"")</x:f>
      </x:c>
      <x:c r="P104" s="151" t="str">
        <x:f>IFERROR(VLOOKUP(N104,'Configuracion'!$D$4:$H$15,3,FALSE),"")</x:f>
      </x:c>
      <x:c r="Q104" s="155"/>
      <x:c r="R104" s="156" t="str">
        <x:f>IFERROR(VLOOKUP(N104,'Configuracion'!$D$4:$H$15,4,FALSE),"")</x:f>
      </x:c>
      <x:c r="S104" s="153"/>
      <x:c r="T104" s="153"/>
      <x:c r="U104" s="156" t="str">
        <x:f>IF(OR(S104="",T104=""),"",MOD(T104-S104,1)*24)</x:f>
      </x:c>
      <x:c r="V104" s="154"/>
      <x:c r="W104" s="154"/>
      <x:c r="X104" s="151" t="str">
        <x:f>IFERROR(VLOOKUP(N104,'Configuracion'!$D$4:$H$15,5,FALSE),"")</x:f>
      </x:c>
      <x:c r="Y104" s="151" t="str">
        <x:f>IFERROR(VLOOKUP(V104,'Cuadrillas'!$A$5:$J$14,2,FALSE),"")</x:f>
      </x:c>
      <x:c r="Z104" s="154"/>
      <x:c r="AA104" s="154"/>
      <x:c r="AB104" s="154"/>
      <x:c r="AC104" s="153"/>
      <x:c r="AD104" s="153"/>
      <x:c r="AE104" s="156" t="str">
        <x:f>IF(OR(AC104="",AD104=""),"",MOD(AD104-AC104,1)*24)</x:f>
      </x:c>
      <x:c r="AF104" s="154"/>
      <x:c r="AG104" s="156" t="str">
        <x:f>IF(AE104="","",MAX(0,AE104-IF(AF104="",0,AF104/60)))</x:f>
      </x:c>
      <x:c r="AH104" s="155"/>
      <x:c r="AI104" s="154"/>
      <x:c r="AJ104" s="154"/>
      <x:c r="AK104" s="156" t="n">
        <x:f>IFERROR(U104*W104,"")</x:f>
        <x:v>0</x:v>
      </x:c>
      <x:c r="AL104" s="156" t="n">
        <x:f>IFERROR(AE104*AI104,"")</x:f>
        <x:v>0</x:v>
      </x:c>
      <x:c r="AM104" s="157" t="str">
        <x:f>IFERROR(AH104/Q104,"")</x:f>
      </x:c>
      <x:c r="AN104" s="156" t="str">
        <x:f>IFERROR(AH104/AG104,"")</x:f>
      </x:c>
      <x:c r="AO104" s="156" t="str">
        <x:f>IFERROR(AL104/AH104,"")</x:f>
      </x:c>
      <x:c r="AP104" s="157" t="str">
        <x:f>IFERROR(AG104/AE104,"")</x:f>
      </x:c>
      <x:c r="AQ104" s="157" t="str">
        <x:f>IFERROR(AN104/(R104/'Configuracion'!$B$13),"")</x:f>
      </x:c>
      <x:c r="AR104" s="156" t="n">
        <x:f>IFERROR(AE104-U104,"")</x:f>
        <x:v>0</x:v>
      </x:c>
      <x:c r="AS104" s="154"/>
      <x:c r="AT104" s="154"/>
      <x:c r="AU104" s="154"/>
      <x:c r="AV104" s="154"/>
      <x:c r="AW104" s="152"/>
      <x:c r="AX104" s="154"/>
      <x:c r="AY104" s="154"/>
      <x:c r="AZ104" s="151"/>
      <x:c r="BA104" s="151"/>
    </x:row>
    <x:row r="105">
      <x:c r="A105" s="151" t="str">
        <x:f>IF(B105="","",TEXT(B105,"yyyymmdd")&amp;"-"&amp;TEXT(COUNTIF($B$5:B105,B105),"000"))</x:f>
      </x:c>
      <x:c r="B105" s="152"/>
      <x:c r="C105" s="153"/>
      <x:c r="D105" s="151" t="str">
        <x:f>IF(B105="","",'Configuracion'!$B$4)</x:f>
      </x:c>
      <x:c r="E105" s="154"/>
      <x:c r="F105" s="154"/>
      <x:c r="G105" s="151" t="str">
        <x:f>IFERROR(VLOOKUP(F105,'Base Sectores'!$A$5:$J$47,2,FALSE),"")</x:f>
      </x:c>
      <x:c r="H105" s="151" t="str">
        <x:f>IFERROR(VLOOKUP(F105,'Base Sectores'!$A$5:$J$47,3,FALSE),"")</x:f>
      </x:c>
      <x:c r="I105" s="151" t="str">
        <x:f>IFERROR(VLOOKUP(F105,'Base Sectores'!$A$5:$J$47,4,FALSE),"")</x:f>
      </x:c>
      <x:c r="J105" s="151" t="str">
        <x:f>IFERROR(VLOOKUP(F105,'Base Sectores'!$A$5:$J$47,5,FALSE),"")</x:f>
      </x:c>
      <x:c r="K105" s="151" t="str">
        <x:f>IFERROR(VLOOKUP(F105,'Base Sectores'!$A$5:$J$47,6,FALSE),"")</x:f>
      </x:c>
      <x:c r="L105" s="151" t="str">
        <x:f>IFERROR(VLOOKUP(F105,'Base Sectores'!$A$5:$J$47,7,FALSE),"")</x:f>
      </x:c>
      <x:c r="M105" s="151" t="str">
        <x:f>IFERROR(VLOOKUP(F105,'Base Sectores'!$A$5:$J$47,9,FALSE),"")</x:f>
      </x:c>
      <x:c r="N105" s="154"/>
      <x:c r="O105" s="151" t="str">
        <x:f>IFERROR(VLOOKUP(N105,'Configuracion'!$D$4:$H$15,2,FALSE),"")</x:f>
      </x:c>
      <x:c r="P105" s="151" t="str">
        <x:f>IFERROR(VLOOKUP(N105,'Configuracion'!$D$4:$H$15,3,FALSE),"")</x:f>
      </x:c>
      <x:c r="Q105" s="155"/>
      <x:c r="R105" s="156" t="str">
        <x:f>IFERROR(VLOOKUP(N105,'Configuracion'!$D$4:$H$15,4,FALSE),"")</x:f>
      </x:c>
      <x:c r="S105" s="153"/>
      <x:c r="T105" s="153"/>
      <x:c r="U105" s="156" t="str">
        <x:f>IF(OR(S105="",T105=""),"",MOD(T105-S105,1)*24)</x:f>
      </x:c>
      <x:c r="V105" s="154"/>
      <x:c r="W105" s="154"/>
      <x:c r="X105" s="151" t="str">
        <x:f>IFERROR(VLOOKUP(N105,'Configuracion'!$D$4:$H$15,5,FALSE),"")</x:f>
      </x:c>
      <x:c r="Y105" s="151" t="str">
        <x:f>IFERROR(VLOOKUP(V105,'Cuadrillas'!$A$5:$J$14,2,FALSE),"")</x:f>
      </x:c>
      <x:c r="Z105" s="154"/>
      <x:c r="AA105" s="154"/>
      <x:c r="AB105" s="154"/>
      <x:c r="AC105" s="153"/>
      <x:c r="AD105" s="153"/>
      <x:c r="AE105" s="156" t="str">
        <x:f>IF(OR(AC105="",AD105=""),"",MOD(AD105-AC105,1)*24)</x:f>
      </x:c>
      <x:c r="AF105" s="154"/>
      <x:c r="AG105" s="156" t="str">
        <x:f>IF(AE105="","",MAX(0,AE105-IF(AF105="",0,AF105/60)))</x:f>
      </x:c>
      <x:c r="AH105" s="155"/>
      <x:c r="AI105" s="154"/>
      <x:c r="AJ105" s="154"/>
      <x:c r="AK105" s="156" t="n">
        <x:f>IFERROR(U105*W105,"")</x:f>
        <x:v>0</x:v>
      </x:c>
      <x:c r="AL105" s="156" t="n">
        <x:f>IFERROR(AE105*AI105,"")</x:f>
        <x:v>0</x:v>
      </x:c>
      <x:c r="AM105" s="157" t="str">
        <x:f>IFERROR(AH105/Q105,"")</x:f>
      </x:c>
      <x:c r="AN105" s="156" t="str">
        <x:f>IFERROR(AH105/AG105,"")</x:f>
      </x:c>
      <x:c r="AO105" s="156" t="str">
        <x:f>IFERROR(AL105/AH105,"")</x:f>
      </x:c>
      <x:c r="AP105" s="157" t="str">
        <x:f>IFERROR(AG105/AE105,"")</x:f>
      </x:c>
      <x:c r="AQ105" s="157" t="str">
        <x:f>IFERROR(AN105/(R105/'Configuracion'!$B$13),"")</x:f>
      </x:c>
      <x:c r="AR105" s="156" t="n">
        <x:f>IFERROR(AE105-U105,"")</x:f>
        <x:v>0</x:v>
      </x:c>
      <x:c r="AS105" s="154"/>
      <x:c r="AT105" s="154"/>
      <x:c r="AU105" s="154"/>
      <x:c r="AV105" s="154"/>
      <x:c r="AW105" s="152"/>
      <x:c r="AX105" s="154"/>
      <x:c r="AY105" s="154"/>
      <x:c r="AZ105" s="151"/>
      <x:c r="BA105" s="151"/>
    </x:row>
    <x:row r="106">
      <x:c r="A106" s="151" t="str">
        <x:f>IF(B106="","",TEXT(B106,"yyyymmdd")&amp;"-"&amp;TEXT(COUNTIF($B$5:B106,B106),"000"))</x:f>
      </x:c>
      <x:c r="B106" s="152"/>
      <x:c r="C106" s="153"/>
      <x:c r="D106" s="151" t="str">
        <x:f>IF(B106="","",'Configuracion'!$B$4)</x:f>
      </x:c>
      <x:c r="E106" s="154"/>
      <x:c r="F106" s="154"/>
      <x:c r="G106" s="151" t="str">
        <x:f>IFERROR(VLOOKUP(F106,'Base Sectores'!$A$5:$J$47,2,FALSE),"")</x:f>
      </x:c>
      <x:c r="H106" s="151" t="str">
        <x:f>IFERROR(VLOOKUP(F106,'Base Sectores'!$A$5:$J$47,3,FALSE),"")</x:f>
      </x:c>
      <x:c r="I106" s="151" t="str">
        <x:f>IFERROR(VLOOKUP(F106,'Base Sectores'!$A$5:$J$47,4,FALSE),"")</x:f>
      </x:c>
      <x:c r="J106" s="151" t="str">
        <x:f>IFERROR(VLOOKUP(F106,'Base Sectores'!$A$5:$J$47,5,FALSE),"")</x:f>
      </x:c>
      <x:c r="K106" s="151" t="str">
        <x:f>IFERROR(VLOOKUP(F106,'Base Sectores'!$A$5:$J$47,6,FALSE),"")</x:f>
      </x:c>
      <x:c r="L106" s="151" t="str">
        <x:f>IFERROR(VLOOKUP(F106,'Base Sectores'!$A$5:$J$47,7,FALSE),"")</x:f>
      </x:c>
      <x:c r="M106" s="151" t="str">
        <x:f>IFERROR(VLOOKUP(F106,'Base Sectores'!$A$5:$J$47,9,FALSE),"")</x:f>
      </x:c>
      <x:c r="N106" s="154"/>
      <x:c r="O106" s="151" t="str">
        <x:f>IFERROR(VLOOKUP(N106,'Configuracion'!$D$4:$H$15,2,FALSE),"")</x:f>
      </x:c>
      <x:c r="P106" s="151" t="str">
        <x:f>IFERROR(VLOOKUP(N106,'Configuracion'!$D$4:$H$15,3,FALSE),"")</x:f>
      </x:c>
      <x:c r="Q106" s="155"/>
      <x:c r="R106" s="156" t="str">
        <x:f>IFERROR(VLOOKUP(N106,'Configuracion'!$D$4:$H$15,4,FALSE),"")</x:f>
      </x:c>
      <x:c r="S106" s="153"/>
      <x:c r="T106" s="153"/>
      <x:c r="U106" s="156" t="str">
        <x:f>IF(OR(S106="",T106=""),"",MOD(T106-S106,1)*24)</x:f>
      </x:c>
      <x:c r="V106" s="154"/>
      <x:c r="W106" s="154"/>
      <x:c r="X106" s="151" t="str">
        <x:f>IFERROR(VLOOKUP(N106,'Configuracion'!$D$4:$H$15,5,FALSE),"")</x:f>
      </x:c>
      <x:c r="Y106" s="151" t="str">
        <x:f>IFERROR(VLOOKUP(V106,'Cuadrillas'!$A$5:$J$14,2,FALSE),"")</x:f>
      </x:c>
      <x:c r="Z106" s="154"/>
      <x:c r="AA106" s="154"/>
      <x:c r="AB106" s="154"/>
      <x:c r="AC106" s="153"/>
      <x:c r="AD106" s="153"/>
      <x:c r="AE106" s="156" t="str">
        <x:f>IF(OR(AC106="",AD106=""),"",MOD(AD106-AC106,1)*24)</x:f>
      </x:c>
      <x:c r="AF106" s="154"/>
      <x:c r="AG106" s="156" t="str">
        <x:f>IF(AE106="","",MAX(0,AE106-IF(AF106="",0,AF106/60)))</x:f>
      </x:c>
      <x:c r="AH106" s="155"/>
      <x:c r="AI106" s="154"/>
      <x:c r="AJ106" s="154"/>
      <x:c r="AK106" s="156" t="n">
        <x:f>IFERROR(U106*W106,"")</x:f>
        <x:v>0</x:v>
      </x:c>
      <x:c r="AL106" s="156" t="n">
        <x:f>IFERROR(AE106*AI106,"")</x:f>
        <x:v>0</x:v>
      </x:c>
      <x:c r="AM106" s="157" t="str">
        <x:f>IFERROR(AH106/Q106,"")</x:f>
      </x:c>
      <x:c r="AN106" s="156" t="str">
        <x:f>IFERROR(AH106/AG106,"")</x:f>
      </x:c>
      <x:c r="AO106" s="156" t="str">
        <x:f>IFERROR(AL106/AH106,"")</x:f>
      </x:c>
      <x:c r="AP106" s="157" t="str">
        <x:f>IFERROR(AG106/AE106,"")</x:f>
      </x:c>
      <x:c r="AQ106" s="157" t="str">
        <x:f>IFERROR(AN106/(R106/'Configuracion'!$B$13),"")</x:f>
      </x:c>
      <x:c r="AR106" s="156" t="n">
        <x:f>IFERROR(AE106-U106,"")</x:f>
        <x:v>0</x:v>
      </x:c>
      <x:c r="AS106" s="154"/>
      <x:c r="AT106" s="154"/>
      <x:c r="AU106" s="154"/>
      <x:c r="AV106" s="154"/>
      <x:c r="AW106" s="152"/>
      <x:c r="AX106" s="154"/>
      <x:c r="AY106" s="154"/>
      <x:c r="AZ106" s="151"/>
      <x:c r="BA106" s="151"/>
    </x:row>
    <x:row r="107">
      <x:c r="A107" s="151" t="str">
        <x:f>IF(B107="","",TEXT(B107,"yyyymmdd")&amp;"-"&amp;TEXT(COUNTIF($B$5:B107,B107),"000"))</x:f>
      </x:c>
      <x:c r="B107" s="152"/>
      <x:c r="C107" s="153"/>
      <x:c r="D107" s="151" t="str">
        <x:f>IF(B107="","",'Configuracion'!$B$4)</x:f>
      </x:c>
      <x:c r="E107" s="154"/>
      <x:c r="F107" s="154"/>
      <x:c r="G107" s="151" t="str">
        <x:f>IFERROR(VLOOKUP(F107,'Base Sectores'!$A$5:$J$47,2,FALSE),"")</x:f>
      </x:c>
      <x:c r="H107" s="151" t="str">
        <x:f>IFERROR(VLOOKUP(F107,'Base Sectores'!$A$5:$J$47,3,FALSE),"")</x:f>
      </x:c>
      <x:c r="I107" s="151" t="str">
        <x:f>IFERROR(VLOOKUP(F107,'Base Sectores'!$A$5:$J$47,4,FALSE),"")</x:f>
      </x:c>
      <x:c r="J107" s="151" t="str">
        <x:f>IFERROR(VLOOKUP(F107,'Base Sectores'!$A$5:$J$47,5,FALSE),"")</x:f>
      </x:c>
      <x:c r="K107" s="151" t="str">
        <x:f>IFERROR(VLOOKUP(F107,'Base Sectores'!$A$5:$J$47,6,FALSE),"")</x:f>
      </x:c>
      <x:c r="L107" s="151" t="str">
        <x:f>IFERROR(VLOOKUP(F107,'Base Sectores'!$A$5:$J$47,7,FALSE),"")</x:f>
      </x:c>
      <x:c r="M107" s="151" t="str">
        <x:f>IFERROR(VLOOKUP(F107,'Base Sectores'!$A$5:$J$47,9,FALSE),"")</x:f>
      </x:c>
      <x:c r="N107" s="154"/>
      <x:c r="O107" s="151" t="str">
        <x:f>IFERROR(VLOOKUP(N107,'Configuracion'!$D$4:$H$15,2,FALSE),"")</x:f>
      </x:c>
      <x:c r="P107" s="151" t="str">
        <x:f>IFERROR(VLOOKUP(N107,'Configuracion'!$D$4:$H$15,3,FALSE),"")</x:f>
      </x:c>
      <x:c r="Q107" s="155"/>
      <x:c r="R107" s="156" t="str">
        <x:f>IFERROR(VLOOKUP(N107,'Configuracion'!$D$4:$H$15,4,FALSE),"")</x:f>
      </x:c>
      <x:c r="S107" s="153"/>
      <x:c r="T107" s="153"/>
      <x:c r="U107" s="156" t="str">
        <x:f>IF(OR(S107="",T107=""),"",MOD(T107-S107,1)*24)</x:f>
      </x:c>
      <x:c r="V107" s="154"/>
      <x:c r="W107" s="154"/>
      <x:c r="X107" s="151" t="str">
        <x:f>IFERROR(VLOOKUP(N107,'Configuracion'!$D$4:$H$15,5,FALSE),"")</x:f>
      </x:c>
      <x:c r="Y107" s="151" t="str">
        <x:f>IFERROR(VLOOKUP(V107,'Cuadrillas'!$A$5:$J$14,2,FALSE),"")</x:f>
      </x:c>
      <x:c r="Z107" s="154"/>
      <x:c r="AA107" s="154"/>
      <x:c r="AB107" s="154"/>
      <x:c r="AC107" s="153"/>
      <x:c r="AD107" s="153"/>
      <x:c r="AE107" s="156" t="str">
        <x:f>IF(OR(AC107="",AD107=""),"",MOD(AD107-AC107,1)*24)</x:f>
      </x:c>
      <x:c r="AF107" s="154"/>
      <x:c r="AG107" s="156" t="str">
        <x:f>IF(AE107="","",MAX(0,AE107-IF(AF107="",0,AF107/60)))</x:f>
      </x:c>
      <x:c r="AH107" s="155"/>
      <x:c r="AI107" s="154"/>
      <x:c r="AJ107" s="154"/>
      <x:c r="AK107" s="156" t="n">
        <x:f>IFERROR(U107*W107,"")</x:f>
        <x:v>0</x:v>
      </x:c>
      <x:c r="AL107" s="156" t="n">
        <x:f>IFERROR(AE107*AI107,"")</x:f>
        <x:v>0</x:v>
      </x:c>
      <x:c r="AM107" s="157" t="str">
        <x:f>IFERROR(AH107/Q107,"")</x:f>
      </x:c>
      <x:c r="AN107" s="156" t="str">
        <x:f>IFERROR(AH107/AG107,"")</x:f>
      </x:c>
      <x:c r="AO107" s="156" t="str">
        <x:f>IFERROR(AL107/AH107,"")</x:f>
      </x:c>
      <x:c r="AP107" s="157" t="str">
        <x:f>IFERROR(AG107/AE107,"")</x:f>
      </x:c>
      <x:c r="AQ107" s="157" t="str">
        <x:f>IFERROR(AN107/(R107/'Configuracion'!$B$13),"")</x:f>
      </x:c>
      <x:c r="AR107" s="156" t="n">
        <x:f>IFERROR(AE107-U107,"")</x:f>
        <x:v>0</x:v>
      </x:c>
      <x:c r="AS107" s="154"/>
      <x:c r="AT107" s="154"/>
      <x:c r="AU107" s="154"/>
      <x:c r="AV107" s="154"/>
      <x:c r="AW107" s="152"/>
      <x:c r="AX107" s="154"/>
      <x:c r="AY107" s="154"/>
      <x:c r="AZ107" s="151"/>
      <x:c r="BA107" s="151"/>
    </x:row>
    <x:row r="108">
      <x:c r="A108" s="151" t="str">
        <x:f>IF(B108="","",TEXT(B108,"yyyymmdd")&amp;"-"&amp;TEXT(COUNTIF($B$5:B108,B108),"000"))</x:f>
      </x:c>
      <x:c r="B108" s="152"/>
      <x:c r="C108" s="153"/>
      <x:c r="D108" s="151" t="str">
        <x:f>IF(B108="","",'Configuracion'!$B$4)</x:f>
      </x:c>
      <x:c r="E108" s="154"/>
      <x:c r="F108" s="154"/>
      <x:c r="G108" s="151" t="str">
        <x:f>IFERROR(VLOOKUP(F108,'Base Sectores'!$A$5:$J$47,2,FALSE),"")</x:f>
      </x:c>
      <x:c r="H108" s="151" t="str">
        <x:f>IFERROR(VLOOKUP(F108,'Base Sectores'!$A$5:$J$47,3,FALSE),"")</x:f>
      </x:c>
      <x:c r="I108" s="151" t="str">
        <x:f>IFERROR(VLOOKUP(F108,'Base Sectores'!$A$5:$J$47,4,FALSE),"")</x:f>
      </x:c>
      <x:c r="J108" s="151" t="str">
        <x:f>IFERROR(VLOOKUP(F108,'Base Sectores'!$A$5:$J$47,5,FALSE),"")</x:f>
      </x:c>
      <x:c r="K108" s="151" t="str">
        <x:f>IFERROR(VLOOKUP(F108,'Base Sectores'!$A$5:$J$47,6,FALSE),"")</x:f>
      </x:c>
      <x:c r="L108" s="151" t="str">
        <x:f>IFERROR(VLOOKUP(F108,'Base Sectores'!$A$5:$J$47,7,FALSE),"")</x:f>
      </x:c>
      <x:c r="M108" s="151" t="str">
        <x:f>IFERROR(VLOOKUP(F108,'Base Sectores'!$A$5:$J$47,9,FALSE),"")</x:f>
      </x:c>
      <x:c r="N108" s="154"/>
      <x:c r="O108" s="151" t="str">
        <x:f>IFERROR(VLOOKUP(N108,'Configuracion'!$D$4:$H$15,2,FALSE),"")</x:f>
      </x:c>
      <x:c r="P108" s="151" t="str">
        <x:f>IFERROR(VLOOKUP(N108,'Configuracion'!$D$4:$H$15,3,FALSE),"")</x:f>
      </x:c>
      <x:c r="Q108" s="155"/>
      <x:c r="R108" s="156" t="str">
        <x:f>IFERROR(VLOOKUP(N108,'Configuracion'!$D$4:$H$15,4,FALSE),"")</x:f>
      </x:c>
      <x:c r="S108" s="153"/>
      <x:c r="T108" s="153"/>
      <x:c r="U108" s="156" t="str">
        <x:f>IF(OR(S108="",T108=""),"",MOD(T108-S108,1)*24)</x:f>
      </x:c>
      <x:c r="V108" s="154"/>
      <x:c r="W108" s="154"/>
      <x:c r="X108" s="151" t="str">
        <x:f>IFERROR(VLOOKUP(N108,'Configuracion'!$D$4:$H$15,5,FALSE),"")</x:f>
      </x:c>
      <x:c r="Y108" s="151" t="str">
        <x:f>IFERROR(VLOOKUP(V108,'Cuadrillas'!$A$5:$J$14,2,FALSE),"")</x:f>
      </x:c>
      <x:c r="Z108" s="154"/>
      <x:c r="AA108" s="154"/>
      <x:c r="AB108" s="154"/>
      <x:c r="AC108" s="153"/>
      <x:c r="AD108" s="153"/>
      <x:c r="AE108" s="156" t="str">
        <x:f>IF(OR(AC108="",AD108=""),"",MOD(AD108-AC108,1)*24)</x:f>
      </x:c>
      <x:c r="AF108" s="154"/>
      <x:c r="AG108" s="156" t="str">
        <x:f>IF(AE108="","",MAX(0,AE108-IF(AF108="",0,AF108/60)))</x:f>
      </x:c>
      <x:c r="AH108" s="155"/>
      <x:c r="AI108" s="154"/>
      <x:c r="AJ108" s="154"/>
      <x:c r="AK108" s="156" t="n">
        <x:f>IFERROR(U108*W108,"")</x:f>
        <x:v>0</x:v>
      </x:c>
      <x:c r="AL108" s="156" t="n">
        <x:f>IFERROR(AE108*AI108,"")</x:f>
        <x:v>0</x:v>
      </x:c>
      <x:c r="AM108" s="157" t="str">
        <x:f>IFERROR(AH108/Q108,"")</x:f>
      </x:c>
      <x:c r="AN108" s="156" t="str">
        <x:f>IFERROR(AH108/AG108,"")</x:f>
      </x:c>
      <x:c r="AO108" s="156" t="str">
        <x:f>IFERROR(AL108/AH108,"")</x:f>
      </x:c>
      <x:c r="AP108" s="157" t="str">
        <x:f>IFERROR(AG108/AE108,"")</x:f>
      </x:c>
      <x:c r="AQ108" s="157" t="str">
        <x:f>IFERROR(AN108/(R108/'Configuracion'!$B$13),"")</x:f>
      </x:c>
      <x:c r="AR108" s="156" t="n">
        <x:f>IFERROR(AE108-U108,"")</x:f>
        <x:v>0</x:v>
      </x:c>
      <x:c r="AS108" s="154"/>
      <x:c r="AT108" s="154"/>
      <x:c r="AU108" s="154"/>
      <x:c r="AV108" s="154"/>
      <x:c r="AW108" s="152"/>
      <x:c r="AX108" s="154"/>
      <x:c r="AY108" s="154"/>
      <x:c r="AZ108" s="151"/>
      <x:c r="BA108" s="151"/>
    </x:row>
    <x:row r="109">
      <x:c r="A109" s="151" t="str">
        <x:f>IF(B109="","",TEXT(B109,"yyyymmdd")&amp;"-"&amp;TEXT(COUNTIF($B$5:B109,B109),"000"))</x:f>
      </x:c>
      <x:c r="B109" s="152"/>
      <x:c r="C109" s="153"/>
      <x:c r="D109" s="151" t="str">
        <x:f>IF(B109="","",'Configuracion'!$B$4)</x:f>
      </x:c>
      <x:c r="E109" s="154"/>
      <x:c r="F109" s="154"/>
      <x:c r="G109" s="151" t="str">
        <x:f>IFERROR(VLOOKUP(F109,'Base Sectores'!$A$5:$J$47,2,FALSE),"")</x:f>
      </x:c>
      <x:c r="H109" s="151" t="str">
        <x:f>IFERROR(VLOOKUP(F109,'Base Sectores'!$A$5:$J$47,3,FALSE),"")</x:f>
      </x:c>
      <x:c r="I109" s="151" t="str">
        <x:f>IFERROR(VLOOKUP(F109,'Base Sectores'!$A$5:$J$47,4,FALSE),"")</x:f>
      </x:c>
      <x:c r="J109" s="151" t="str">
        <x:f>IFERROR(VLOOKUP(F109,'Base Sectores'!$A$5:$J$47,5,FALSE),"")</x:f>
      </x:c>
      <x:c r="K109" s="151" t="str">
        <x:f>IFERROR(VLOOKUP(F109,'Base Sectores'!$A$5:$J$47,6,FALSE),"")</x:f>
      </x:c>
      <x:c r="L109" s="151" t="str">
        <x:f>IFERROR(VLOOKUP(F109,'Base Sectores'!$A$5:$J$47,7,FALSE),"")</x:f>
      </x:c>
      <x:c r="M109" s="151" t="str">
        <x:f>IFERROR(VLOOKUP(F109,'Base Sectores'!$A$5:$J$47,9,FALSE),"")</x:f>
      </x:c>
      <x:c r="N109" s="154"/>
      <x:c r="O109" s="151" t="str">
        <x:f>IFERROR(VLOOKUP(N109,'Configuracion'!$D$4:$H$15,2,FALSE),"")</x:f>
      </x:c>
      <x:c r="P109" s="151" t="str">
        <x:f>IFERROR(VLOOKUP(N109,'Configuracion'!$D$4:$H$15,3,FALSE),"")</x:f>
      </x:c>
      <x:c r="Q109" s="155"/>
      <x:c r="R109" s="156" t="str">
        <x:f>IFERROR(VLOOKUP(N109,'Configuracion'!$D$4:$H$15,4,FALSE),"")</x:f>
      </x:c>
      <x:c r="S109" s="153"/>
      <x:c r="T109" s="153"/>
      <x:c r="U109" s="156" t="str">
        <x:f>IF(OR(S109="",T109=""),"",MOD(T109-S109,1)*24)</x:f>
      </x:c>
      <x:c r="V109" s="154"/>
      <x:c r="W109" s="154"/>
      <x:c r="X109" s="151" t="str">
        <x:f>IFERROR(VLOOKUP(N109,'Configuracion'!$D$4:$H$15,5,FALSE),"")</x:f>
      </x:c>
      <x:c r="Y109" s="151" t="str">
        <x:f>IFERROR(VLOOKUP(V109,'Cuadrillas'!$A$5:$J$14,2,FALSE),"")</x:f>
      </x:c>
      <x:c r="Z109" s="154"/>
      <x:c r="AA109" s="154"/>
      <x:c r="AB109" s="154"/>
      <x:c r="AC109" s="153"/>
      <x:c r="AD109" s="153"/>
      <x:c r="AE109" s="156" t="str">
        <x:f>IF(OR(AC109="",AD109=""),"",MOD(AD109-AC109,1)*24)</x:f>
      </x:c>
      <x:c r="AF109" s="154"/>
      <x:c r="AG109" s="156" t="str">
        <x:f>IF(AE109="","",MAX(0,AE109-IF(AF109="",0,AF109/60)))</x:f>
      </x:c>
      <x:c r="AH109" s="155"/>
      <x:c r="AI109" s="154"/>
      <x:c r="AJ109" s="154"/>
      <x:c r="AK109" s="156" t="n">
        <x:f>IFERROR(U109*W109,"")</x:f>
        <x:v>0</x:v>
      </x:c>
      <x:c r="AL109" s="156" t="n">
        <x:f>IFERROR(AE109*AI109,"")</x:f>
        <x:v>0</x:v>
      </x:c>
      <x:c r="AM109" s="157" t="str">
        <x:f>IFERROR(AH109/Q109,"")</x:f>
      </x:c>
      <x:c r="AN109" s="156" t="str">
        <x:f>IFERROR(AH109/AG109,"")</x:f>
      </x:c>
      <x:c r="AO109" s="156" t="str">
        <x:f>IFERROR(AL109/AH109,"")</x:f>
      </x:c>
      <x:c r="AP109" s="157" t="str">
        <x:f>IFERROR(AG109/AE109,"")</x:f>
      </x:c>
      <x:c r="AQ109" s="157" t="str">
        <x:f>IFERROR(AN109/(R109/'Configuracion'!$B$13),"")</x:f>
      </x:c>
      <x:c r="AR109" s="156" t="n">
        <x:f>IFERROR(AE109-U109,"")</x:f>
        <x:v>0</x:v>
      </x:c>
      <x:c r="AS109" s="154"/>
      <x:c r="AT109" s="154"/>
      <x:c r="AU109" s="154"/>
      <x:c r="AV109" s="154"/>
      <x:c r="AW109" s="152"/>
      <x:c r="AX109" s="154"/>
      <x:c r="AY109" s="154"/>
      <x:c r="AZ109" s="151"/>
      <x:c r="BA109" s="151"/>
    </x:row>
    <x:row r="110">
      <x:c r="A110" s="151" t="str">
        <x:f>IF(B110="","",TEXT(B110,"yyyymmdd")&amp;"-"&amp;TEXT(COUNTIF($B$5:B110,B110),"000"))</x:f>
      </x:c>
      <x:c r="B110" s="152"/>
      <x:c r="C110" s="153"/>
      <x:c r="D110" s="151" t="str">
        <x:f>IF(B110="","",'Configuracion'!$B$4)</x:f>
      </x:c>
      <x:c r="E110" s="154"/>
      <x:c r="F110" s="154"/>
      <x:c r="G110" s="151" t="str">
        <x:f>IFERROR(VLOOKUP(F110,'Base Sectores'!$A$5:$J$47,2,FALSE),"")</x:f>
      </x:c>
      <x:c r="H110" s="151" t="str">
        <x:f>IFERROR(VLOOKUP(F110,'Base Sectores'!$A$5:$J$47,3,FALSE),"")</x:f>
      </x:c>
      <x:c r="I110" s="151" t="str">
        <x:f>IFERROR(VLOOKUP(F110,'Base Sectores'!$A$5:$J$47,4,FALSE),"")</x:f>
      </x:c>
      <x:c r="J110" s="151" t="str">
        <x:f>IFERROR(VLOOKUP(F110,'Base Sectores'!$A$5:$J$47,5,FALSE),"")</x:f>
      </x:c>
      <x:c r="K110" s="151" t="str">
        <x:f>IFERROR(VLOOKUP(F110,'Base Sectores'!$A$5:$J$47,6,FALSE),"")</x:f>
      </x:c>
      <x:c r="L110" s="151" t="str">
        <x:f>IFERROR(VLOOKUP(F110,'Base Sectores'!$A$5:$J$47,7,FALSE),"")</x:f>
      </x:c>
      <x:c r="M110" s="151" t="str">
        <x:f>IFERROR(VLOOKUP(F110,'Base Sectores'!$A$5:$J$47,9,FALSE),"")</x:f>
      </x:c>
      <x:c r="N110" s="154"/>
      <x:c r="O110" s="151" t="str">
        <x:f>IFERROR(VLOOKUP(N110,'Configuracion'!$D$4:$H$15,2,FALSE),"")</x:f>
      </x:c>
      <x:c r="P110" s="151" t="str">
        <x:f>IFERROR(VLOOKUP(N110,'Configuracion'!$D$4:$H$15,3,FALSE),"")</x:f>
      </x:c>
      <x:c r="Q110" s="155"/>
      <x:c r="R110" s="156" t="str">
        <x:f>IFERROR(VLOOKUP(N110,'Configuracion'!$D$4:$H$15,4,FALSE),"")</x:f>
      </x:c>
      <x:c r="S110" s="153"/>
      <x:c r="T110" s="153"/>
      <x:c r="U110" s="156" t="str">
        <x:f>IF(OR(S110="",T110=""),"",MOD(T110-S110,1)*24)</x:f>
      </x:c>
      <x:c r="V110" s="154"/>
      <x:c r="W110" s="154"/>
      <x:c r="X110" s="151" t="str">
        <x:f>IFERROR(VLOOKUP(N110,'Configuracion'!$D$4:$H$15,5,FALSE),"")</x:f>
      </x:c>
      <x:c r="Y110" s="151" t="str">
        <x:f>IFERROR(VLOOKUP(V110,'Cuadrillas'!$A$5:$J$14,2,FALSE),"")</x:f>
      </x:c>
      <x:c r="Z110" s="154"/>
      <x:c r="AA110" s="154"/>
      <x:c r="AB110" s="154"/>
      <x:c r="AC110" s="153"/>
      <x:c r="AD110" s="153"/>
      <x:c r="AE110" s="156" t="str">
        <x:f>IF(OR(AC110="",AD110=""),"",MOD(AD110-AC110,1)*24)</x:f>
      </x:c>
      <x:c r="AF110" s="154"/>
      <x:c r="AG110" s="156" t="str">
        <x:f>IF(AE110="","",MAX(0,AE110-IF(AF110="",0,AF110/60)))</x:f>
      </x:c>
      <x:c r="AH110" s="155"/>
      <x:c r="AI110" s="154"/>
      <x:c r="AJ110" s="154"/>
      <x:c r="AK110" s="156" t="n">
        <x:f>IFERROR(U110*W110,"")</x:f>
        <x:v>0</x:v>
      </x:c>
      <x:c r="AL110" s="156" t="n">
        <x:f>IFERROR(AE110*AI110,"")</x:f>
        <x:v>0</x:v>
      </x:c>
      <x:c r="AM110" s="157" t="str">
        <x:f>IFERROR(AH110/Q110,"")</x:f>
      </x:c>
      <x:c r="AN110" s="156" t="str">
        <x:f>IFERROR(AH110/AG110,"")</x:f>
      </x:c>
      <x:c r="AO110" s="156" t="str">
        <x:f>IFERROR(AL110/AH110,"")</x:f>
      </x:c>
      <x:c r="AP110" s="157" t="str">
        <x:f>IFERROR(AG110/AE110,"")</x:f>
      </x:c>
      <x:c r="AQ110" s="157" t="str">
        <x:f>IFERROR(AN110/(R110/'Configuracion'!$B$13),"")</x:f>
      </x:c>
      <x:c r="AR110" s="156" t="n">
        <x:f>IFERROR(AE110-U110,"")</x:f>
        <x:v>0</x:v>
      </x:c>
      <x:c r="AS110" s="154"/>
      <x:c r="AT110" s="154"/>
      <x:c r="AU110" s="154"/>
      <x:c r="AV110" s="154"/>
      <x:c r="AW110" s="152"/>
      <x:c r="AX110" s="154"/>
      <x:c r="AY110" s="154"/>
      <x:c r="AZ110" s="151"/>
      <x:c r="BA110" s="151"/>
    </x:row>
    <x:row r="111">
      <x:c r="A111" s="151" t="str">
        <x:f>IF(B111="","",TEXT(B111,"yyyymmdd")&amp;"-"&amp;TEXT(COUNTIF($B$5:B111,B111),"000"))</x:f>
      </x:c>
      <x:c r="B111" s="152"/>
      <x:c r="C111" s="153"/>
      <x:c r="D111" s="151" t="str">
        <x:f>IF(B111="","",'Configuracion'!$B$4)</x:f>
      </x:c>
      <x:c r="E111" s="154"/>
      <x:c r="F111" s="154"/>
      <x:c r="G111" s="151" t="str">
        <x:f>IFERROR(VLOOKUP(F111,'Base Sectores'!$A$5:$J$47,2,FALSE),"")</x:f>
      </x:c>
      <x:c r="H111" s="151" t="str">
        <x:f>IFERROR(VLOOKUP(F111,'Base Sectores'!$A$5:$J$47,3,FALSE),"")</x:f>
      </x:c>
      <x:c r="I111" s="151" t="str">
        <x:f>IFERROR(VLOOKUP(F111,'Base Sectores'!$A$5:$J$47,4,FALSE),"")</x:f>
      </x:c>
      <x:c r="J111" s="151" t="str">
        <x:f>IFERROR(VLOOKUP(F111,'Base Sectores'!$A$5:$J$47,5,FALSE),"")</x:f>
      </x:c>
      <x:c r="K111" s="151" t="str">
        <x:f>IFERROR(VLOOKUP(F111,'Base Sectores'!$A$5:$J$47,6,FALSE),"")</x:f>
      </x:c>
      <x:c r="L111" s="151" t="str">
        <x:f>IFERROR(VLOOKUP(F111,'Base Sectores'!$A$5:$J$47,7,FALSE),"")</x:f>
      </x:c>
      <x:c r="M111" s="151" t="str">
        <x:f>IFERROR(VLOOKUP(F111,'Base Sectores'!$A$5:$J$47,9,FALSE),"")</x:f>
      </x:c>
      <x:c r="N111" s="154"/>
      <x:c r="O111" s="151" t="str">
        <x:f>IFERROR(VLOOKUP(N111,'Configuracion'!$D$4:$H$15,2,FALSE),"")</x:f>
      </x:c>
      <x:c r="P111" s="151" t="str">
        <x:f>IFERROR(VLOOKUP(N111,'Configuracion'!$D$4:$H$15,3,FALSE),"")</x:f>
      </x:c>
      <x:c r="Q111" s="155"/>
      <x:c r="R111" s="156" t="str">
        <x:f>IFERROR(VLOOKUP(N111,'Configuracion'!$D$4:$H$15,4,FALSE),"")</x:f>
      </x:c>
      <x:c r="S111" s="153"/>
      <x:c r="T111" s="153"/>
      <x:c r="U111" s="156" t="str">
        <x:f>IF(OR(S111="",T111=""),"",MOD(T111-S111,1)*24)</x:f>
      </x:c>
      <x:c r="V111" s="154"/>
      <x:c r="W111" s="154"/>
      <x:c r="X111" s="151" t="str">
        <x:f>IFERROR(VLOOKUP(N111,'Configuracion'!$D$4:$H$15,5,FALSE),"")</x:f>
      </x:c>
      <x:c r="Y111" s="151" t="str">
        <x:f>IFERROR(VLOOKUP(V111,'Cuadrillas'!$A$5:$J$14,2,FALSE),"")</x:f>
      </x:c>
      <x:c r="Z111" s="154"/>
      <x:c r="AA111" s="154"/>
      <x:c r="AB111" s="154"/>
      <x:c r="AC111" s="153"/>
      <x:c r="AD111" s="153"/>
      <x:c r="AE111" s="156" t="str">
        <x:f>IF(OR(AC111="",AD111=""),"",MOD(AD111-AC111,1)*24)</x:f>
      </x:c>
      <x:c r="AF111" s="154"/>
      <x:c r="AG111" s="156" t="str">
        <x:f>IF(AE111="","",MAX(0,AE111-IF(AF111="",0,AF111/60)))</x:f>
      </x:c>
      <x:c r="AH111" s="155"/>
      <x:c r="AI111" s="154"/>
      <x:c r="AJ111" s="154"/>
      <x:c r="AK111" s="156" t="n">
        <x:f>IFERROR(U111*W111,"")</x:f>
        <x:v>0</x:v>
      </x:c>
      <x:c r="AL111" s="156" t="n">
        <x:f>IFERROR(AE111*AI111,"")</x:f>
        <x:v>0</x:v>
      </x:c>
      <x:c r="AM111" s="157" t="str">
        <x:f>IFERROR(AH111/Q111,"")</x:f>
      </x:c>
      <x:c r="AN111" s="156" t="str">
        <x:f>IFERROR(AH111/AG111,"")</x:f>
      </x:c>
      <x:c r="AO111" s="156" t="str">
        <x:f>IFERROR(AL111/AH111,"")</x:f>
      </x:c>
      <x:c r="AP111" s="157" t="str">
        <x:f>IFERROR(AG111/AE111,"")</x:f>
      </x:c>
      <x:c r="AQ111" s="157" t="str">
        <x:f>IFERROR(AN111/(R111/'Configuracion'!$B$13),"")</x:f>
      </x:c>
      <x:c r="AR111" s="156" t="n">
        <x:f>IFERROR(AE111-U111,"")</x:f>
        <x:v>0</x:v>
      </x:c>
      <x:c r="AS111" s="154"/>
      <x:c r="AT111" s="154"/>
      <x:c r="AU111" s="154"/>
      <x:c r="AV111" s="154"/>
      <x:c r="AW111" s="152"/>
      <x:c r="AX111" s="154"/>
      <x:c r="AY111" s="154"/>
      <x:c r="AZ111" s="151"/>
      <x:c r="BA111" s="151"/>
    </x:row>
    <x:row r="112">
      <x:c r="A112" s="151" t="str">
        <x:f>IF(B112="","",TEXT(B112,"yyyymmdd")&amp;"-"&amp;TEXT(COUNTIF($B$5:B112,B112),"000"))</x:f>
      </x:c>
      <x:c r="B112" s="152"/>
      <x:c r="C112" s="153"/>
      <x:c r="D112" s="151" t="str">
        <x:f>IF(B112="","",'Configuracion'!$B$4)</x:f>
      </x:c>
      <x:c r="E112" s="154"/>
      <x:c r="F112" s="154"/>
      <x:c r="G112" s="151" t="str">
        <x:f>IFERROR(VLOOKUP(F112,'Base Sectores'!$A$5:$J$47,2,FALSE),"")</x:f>
      </x:c>
      <x:c r="H112" s="151" t="str">
        <x:f>IFERROR(VLOOKUP(F112,'Base Sectores'!$A$5:$J$47,3,FALSE),"")</x:f>
      </x:c>
      <x:c r="I112" s="151" t="str">
        <x:f>IFERROR(VLOOKUP(F112,'Base Sectores'!$A$5:$J$47,4,FALSE),"")</x:f>
      </x:c>
      <x:c r="J112" s="151" t="str">
        <x:f>IFERROR(VLOOKUP(F112,'Base Sectores'!$A$5:$J$47,5,FALSE),"")</x:f>
      </x:c>
      <x:c r="K112" s="151" t="str">
        <x:f>IFERROR(VLOOKUP(F112,'Base Sectores'!$A$5:$J$47,6,FALSE),"")</x:f>
      </x:c>
      <x:c r="L112" s="151" t="str">
        <x:f>IFERROR(VLOOKUP(F112,'Base Sectores'!$A$5:$J$47,7,FALSE),"")</x:f>
      </x:c>
      <x:c r="M112" s="151" t="str">
        <x:f>IFERROR(VLOOKUP(F112,'Base Sectores'!$A$5:$J$47,9,FALSE),"")</x:f>
      </x:c>
      <x:c r="N112" s="154"/>
      <x:c r="O112" s="151" t="str">
        <x:f>IFERROR(VLOOKUP(N112,'Configuracion'!$D$4:$H$15,2,FALSE),"")</x:f>
      </x:c>
      <x:c r="P112" s="151" t="str">
        <x:f>IFERROR(VLOOKUP(N112,'Configuracion'!$D$4:$H$15,3,FALSE),"")</x:f>
      </x:c>
      <x:c r="Q112" s="155"/>
      <x:c r="R112" s="156" t="str">
        <x:f>IFERROR(VLOOKUP(N112,'Configuracion'!$D$4:$H$15,4,FALSE),"")</x:f>
      </x:c>
      <x:c r="S112" s="153"/>
      <x:c r="T112" s="153"/>
      <x:c r="U112" s="156" t="str">
        <x:f>IF(OR(S112="",T112=""),"",MOD(T112-S112,1)*24)</x:f>
      </x:c>
      <x:c r="V112" s="154"/>
      <x:c r="W112" s="154"/>
      <x:c r="X112" s="151" t="str">
        <x:f>IFERROR(VLOOKUP(N112,'Configuracion'!$D$4:$H$15,5,FALSE),"")</x:f>
      </x:c>
      <x:c r="Y112" s="151" t="str">
        <x:f>IFERROR(VLOOKUP(V112,'Cuadrillas'!$A$5:$J$14,2,FALSE),"")</x:f>
      </x:c>
      <x:c r="Z112" s="154"/>
      <x:c r="AA112" s="154"/>
      <x:c r="AB112" s="154"/>
      <x:c r="AC112" s="153"/>
      <x:c r="AD112" s="153"/>
      <x:c r="AE112" s="156" t="str">
        <x:f>IF(OR(AC112="",AD112=""),"",MOD(AD112-AC112,1)*24)</x:f>
      </x:c>
      <x:c r="AF112" s="154"/>
      <x:c r="AG112" s="156" t="str">
        <x:f>IF(AE112="","",MAX(0,AE112-IF(AF112="",0,AF112/60)))</x:f>
      </x:c>
      <x:c r="AH112" s="155"/>
      <x:c r="AI112" s="154"/>
      <x:c r="AJ112" s="154"/>
      <x:c r="AK112" s="156" t="n">
        <x:f>IFERROR(U112*W112,"")</x:f>
        <x:v>0</x:v>
      </x:c>
      <x:c r="AL112" s="156" t="n">
        <x:f>IFERROR(AE112*AI112,"")</x:f>
        <x:v>0</x:v>
      </x:c>
      <x:c r="AM112" s="157" t="str">
        <x:f>IFERROR(AH112/Q112,"")</x:f>
      </x:c>
      <x:c r="AN112" s="156" t="str">
        <x:f>IFERROR(AH112/AG112,"")</x:f>
      </x:c>
      <x:c r="AO112" s="156" t="str">
        <x:f>IFERROR(AL112/AH112,"")</x:f>
      </x:c>
      <x:c r="AP112" s="157" t="str">
        <x:f>IFERROR(AG112/AE112,"")</x:f>
      </x:c>
      <x:c r="AQ112" s="157" t="str">
        <x:f>IFERROR(AN112/(R112/'Configuracion'!$B$13),"")</x:f>
      </x:c>
      <x:c r="AR112" s="156" t="n">
        <x:f>IFERROR(AE112-U112,"")</x:f>
        <x:v>0</x:v>
      </x:c>
      <x:c r="AS112" s="154"/>
      <x:c r="AT112" s="154"/>
      <x:c r="AU112" s="154"/>
      <x:c r="AV112" s="154"/>
      <x:c r="AW112" s="152"/>
      <x:c r="AX112" s="154"/>
      <x:c r="AY112" s="154"/>
      <x:c r="AZ112" s="151"/>
      <x:c r="BA112" s="151"/>
    </x:row>
    <x:row r="113">
      <x:c r="A113" s="151" t="str">
        <x:f>IF(B113="","",TEXT(B113,"yyyymmdd")&amp;"-"&amp;TEXT(COUNTIF($B$5:B113,B113),"000"))</x:f>
      </x:c>
      <x:c r="B113" s="152"/>
      <x:c r="C113" s="153"/>
      <x:c r="D113" s="151" t="str">
        <x:f>IF(B113="","",'Configuracion'!$B$4)</x:f>
      </x:c>
      <x:c r="E113" s="154"/>
      <x:c r="F113" s="154"/>
      <x:c r="G113" s="151" t="str">
        <x:f>IFERROR(VLOOKUP(F113,'Base Sectores'!$A$5:$J$47,2,FALSE),"")</x:f>
      </x:c>
      <x:c r="H113" s="151" t="str">
        <x:f>IFERROR(VLOOKUP(F113,'Base Sectores'!$A$5:$J$47,3,FALSE),"")</x:f>
      </x:c>
      <x:c r="I113" s="151" t="str">
        <x:f>IFERROR(VLOOKUP(F113,'Base Sectores'!$A$5:$J$47,4,FALSE),"")</x:f>
      </x:c>
      <x:c r="J113" s="151" t="str">
        <x:f>IFERROR(VLOOKUP(F113,'Base Sectores'!$A$5:$J$47,5,FALSE),"")</x:f>
      </x:c>
      <x:c r="K113" s="151" t="str">
        <x:f>IFERROR(VLOOKUP(F113,'Base Sectores'!$A$5:$J$47,6,FALSE),"")</x:f>
      </x:c>
      <x:c r="L113" s="151" t="str">
        <x:f>IFERROR(VLOOKUP(F113,'Base Sectores'!$A$5:$J$47,7,FALSE),"")</x:f>
      </x:c>
      <x:c r="M113" s="151" t="str">
        <x:f>IFERROR(VLOOKUP(F113,'Base Sectores'!$A$5:$J$47,9,FALSE),"")</x:f>
      </x:c>
      <x:c r="N113" s="154"/>
      <x:c r="O113" s="151" t="str">
        <x:f>IFERROR(VLOOKUP(N113,'Configuracion'!$D$4:$H$15,2,FALSE),"")</x:f>
      </x:c>
      <x:c r="P113" s="151" t="str">
        <x:f>IFERROR(VLOOKUP(N113,'Configuracion'!$D$4:$H$15,3,FALSE),"")</x:f>
      </x:c>
      <x:c r="Q113" s="155"/>
      <x:c r="R113" s="156" t="str">
        <x:f>IFERROR(VLOOKUP(N113,'Configuracion'!$D$4:$H$15,4,FALSE),"")</x:f>
      </x:c>
      <x:c r="S113" s="153"/>
      <x:c r="T113" s="153"/>
      <x:c r="U113" s="156" t="str">
        <x:f>IF(OR(S113="",T113=""),"",MOD(T113-S113,1)*24)</x:f>
      </x:c>
      <x:c r="V113" s="154"/>
      <x:c r="W113" s="154"/>
      <x:c r="X113" s="151" t="str">
        <x:f>IFERROR(VLOOKUP(N113,'Configuracion'!$D$4:$H$15,5,FALSE),"")</x:f>
      </x:c>
      <x:c r="Y113" s="151" t="str">
        <x:f>IFERROR(VLOOKUP(V113,'Cuadrillas'!$A$5:$J$14,2,FALSE),"")</x:f>
      </x:c>
      <x:c r="Z113" s="154"/>
      <x:c r="AA113" s="154"/>
      <x:c r="AB113" s="154"/>
      <x:c r="AC113" s="153"/>
      <x:c r="AD113" s="153"/>
      <x:c r="AE113" s="156" t="str">
        <x:f>IF(OR(AC113="",AD113=""),"",MOD(AD113-AC113,1)*24)</x:f>
      </x:c>
      <x:c r="AF113" s="154"/>
      <x:c r="AG113" s="156" t="str">
        <x:f>IF(AE113="","",MAX(0,AE113-IF(AF113="",0,AF113/60)))</x:f>
      </x:c>
      <x:c r="AH113" s="155"/>
      <x:c r="AI113" s="154"/>
      <x:c r="AJ113" s="154"/>
      <x:c r="AK113" s="156" t="n">
        <x:f>IFERROR(U113*W113,"")</x:f>
        <x:v>0</x:v>
      </x:c>
      <x:c r="AL113" s="156" t="n">
        <x:f>IFERROR(AE113*AI113,"")</x:f>
        <x:v>0</x:v>
      </x:c>
      <x:c r="AM113" s="157" t="str">
        <x:f>IFERROR(AH113/Q113,"")</x:f>
      </x:c>
      <x:c r="AN113" s="156" t="str">
        <x:f>IFERROR(AH113/AG113,"")</x:f>
      </x:c>
      <x:c r="AO113" s="156" t="str">
        <x:f>IFERROR(AL113/AH113,"")</x:f>
      </x:c>
      <x:c r="AP113" s="157" t="str">
        <x:f>IFERROR(AG113/AE113,"")</x:f>
      </x:c>
      <x:c r="AQ113" s="157" t="str">
        <x:f>IFERROR(AN113/(R113/'Configuracion'!$B$13),"")</x:f>
      </x:c>
      <x:c r="AR113" s="156" t="n">
        <x:f>IFERROR(AE113-U113,"")</x:f>
        <x:v>0</x:v>
      </x:c>
      <x:c r="AS113" s="154"/>
      <x:c r="AT113" s="154"/>
      <x:c r="AU113" s="154"/>
      <x:c r="AV113" s="154"/>
      <x:c r="AW113" s="152"/>
      <x:c r="AX113" s="154"/>
      <x:c r="AY113" s="154"/>
      <x:c r="AZ113" s="151"/>
      <x:c r="BA113" s="151"/>
    </x:row>
    <x:row r="114">
      <x:c r="A114" s="151" t="str">
        <x:f>IF(B114="","",TEXT(B114,"yyyymmdd")&amp;"-"&amp;TEXT(COUNTIF($B$5:B114,B114),"000"))</x:f>
      </x:c>
      <x:c r="B114" s="152"/>
      <x:c r="C114" s="153"/>
      <x:c r="D114" s="151" t="str">
        <x:f>IF(B114="","",'Configuracion'!$B$4)</x:f>
      </x:c>
      <x:c r="E114" s="154"/>
      <x:c r="F114" s="154"/>
      <x:c r="G114" s="151" t="str">
        <x:f>IFERROR(VLOOKUP(F114,'Base Sectores'!$A$5:$J$47,2,FALSE),"")</x:f>
      </x:c>
      <x:c r="H114" s="151" t="str">
        <x:f>IFERROR(VLOOKUP(F114,'Base Sectores'!$A$5:$J$47,3,FALSE),"")</x:f>
      </x:c>
      <x:c r="I114" s="151" t="str">
        <x:f>IFERROR(VLOOKUP(F114,'Base Sectores'!$A$5:$J$47,4,FALSE),"")</x:f>
      </x:c>
      <x:c r="J114" s="151" t="str">
        <x:f>IFERROR(VLOOKUP(F114,'Base Sectores'!$A$5:$J$47,5,FALSE),"")</x:f>
      </x:c>
      <x:c r="K114" s="151" t="str">
        <x:f>IFERROR(VLOOKUP(F114,'Base Sectores'!$A$5:$J$47,6,FALSE),"")</x:f>
      </x:c>
      <x:c r="L114" s="151" t="str">
        <x:f>IFERROR(VLOOKUP(F114,'Base Sectores'!$A$5:$J$47,7,FALSE),"")</x:f>
      </x:c>
      <x:c r="M114" s="151" t="str">
        <x:f>IFERROR(VLOOKUP(F114,'Base Sectores'!$A$5:$J$47,9,FALSE),"")</x:f>
      </x:c>
      <x:c r="N114" s="154"/>
      <x:c r="O114" s="151" t="str">
        <x:f>IFERROR(VLOOKUP(N114,'Configuracion'!$D$4:$H$15,2,FALSE),"")</x:f>
      </x:c>
      <x:c r="P114" s="151" t="str">
        <x:f>IFERROR(VLOOKUP(N114,'Configuracion'!$D$4:$H$15,3,FALSE),"")</x:f>
      </x:c>
      <x:c r="Q114" s="155"/>
      <x:c r="R114" s="156" t="str">
        <x:f>IFERROR(VLOOKUP(N114,'Configuracion'!$D$4:$H$15,4,FALSE),"")</x:f>
      </x:c>
      <x:c r="S114" s="153"/>
      <x:c r="T114" s="153"/>
      <x:c r="U114" s="156" t="str">
        <x:f>IF(OR(S114="",T114=""),"",MOD(T114-S114,1)*24)</x:f>
      </x:c>
      <x:c r="V114" s="154"/>
      <x:c r="W114" s="154"/>
      <x:c r="X114" s="151" t="str">
        <x:f>IFERROR(VLOOKUP(N114,'Configuracion'!$D$4:$H$15,5,FALSE),"")</x:f>
      </x:c>
      <x:c r="Y114" s="151" t="str">
        <x:f>IFERROR(VLOOKUP(V114,'Cuadrillas'!$A$5:$J$14,2,FALSE),"")</x:f>
      </x:c>
      <x:c r="Z114" s="154"/>
      <x:c r="AA114" s="154"/>
      <x:c r="AB114" s="154"/>
      <x:c r="AC114" s="153"/>
      <x:c r="AD114" s="153"/>
      <x:c r="AE114" s="156" t="str">
        <x:f>IF(OR(AC114="",AD114=""),"",MOD(AD114-AC114,1)*24)</x:f>
      </x:c>
      <x:c r="AF114" s="154"/>
      <x:c r="AG114" s="156" t="str">
        <x:f>IF(AE114="","",MAX(0,AE114-IF(AF114="",0,AF114/60)))</x:f>
      </x:c>
      <x:c r="AH114" s="155"/>
      <x:c r="AI114" s="154"/>
      <x:c r="AJ114" s="154"/>
      <x:c r="AK114" s="156" t="n">
        <x:f>IFERROR(U114*W114,"")</x:f>
        <x:v>0</x:v>
      </x:c>
      <x:c r="AL114" s="156" t="n">
        <x:f>IFERROR(AE114*AI114,"")</x:f>
        <x:v>0</x:v>
      </x:c>
      <x:c r="AM114" s="157" t="str">
        <x:f>IFERROR(AH114/Q114,"")</x:f>
      </x:c>
      <x:c r="AN114" s="156" t="str">
        <x:f>IFERROR(AH114/AG114,"")</x:f>
      </x:c>
      <x:c r="AO114" s="156" t="str">
        <x:f>IFERROR(AL114/AH114,"")</x:f>
      </x:c>
      <x:c r="AP114" s="157" t="str">
        <x:f>IFERROR(AG114/AE114,"")</x:f>
      </x:c>
      <x:c r="AQ114" s="157" t="str">
        <x:f>IFERROR(AN114/(R114/'Configuracion'!$B$13),"")</x:f>
      </x:c>
      <x:c r="AR114" s="156" t="n">
        <x:f>IFERROR(AE114-U114,"")</x:f>
        <x:v>0</x:v>
      </x:c>
      <x:c r="AS114" s="154"/>
      <x:c r="AT114" s="154"/>
      <x:c r="AU114" s="154"/>
      <x:c r="AV114" s="154"/>
      <x:c r="AW114" s="152"/>
      <x:c r="AX114" s="154"/>
      <x:c r="AY114" s="154"/>
      <x:c r="AZ114" s="151"/>
      <x:c r="BA114" s="151"/>
    </x:row>
    <x:row r="115">
      <x:c r="A115" s="151" t="str">
        <x:f>IF(B115="","",TEXT(B115,"yyyymmdd")&amp;"-"&amp;TEXT(COUNTIF($B$5:B115,B115),"000"))</x:f>
      </x:c>
      <x:c r="B115" s="152"/>
      <x:c r="C115" s="153"/>
      <x:c r="D115" s="151" t="str">
        <x:f>IF(B115="","",'Configuracion'!$B$4)</x:f>
      </x:c>
      <x:c r="E115" s="154"/>
      <x:c r="F115" s="154"/>
      <x:c r="G115" s="151" t="str">
        <x:f>IFERROR(VLOOKUP(F115,'Base Sectores'!$A$5:$J$47,2,FALSE),"")</x:f>
      </x:c>
      <x:c r="H115" s="151" t="str">
        <x:f>IFERROR(VLOOKUP(F115,'Base Sectores'!$A$5:$J$47,3,FALSE),"")</x:f>
      </x:c>
      <x:c r="I115" s="151" t="str">
        <x:f>IFERROR(VLOOKUP(F115,'Base Sectores'!$A$5:$J$47,4,FALSE),"")</x:f>
      </x:c>
      <x:c r="J115" s="151" t="str">
        <x:f>IFERROR(VLOOKUP(F115,'Base Sectores'!$A$5:$J$47,5,FALSE),"")</x:f>
      </x:c>
      <x:c r="K115" s="151" t="str">
        <x:f>IFERROR(VLOOKUP(F115,'Base Sectores'!$A$5:$J$47,6,FALSE),"")</x:f>
      </x:c>
      <x:c r="L115" s="151" t="str">
        <x:f>IFERROR(VLOOKUP(F115,'Base Sectores'!$A$5:$J$47,7,FALSE),"")</x:f>
      </x:c>
      <x:c r="M115" s="151" t="str">
        <x:f>IFERROR(VLOOKUP(F115,'Base Sectores'!$A$5:$J$47,9,FALSE),"")</x:f>
      </x:c>
      <x:c r="N115" s="154"/>
      <x:c r="O115" s="151" t="str">
        <x:f>IFERROR(VLOOKUP(N115,'Configuracion'!$D$4:$H$15,2,FALSE),"")</x:f>
      </x:c>
      <x:c r="P115" s="151" t="str">
        <x:f>IFERROR(VLOOKUP(N115,'Configuracion'!$D$4:$H$15,3,FALSE),"")</x:f>
      </x:c>
      <x:c r="Q115" s="155"/>
      <x:c r="R115" s="156" t="str">
        <x:f>IFERROR(VLOOKUP(N115,'Configuracion'!$D$4:$H$15,4,FALSE),"")</x:f>
      </x:c>
      <x:c r="S115" s="153"/>
      <x:c r="T115" s="153"/>
      <x:c r="U115" s="156" t="str">
        <x:f>IF(OR(S115="",T115=""),"",MOD(T115-S115,1)*24)</x:f>
      </x:c>
      <x:c r="V115" s="154"/>
      <x:c r="W115" s="154"/>
      <x:c r="X115" s="151" t="str">
        <x:f>IFERROR(VLOOKUP(N115,'Configuracion'!$D$4:$H$15,5,FALSE),"")</x:f>
      </x:c>
      <x:c r="Y115" s="151" t="str">
        <x:f>IFERROR(VLOOKUP(V115,'Cuadrillas'!$A$5:$J$14,2,FALSE),"")</x:f>
      </x:c>
      <x:c r="Z115" s="154"/>
      <x:c r="AA115" s="154"/>
      <x:c r="AB115" s="154"/>
      <x:c r="AC115" s="153"/>
      <x:c r="AD115" s="153"/>
      <x:c r="AE115" s="156" t="str">
        <x:f>IF(OR(AC115="",AD115=""),"",MOD(AD115-AC115,1)*24)</x:f>
      </x:c>
      <x:c r="AF115" s="154"/>
      <x:c r="AG115" s="156" t="str">
        <x:f>IF(AE115="","",MAX(0,AE115-IF(AF115="",0,AF115/60)))</x:f>
      </x:c>
      <x:c r="AH115" s="155"/>
      <x:c r="AI115" s="154"/>
      <x:c r="AJ115" s="154"/>
      <x:c r="AK115" s="156" t="n">
        <x:f>IFERROR(U115*W115,"")</x:f>
        <x:v>0</x:v>
      </x:c>
      <x:c r="AL115" s="156" t="n">
        <x:f>IFERROR(AE115*AI115,"")</x:f>
        <x:v>0</x:v>
      </x:c>
      <x:c r="AM115" s="157" t="str">
        <x:f>IFERROR(AH115/Q115,"")</x:f>
      </x:c>
      <x:c r="AN115" s="156" t="str">
        <x:f>IFERROR(AH115/AG115,"")</x:f>
      </x:c>
      <x:c r="AO115" s="156" t="str">
        <x:f>IFERROR(AL115/AH115,"")</x:f>
      </x:c>
      <x:c r="AP115" s="157" t="str">
        <x:f>IFERROR(AG115/AE115,"")</x:f>
      </x:c>
      <x:c r="AQ115" s="157" t="str">
        <x:f>IFERROR(AN115/(R115/'Configuracion'!$B$13),"")</x:f>
      </x:c>
      <x:c r="AR115" s="156" t="n">
        <x:f>IFERROR(AE115-U115,"")</x:f>
        <x:v>0</x:v>
      </x:c>
      <x:c r="AS115" s="154"/>
      <x:c r="AT115" s="154"/>
      <x:c r="AU115" s="154"/>
      <x:c r="AV115" s="154"/>
      <x:c r="AW115" s="152"/>
      <x:c r="AX115" s="154"/>
      <x:c r="AY115" s="154"/>
      <x:c r="AZ115" s="151"/>
      <x:c r="BA115" s="151"/>
    </x:row>
    <x:row r="116">
      <x:c r="A116" s="151" t="str">
        <x:f>IF(B116="","",TEXT(B116,"yyyymmdd")&amp;"-"&amp;TEXT(COUNTIF($B$5:B116,B116),"000"))</x:f>
      </x:c>
      <x:c r="B116" s="152"/>
      <x:c r="C116" s="153"/>
      <x:c r="D116" s="151" t="str">
        <x:f>IF(B116="","",'Configuracion'!$B$4)</x:f>
      </x:c>
      <x:c r="E116" s="154"/>
      <x:c r="F116" s="154"/>
      <x:c r="G116" s="151" t="str">
        <x:f>IFERROR(VLOOKUP(F116,'Base Sectores'!$A$5:$J$47,2,FALSE),"")</x:f>
      </x:c>
      <x:c r="H116" s="151" t="str">
        <x:f>IFERROR(VLOOKUP(F116,'Base Sectores'!$A$5:$J$47,3,FALSE),"")</x:f>
      </x:c>
      <x:c r="I116" s="151" t="str">
        <x:f>IFERROR(VLOOKUP(F116,'Base Sectores'!$A$5:$J$47,4,FALSE),"")</x:f>
      </x:c>
      <x:c r="J116" s="151" t="str">
        <x:f>IFERROR(VLOOKUP(F116,'Base Sectores'!$A$5:$J$47,5,FALSE),"")</x:f>
      </x:c>
      <x:c r="K116" s="151" t="str">
        <x:f>IFERROR(VLOOKUP(F116,'Base Sectores'!$A$5:$J$47,6,FALSE),"")</x:f>
      </x:c>
      <x:c r="L116" s="151" t="str">
        <x:f>IFERROR(VLOOKUP(F116,'Base Sectores'!$A$5:$J$47,7,FALSE),"")</x:f>
      </x:c>
      <x:c r="M116" s="151" t="str">
        <x:f>IFERROR(VLOOKUP(F116,'Base Sectores'!$A$5:$J$47,9,FALSE),"")</x:f>
      </x:c>
      <x:c r="N116" s="154"/>
      <x:c r="O116" s="151" t="str">
        <x:f>IFERROR(VLOOKUP(N116,'Configuracion'!$D$4:$H$15,2,FALSE),"")</x:f>
      </x:c>
      <x:c r="P116" s="151" t="str">
        <x:f>IFERROR(VLOOKUP(N116,'Configuracion'!$D$4:$H$15,3,FALSE),"")</x:f>
      </x:c>
      <x:c r="Q116" s="155"/>
      <x:c r="R116" s="156" t="str">
        <x:f>IFERROR(VLOOKUP(N116,'Configuracion'!$D$4:$H$15,4,FALSE),"")</x:f>
      </x:c>
      <x:c r="S116" s="153"/>
      <x:c r="T116" s="153"/>
      <x:c r="U116" s="156" t="str">
        <x:f>IF(OR(S116="",T116=""),"",MOD(T116-S116,1)*24)</x:f>
      </x:c>
      <x:c r="V116" s="154"/>
      <x:c r="W116" s="154"/>
      <x:c r="X116" s="151" t="str">
        <x:f>IFERROR(VLOOKUP(N116,'Configuracion'!$D$4:$H$15,5,FALSE),"")</x:f>
      </x:c>
      <x:c r="Y116" s="151" t="str">
        <x:f>IFERROR(VLOOKUP(V116,'Cuadrillas'!$A$5:$J$14,2,FALSE),"")</x:f>
      </x:c>
      <x:c r="Z116" s="154"/>
      <x:c r="AA116" s="154"/>
      <x:c r="AB116" s="154"/>
      <x:c r="AC116" s="153"/>
      <x:c r="AD116" s="153"/>
      <x:c r="AE116" s="156" t="str">
        <x:f>IF(OR(AC116="",AD116=""),"",MOD(AD116-AC116,1)*24)</x:f>
      </x:c>
      <x:c r="AF116" s="154"/>
      <x:c r="AG116" s="156" t="str">
        <x:f>IF(AE116="","",MAX(0,AE116-IF(AF116="",0,AF116/60)))</x:f>
      </x:c>
      <x:c r="AH116" s="155"/>
      <x:c r="AI116" s="154"/>
      <x:c r="AJ116" s="154"/>
      <x:c r="AK116" s="156" t="n">
        <x:f>IFERROR(U116*W116,"")</x:f>
        <x:v>0</x:v>
      </x:c>
      <x:c r="AL116" s="156" t="n">
        <x:f>IFERROR(AE116*AI116,"")</x:f>
        <x:v>0</x:v>
      </x:c>
      <x:c r="AM116" s="157" t="str">
        <x:f>IFERROR(AH116/Q116,"")</x:f>
      </x:c>
      <x:c r="AN116" s="156" t="str">
        <x:f>IFERROR(AH116/AG116,"")</x:f>
      </x:c>
      <x:c r="AO116" s="156" t="str">
        <x:f>IFERROR(AL116/AH116,"")</x:f>
      </x:c>
      <x:c r="AP116" s="157" t="str">
        <x:f>IFERROR(AG116/AE116,"")</x:f>
      </x:c>
      <x:c r="AQ116" s="157" t="str">
        <x:f>IFERROR(AN116/(R116/'Configuracion'!$B$13),"")</x:f>
      </x:c>
      <x:c r="AR116" s="156" t="n">
        <x:f>IFERROR(AE116-U116,"")</x:f>
        <x:v>0</x:v>
      </x:c>
      <x:c r="AS116" s="154"/>
      <x:c r="AT116" s="154"/>
      <x:c r="AU116" s="154"/>
      <x:c r="AV116" s="154"/>
      <x:c r="AW116" s="152"/>
      <x:c r="AX116" s="154"/>
      <x:c r="AY116" s="154"/>
      <x:c r="AZ116" s="151"/>
      <x:c r="BA116" s="151"/>
    </x:row>
    <x:row r="117">
      <x:c r="A117" s="151" t="str">
        <x:f>IF(B117="","",TEXT(B117,"yyyymmdd")&amp;"-"&amp;TEXT(COUNTIF($B$5:B117,B117),"000"))</x:f>
      </x:c>
      <x:c r="B117" s="152"/>
      <x:c r="C117" s="153"/>
      <x:c r="D117" s="151" t="str">
        <x:f>IF(B117="","",'Configuracion'!$B$4)</x:f>
      </x:c>
      <x:c r="E117" s="154"/>
      <x:c r="F117" s="154"/>
      <x:c r="G117" s="151" t="str">
        <x:f>IFERROR(VLOOKUP(F117,'Base Sectores'!$A$5:$J$47,2,FALSE),"")</x:f>
      </x:c>
      <x:c r="H117" s="151" t="str">
        <x:f>IFERROR(VLOOKUP(F117,'Base Sectores'!$A$5:$J$47,3,FALSE),"")</x:f>
      </x:c>
      <x:c r="I117" s="151" t="str">
        <x:f>IFERROR(VLOOKUP(F117,'Base Sectores'!$A$5:$J$47,4,FALSE),"")</x:f>
      </x:c>
      <x:c r="J117" s="151" t="str">
        <x:f>IFERROR(VLOOKUP(F117,'Base Sectores'!$A$5:$J$47,5,FALSE),"")</x:f>
      </x:c>
      <x:c r="K117" s="151" t="str">
        <x:f>IFERROR(VLOOKUP(F117,'Base Sectores'!$A$5:$J$47,6,FALSE),"")</x:f>
      </x:c>
      <x:c r="L117" s="151" t="str">
        <x:f>IFERROR(VLOOKUP(F117,'Base Sectores'!$A$5:$J$47,7,FALSE),"")</x:f>
      </x:c>
      <x:c r="M117" s="151" t="str">
        <x:f>IFERROR(VLOOKUP(F117,'Base Sectores'!$A$5:$J$47,9,FALSE),"")</x:f>
      </x:c>
      <x:c r="N117" s="154"/>
      <x:c r="O117" s="151" t="str">
        <x:f>IFERROR(VLOOKUP(N117,'Configuracion'!$D$4:$H$15,2,FALSE),"")</x:f>
      </x:c>
      <x:c r="P117" s="151" t="str">
        <x:f>IFERROR(VLOOKUP(N117,'Configuracion'!$D$4:$H$15,3,FALSE),"")</x:f>
      </x:c>
      <x:c r="Q117" s="155"/>
      <x:c r="R117" s="156" t="str">
        <x:f>IFERROR(VLOOKUP(N117,'Configuracion'!$D$4:$H$15,4,FALSE),"")</x:f>
      </x:c>
      <x:c r="S117" s="153"/>
      <x:c r="T117" s="153"/>
      <x:c r="U117" s="156" t="str">
        <x:f>IF(OR(S117="",T117=""),"",MOD(T117-S117,1)*24)</x:f>
      </x:c>
      <x:c r="V117" s="154"/>
      <x:c r="W117" s="154"/>
      <x:c r="X117" s="151" t="str">
        <x:f>IFERROR(VLOOKUP(N117,'Configuracion'!$D$4:$H$15,5,FALSE),"")</x:f>
      </x:c>
      <x:c r="Y117" s="151" t="str">
        <x:f>IFERROR(VLOOKUP(V117,'Cuadrillas'!$A$5:$J$14,2,FALSE),"")</x:f>
      </x:c>
      <x:c r="Z117" s="154"/>
      <x:c r="AA117" s="154"/>
      <x:c r="AB117" s="154"/>
      <x:c r="AC117" s="153"/>
      <x:c r="AD117" s="153"/>
      <x:c r="AE117" s="156" t="str">
        <x:f>IF(OR(AC117="",AD117=""),"",MOD(AD117-AC117,1)*24)</x:f>
      </x:c>
      <x:c r="AF117" s="154"/>
      <x:c r="AG117" s="156" t="str">
        <x:f>IF(AE117="","",MAX(0,AE117-IF(AF117="",0,AF117/60)))</x:f>
      </x:c>
      <x:c r="AH117" s="155"/>
      <x:c r="AI117" s="154"/>
      <x:c r="AJ117" s="154"/>
      <x:c r="AK117" s="156" t="n">
        <x:f>IFERROR(U117*W117,"")</x:f>
        <x:v>0</x:v>
      </x:c>
      <x:c r="AL117" s="156" t="n">
        <x:f>IFERROR(AE117*AI117,"")</x:f>
        <x:v>0</x:v>
      </x:c>
      <x:c r="AM117" s="157" t="str">
        <x:f>IFERROR(AH117/Q117,"")</x:f>
      </x:c>
      <x:c r="AN117" s="156" t="str">
        <x:f>IFERROR(AH117/AG117,"")</x:f>
      </x:c>
      <x:c r="AO117" s="156" t="str">
        <x:f>IFERROR(AL117/AH117,"")</x:f>
      </x:c>
      <x:c r="AP117" s="157" t="str">
        <x:f>IFERROR(AG117/AE117,"")</x:f>
      </x:c>
      <x:c r="AQ117" s="157" t="str">
        <x:f>IFERROR(AN117/(R117/'Configuracion'!$B$13),"")</x:f>
      </x:c>
      <x:c r="AR117" s="156" t="n">
        <x:f>IFERROR(AE117-U117,"")</x:f>
        <x:v>0</x:v>
      </x:c>
      <x:c r="AS117" s="154"/>
      <x:c r="AT117" s="154"/>
      <x:c r="AU117" s="154"/>
      <x:c r="AV117" s="154"/>
      <x:c r="AW117" s="152"/>
      <x:c r="AX117" s="154"/>
      <x:c r="AY117" s="154"/>
      <x:c r="AZ117" s="151"/>
      <x:c r="BA117" s="151"/>
    </x:row>
    <x:row r="118">
      <x:c r="A118" s="151" t="str">
        <x:f>IF(B118="","",TEXT(B118,"yyyymmdd")&amp;"-"&amp;TEXT(COUNTIF($B$5:B118,B118),"000"))</x:f>
      </x:c>
      <x:c r="B118" s="152"/>
      <x:c r="C118" s="153"/>
      <x:c r="D118" s="151" t="str">
        <x:f>IF(B118="","",'Configuracion'!$B$4)</x:f>
      </x:c>
      <x:c r="E118" s="154"/>
      <x:c r="F118" s="154"/>
      <x:c r="G118" s="151" t="str">
        <x:f>IFERROR(VLOOKUP(F118,'Base Sectores'!$A$5:$J$47,2,FALSE),"")</x:f>
      </x:c>
      <x:c r="H118" s="151" t="str">
        <x:f>IFERROR(VLOOKUP(F118,'Base Sectores'!$A$5:$J$47,3,FALSE),"")</x:f>
      </x:c>
      <x:c r="I118" s="151" t="str">
        <x:f>IFERROR(VLOOKUP(F118,'Base Sectores'!$A$5:$J$47,4,FALSE),"")</x:f>
      </x:c>
      <x:c r="J118" s="151" t="str">
        <x:f>IFERROR(VLOOKUP(F118,'Base Sectores'!$A$5:$J$47,5,FALSE),"")</x:f>
      </x:c>
      <x:c r="K118" s="151" t="str">
        <x:f>IFERROR(VLOOKUP(F118,'Base Sectores'!$A$5:$J$47,6,FALSE),"")</x:f>
      </x:c>
      <x:c r="L118" s="151" t="str">
        <x:f>IFERROR(VLOOKUP(F118,'Base Sectores'!$A$5:$J$47,7,FALSE),"")</x:f>
      </x:c>
      <x:c r="M118" s="151" t="str">
        <x:f>IFERROR(VLOOKUP(F118,'Base Sectores'!$A$5:$J$47,9,FALSE),"")</x:f>
      </x:c>
      <x:c r="N118" s="154"/>
      <x:c r="O118" s="151" t="str">
        <x:f>IFERROR(VLOOKUP(N118,'Configuracion'!$D$4:$H$15,2,FALSE),"")</x:f>
      </x:c>
      <x:c r="P118" s="151" t="str">
        <x:f>IFERROR(VLOOKUP(N118,'Configuracion'!$D$4:$H$15,3,FALSE),"")</x:f>
      </x:c>
      <x:c r="Q118" s="155"/>
      <x:c r="R118" s="156" t="str">
        <x:f>IFERROR(VLOOKUP(N118,'Configuracion'!$D$4:$H$15,4,FALSE),"")</x:f>
      </x:c>
      <x:c r="S118" s="153"/>
      <x:c r="T118" s="153"/>
      <x:c r="U118" s="156" t="str">
        <x:f>IF(OR(S118="",T118=""),"",MOD(T118-S118,1)*24)</x:f>
      </x:c>
      <x:c r="V118" s="154"/>
      <x:c r="W118" s="154"/>
      <x:c r="X118" s="151" t="str">
        <x:f>IFERROR(VLOOKUP(N118,'Configuracion'!$D$4:$H$15,5,FALSE),"")</x:f>
      </x:c>
      <x:c r="Y118" s="151" t="str">
        <x:f>IFERROR(VLOOKUP(V118,'Cuadrillas'!$A$5:$J$14,2,FALSE),"")</x:f>
      </x:c>
      <x:c r="Z118" s="154"/>
      <x:c r="AA118" s="154"/>
      <x:c r="AB118" s="154"/>
      <x:c r="AC118" s="153"/>
      <x:c r="AD118" s="153"/>
      <x:c r="AE118" s="156" t="str">
        <x:f>IF(OR(AC118="",AD118=""),"",MOD(AD118-AC118,1)*24)</x:f>
      </x:c>
      <x:c r="AF118" s="154"/>
      <x:c r="AG118" s="156" t="str">
        <x:f>IF(AE118="","",MAX(0,AE118-IF(AF118="",0,AF118/60)))</x:f>
      </x:c>
      <x:c r="AH118" s="155"/>
      <x:c r="AI118" s="154"/>
      <x:c r="AJ118" s="154"/>
      <x:c r="AK118" s="156" t="n">
        <x:f>IFERROR(U118*W118,"")</x:f>
        <x:v>0</x:v>
      </x:c>
      <x:c r="AL118" s="156" t="n">
        <x:f>IFERROR(AE118*AI118,"")</x:f>
        <x:v>0</x:v>
      </x:c>
      <x:c r="AM118" s="157" t="str">
        <x:f>IFERROR(AH118/Q118,"")</x:f>
      </x:c>
      <x:c r="AN118" s="156" t="str">
        <x:f>IFERROR(AH118/AG118,"")</x:f>
      </x:c>
      <x:c r="AO118" s="156" t="str">
        <x:f>IFERROR(AL118/AH118,"")</x:f>
      </x:c>
      <x:c r="AP118" s="157" t="str">
        <x:f>IFERROR(AG118/AE118,"")</x:f>
      </x:c>
      <x:c r="AQ118" s="157" t="str">
        <x:f>IFERROR(AN118/(R118/'Configuracion'!$B$13),"")</x:f>
      </x:c>
      <x:c r="AR118" s="156" t="n">
        <x:f>IFERROR(AE118-U118,"")</x:f>
        <x:v>0</x:v>
      </x:c>
      <x:c r="AS118" s="154"/>
      <x:c r="AT118" s="154"/>
      <x:c r="AU118" s="154"/>
      <x:c r="AV118" s="154"/>
      <x:c r="AW118" s="152"/>
      <x:c r="AX118" s="154"/>
      <x:c r="AY118" s="154"/>
      <x:c r="AZ118" s="151"/>
      <x:c r="BA118" s="151"/>
    </x:row>
    <x:row r="119">
      <x:c r="A119" s="151" t="str">
        <x:f>IF(B119="","",TEXT(B119,"yyyymmdd")&amp;"-"&amp;TEXT(COUNTIF($B$5:B119,B119),"000"))</x:f>
      </x:c>
      <x:c r="B119" s="152"/>
      <x:c r="C119" s="153"/>
      <x:c r="D119" s="151" t="str">
        <x:f>IF(B119="","",'Configuracion'!$B$4)</x:f>
      </x:c>
      <x:c r="E119" s="154"/>
      <x:c r="F119" s="154"/>
      <x:c r="G119" s="151" t="str">
        <x:f>IFERROR(VLOOKUP(F119,'Base Sectores'!$A$5:$J$47,2,FALSE),"")</x:f>
      </x:c>
      <x:c r="H119" s="151" t="str">
        <x:f>IFERROR(VLOOKUP(F119,'Base Sectores'!$A$5:$J$47,3,FALSE),"")</x:f>
      </x:c>
      <x:c r="I119" s="151" t="str">
        <x:f>IFERROR(VLOOKUP(F119,'Base Sectores'!$A$5:$J$47,4,FALSE),"")</x:f>
      </x:c>
      <x:c r="J119" s="151" t="str">
        <x:f>IFERROR(VLOOKUP(F119,'Base Sectores'!$A$5:$J$47,5,FALSE),"")</x:f>
      </x:c>
      <x:c r="K119" s="151" t="str">
        <x:f>IFERROR(VLOOKUP(F119,'Base Sectores'!$A$5:$J$47,6,FALSE),"")</x:f>
      </x:c>
      <x:c r="L119" s="151" t="str">
        <x:f>IFERROR(VLOOKUP(F119,'Base Sectores'!$A$5:$J$47,7,FALSE),"")</x:f>
      </x:c>
      <x:c r="M119" s="151" t="str">
        <x:f>IFERROR(VLOOKUP(F119,'Base Sectores'!$A$5:$J$47,9,FALSE),"")</x:f>
      </x:c>
      <x:c r="N119" s="154"/>
      <x:c r="O119" s="151" t="str">
        <x:f>IFERROR(VLOOKUP(N119,'Configuracion'!$D$4:$H$15,2,FALSE),"")</x:f>
      </x:c>
      <x:c r="P119" s="151" t="str">
        <x:f>IFERROR(VLOOKUP(N119,'Configuracion'!$D$4:$H$15,3,FALSE),"")</x:f>
      </x:c>
      <x:c r="Q119" s="155"/>
      <x:c r="R119" s="156" t="str">
        <x:f>IFERROR(VLOOKUP(N119,'Configuracion'!$D$4:$H$15,4,FALSE),"")</x:f>
      </x:c>
      <x:c r="S119" s="153"/>
      <x:c r="T119" s="153"/>
      <x:c r="U119" s="156" t="str">
        <x:f>IF(OR(S119="",T119=""),"",MOD(T119-S119,1)*24)</x:f>
      </x:c>
      <x:c r="V119" s="154"/>
      <x:c r="W119" s="154"/>
      <x:c r="X119" s="151" t="str">
        <x:f>IFERROR(VLOOKUP(N119,'Configuracion'!$D$4:$H$15,5,FALSE),"")</x:f>
      </x:c>
      <x:c r="Y119" s="151" t="str">
        <x:f>IFERROR(VLOOKUP(V119,'Cuadrillas'!$A$5:$J$14,2,FALSE),"")</x:f>
      </x:c>
      <x:c r="Z119" s="154"/>
      <x:c r="AA119" s="154"/>
      <x:c r="AB119" s="154"/>
      <x:c r="AC119" s="153"/>
      <x:c r="AD119" s="153"/>
      <x:c r="AE119" s="156" t="str">
        <x:f>IF(OR(AC119="",AD119=""),"",MOD(AD119-AC119,1)*24)</x:f>
      </x:c>
      <x:c r="AF119" s="154"/>
      <x:c r="AG119" s="156" t="str">
        <x:f>IF(AE119="","",MAX(0,AE119-IF(AF119="",0,AF119/60)))</x:f>
      </x:c>
      <x:c r="AH119" s="155"/>
      <x:c r="AI119" s="154"/>
      <x:c r="AJ119" s="154"/>
      <x:c r="AK119" s="156" t="n">
        <x:f>IFERROR(U119*W119,"")</x:f>
        <x:v>0</x:v>
      </x:c>
      <x:c r="AL119" s="156" t="n">
        <x:f>IFERROR(AE119*AI119,"")</x:f>
        <x:v>0</x:v>
      </x:c>
      <x:c r="AM119" s="157" t="str">
        <x:f>IFERROR(AH119/Q119,"")</x:f>
      </x:c>
      <x:c r="AN119" s="156" t="str">
        <x:f>IFERROR(AH119/AG119,"")</x:f>
      </x:c>
      <x:c r="AO119" s="156" t="str">
        <x:f>IFERROR(AL119/AH119,"")</x:f>
      </x:c>
      <x:c r="AP119" s="157" t="str">
        <x:f>IFERROR(AG119/AE119,"")</x:f>
      </x:c>
      <x:c r="AQ119" s="157" t="str">
        <x:f>IFERROR(AN119/(R119/'Configuracion'!$B$13),"")</x:f>
      </x:c>
      <x:c r="AR119" s="156" t="n">
        <x:f>IFERROR(AE119-U119,"")</x:f>
        <x:v>0</x:v>
      </x:c>
      <x:c r="AS119" s="154"/>
      <x:c r="AT119" s="154"/>
      <x:c r="AU119" s="154"/>
      <x:c r="AV119" s="154"/>
      <x:c r="AW119" s="152"/>
      <x:c r="AX119" s="154"/>
      <x:c r="AY119" s="154"/>
      <x:c r="AZ119" s="151"/>
      <x:c r="BA119" s="151"/>
    </x:row>
    <x:row r="120">
      <x:c r="A120" s="151" t="str">
        <x:f>IF(B120="","",TEXT(B120,"yyyymmdd")&amp;"-"&amp;TEXT(COUNTIF($B$5:B120,B120),"000"))</x:f>
      </x:c>
      <x:c r="B120" s="152"/>
      <x:c r="C120" s="153"/>
      <x:c r="D120" s="151" t="str">
        <x:f>IF(B120="","",'Configuracion'!$B$4)</x:f>
      </x:c>
      <x:c r="E120" s="154"/>
      <x:c r="F120" s="154"/>
      <x:c r="G120" s="151" t="str">
        <x:f>IFERROR(VLOOKUP(F120,'Base Sectores'!$A$5:$J$47,2,FALSE),"")</x:f>
      </x:c>
      <x:c r="H120" s="151" t="str">
        <x:f>IFERROR(VLOOKUP(F120,'Base Sectores'!$A$5:$J$47,3,FALSE),"")</x:f>
      </x:c>
      <x:c r="I120" s="151" t="str">
        <x:f>IFERROR(VLOOKUP(F120,'Base Sectores'!$A$5:$J$47,4,FALSE),"")</x:f>
      </x:c>
      <x:c r="J120" s="151" t="str">
        <x:f>IFERROR(VLOOKUP(F120,'Base Sectores'!$A$5:$J$47,5,FALSE),"")</x:f>
      </x:c>
      <x:c r="K120" s="151" t="str">
        <x:f>IFERROR(VLOOKUP(F120,'Base Sectores'!$A$5:$J$47,6,FALSE),"")</x:f>
      </x:c>
      <x:c r="L120" s="151" t="str">
        <x:f>IFERROR(VLOOKUP(F120,'Base Sectores'!$A$5:$J$47,7,FALSE),"")</x:f>
      </x:c>
      <x:c r="M120" s="151" t="str">
        <x:f>IFERROR(VLOOKUP(F120,'Base Sectores'!$A$5:$J$47,9,FALSE),"")</x:f>
      </x:c>
      <x:c r="N120" s="154"/>
      <x:c r="O120" s="151" t="str">
        <x:f>IFERROR(VLOOKUP(N120,'Configuracion'!$D$4:$H$15,2,FALSE),"")</x:f>
      </x:c>
      <x:c r="P120" s="151" t="str">
        <x:f>IFERROR(VLOOKUP(N120,'Configuracion'!$D$4:$H$15,3,FALSE),"")</x:f>
      </x:c>
      <x:c r="Q120" s="155"/>
      <x:c r="R120" s="156" t="str">
        <x:f>IFERROR(VLOOKUP(N120,'Configuracion'!$D$4:$H$15,4,FALSE),"")</x:f>
      </x:c>
      <x:c r="S120" s="153"/>
      <x:c r="T120" s="153"/>
      <x:c r="U120" s="156" t="str">
        <x:f>IF(OR(S120="",T120=""),"",MOD(T120-S120,1)*24)</x:f>
      </x:c>
      <x:c r="V120" s="154"/>
      <x:c r="W120" s="154"/>
      <x:c r="X120" s="151" t="str">
        <x:f>IFERROR(VLOOKUP(N120,'Configuracion'!$D$4:$H$15,5,FALSE),"")</x:f>
      </x:c>
      <x:c r="Y120" s="151" t="str">
        <x:f>IFERROR(VLOOKUP(V120,'Cuadrillas'!$A$5:$J$14,2,FALSE),"")</x:f>
      </x:c>
      <x:c r="Z120" s="154"/>
      <x:c r="AA120" s="154"/>
      <x:c r="AB120" s="154"/>
      <x:c r="AC120" s="153"/>
      <x:c r="AD120" s="153"/>
      <x:c r="AE120" s="156" t="str">
        <x:f>IF(OR(AC120="",AD120=""),"",MOD(AD120-AC120,1)*24)</x:f>
      </x:c>
      <x:c r="AF120" s="154"/>
      <x:c r="AG120" s="156" t="str">
        <x:f>IF(AE120="","",MAX(0,AE120-IF(AF120="",0,AF120/60)))</x:f>
      </x:c>
      <x:c r="AH120" s="155"/>
      <x:c r="AI120" s="154"/>
      <x:c r="AJ120" s="154"/>
      <x:c r="AK120" s="156" t="n">
        <x:f>IFERROR(U120*W120,"")</x:f>
        <x:v>0</x:v>
      </x:c>
      <x:c r="AL120" s="156" t="n">
        <x:f>IFERROR(AE120*AI120,"")</x:f>
        <x:v>0</x:v>
      </x:c>
      <x:c r="AM120" s="157" t="str">
        <x:f>IFERROR(AH120/Q120,"")</x:f>
      </x:c>
      <x:c r="AN120" s="156" t="str">
        <x:f>IFERROR(AH120/AG120,"")</x:f>
      </x:c>
      <x:c r="AO120" s="156" t="str">
        <x:f>IFERROR(AL120/AH120,"")</x:f>
      </x:c>
      <x:c r="AP120" s="157" t="str">
        <x:f>IFERROR(AG120/AE120,"")</x:f>
      </x:c>
      <x:c r="AQ120" s="157" t="str">
        <x:f>IFERROR(AN120/(R120/'Configuracion'!$B$13),"")</x:f>
      </x:c>
      <x:c r="AR120" s="156" t="n">
        <x:f>IFERROR(AE120-U120,"")</x:f>
        <x:v>0</x:v>
      </x:c>
      <x:c r="AS120" s="154"/>
      <x:c r="AT120" s="154"/>
      <x:c r="AU120" s="154"/>
      <x:c r="AV120" s="154"/>
      <x:c r="AW120" s="152"/>
      <x:c r="AX120" s="154"/>
      <x:c r="AY120" s="154"/>
      <x:c r="AZ120" s="151"/>
      <x:c r="BA120" s="151"/>
    </x:row>
    <x:row r="121">
      <x:c r="A121" s="151" t="str">
        <x:f>IF(B121="","",TEXT(B121,"yyyymmdd")&amp;"-"&amp;TEXT(COUNTIF($B$5:B121,B121),"000"))</x:f>
      </x:c>
      <x:c r="B121" s="152"/>
      <x:c r="C121" s="153"/>
      <x:c r="D121" s="151" t="str">
        <x:f>IF(B121="","",'Configuracion'!$B$4)</x:f>
      </x:c>
      <x:c r="E121" s="154"/>
      <x:c r="F121" s="154"/>
      <x:c r="G121" s="151" t="str">
        <x:f>IFERROR(VLOOKUP(F121,'Base Sectores'!$A$5:$J$47,2,FALSE),"")</x:f>
      </x:c>
      <x:c r="H121" s="151" t="str">
        <x:f>IFERROR(VLOOKUP(F121,'Base Sectores'!$A$5:$J$47,3,FALSE),"")</x:f>
      </x:c>
      <x:c r="I121" s="151" t="str">
        <x:f>IFERROR(VLOOKUP(F121,'Base Sectores'!$A$5:$J$47,4,FALSE),"")</x:f>
      </x:c>
      <x:c r="J121" s="151" t="str">
        <x:f>IFERROR(VLOOKUP(F121,'Base Sectores'!$A$5:$J$47,5,FALSE),"")</x:f>
      </x:c>
      <x:c r="K121" s="151" t="str">
        <x:f>IFERROR(VLOOKUP(F121,'Base Sectores'!$A$5:$J$47,6,FALSE),"")</x:f>
      </x:c>
      <x:c r="L121" s="151" t="str">
        <x:f>IFERROR(VLOOKUP(F121,'Base Sectores'!$A$5:$J$47,7,FALSE),"")</x:f>
      </x:c>
      <x:c r="M121" s="151" t="str">
        <x:f>IFERROR(VLOOKUP(F121,'Base Sectores'!$A$5:$J$47,9,FALSE),"")</x:f>
      </x:c>
      <x:c r="N121" s="154"/>
      <x:c r="O121" s="151" t="str">
        <x:f>IFERROR(VLOOKUP(N121,'Configuracion'!$D$4:$H$15,2,FALSE),"")</x:f>
      </x:c>
      <x:c r="P121" s="151" t="str">
        <x:f>IFERROR(VLOOKUP(N121,'Configuracion'!$D$4:$H$15,3,FALSE),"")</x:f>
      </x:c>
      <x:c r="Q121" s="155"/>
      <x:c r="R121" s="156" t="str">
        <x:f>IFERROR(VLOOKUP(N121,'Configuracion'!$D$4:$H$15,4,FALSE),"")</x:f>
      </x:c>
      <x:c r="S121" s="153"/>
      <x:c r="T121" s="153"/>
      <x:c r="U121" s="156" t="str">
        <x:f>IF(OR(S121="",T121=""),"",MOD(T121-S121,1)*24)</x:f>
      </x:c>
      <x:c r="V121" s="154"/>
      <x:c r="W121" s="154"/>
      <x:c r="X121" s="151" t="str">
        <x:f>IFERROR(VLOOKUP(N121,'Configuracion'!$D$4:$H$15,5,FALSE),"")</x:f>
      </x:c>
      <x:c r="Y121" s="151" t="str">
        <x:f>IFERROR(VLOOKUP(V121,'Cuadrillas'!$A$5:$J$14,2,FALSE),"")</x:f>
      </x:c>
      <x:c r="Z121" s="154"/>
      <x:c r="AA121" s="154"/>
      <x:c r="AB121" s="154"/>
      <x:c r="AC121" s="153"/>
      <x:c r="AD121" s="153"/>
      <x:c r="AE121" s="156" t="str">
        <x:f>IF(OR(AC121="",AD121=""),"",MOD(AD121-AC121,1)*24)</x:f>
      </x:c>
      <x:c r="AF121" s="154"/>
      <x:c r="AG121" s="156" t="str">
        <x:f>IF(AE121="","",MAX(0,AE121-IF(AF121="",0,AF121/60)))</x:f>
      </x:c>
      <x:c r="AH121" s="155"/>
      <x:c r="AI121" s="154"/>
      <x:c r="AJ121" s="154"/>
      <x:c r="AK121" s="156" t="n">
        <x:f>IFERROR(U121*W121,"")</x:f>
        <x:v>0</x:v>
      </x:c>
      <x:c r="AL121" s="156" t="n">
        <x:f>IFERROR(AE121*AI121,"")</x:f>
        <x:v>0</x:v>
      </x:c>
      <x:c r="AM121" s="157" t="str">
        <x:f>IFERROR(AH121/Q121,"")</x:f>
      </x:c>
      <x:c r="AN121" s="156" t="str">
        <x:f>IFERROR(AH121/AG121,"")</x:f>
      </x:c>
      <x:c r="AO121" s="156" t="str">
        <x:f>IFERROR(AL121/AH121,"")</x:f>
      </x:c>
      <x:c r="AP121" s="157" t="str">
        <x:f>IFERROR(AG121/AE121,"")</x:f>
      </x:c>
      <x:c r="AQ121" s="157" t="str">
        <x:f>IFERROR(AN121/(R121/'Configuracion'!$B$13),"")</x:f>
      </x:c>
      <x:c r="AR121" s="156" t="n">
        <x:f>IFERROR(AE121-U121,"")</x:f>
        <x:v>0</x:v>
      </x:c>
      <x:c r="AS121" s="154"/>
      <x:c r="AT121" s="154"/>
      <x:c r="AU121" s="154"/>
      <x:c r="AV121" s="154"/>
      <x:c r="AW121" s="152"/>
      <x:c r="AX121" s="154"/>
      <x:c r="AY121" s="154"/>
      <x:c r="AZ121" s="151"/>
      <x:c r="BA121" s="151"/>
    </x:row>
    <x:row r="122">
      <x:c r="A122" s="151" t="str">
        <x:f>IF(B122="","",TEXT(B122,"yyyymmdd")&amp;"-"&amp;TEXT(COUNTIF($B$5:B122,B122),"000"))</x:f>
      </x:c>
      <x:c r="B122" s="152"/>
      <x:c r="C122" s="153"/>
      <x:c r="D122" s="151" t="str">
        <x:f>IF(B122="","",'Configuracion'!$B$4)</x:f>
      </x:c>
      <x:c r="E122" s="154"/>
      <x:c r="F122" s="154"/>
      <x:c r="G122" s="151" t="str">
        <x:f>IFERROR(VLOOKUP(F122,'Base Sectores'!$A$5:$J$47,2,FALSE),"")</x:f>
      </x:c>
      <x:c r="H122" s="151" t="str">
        <x:f>IFERROR(VLOOKUP(F122,'Base Sectores'!$A$5:$J$47,3,FALSE),"")</x:f>
      </x:c>
      <x:c r="I122" s="151" t="str">
        <x:f>IFERROR(VLOOKUP(F122,'Base Sectores'!$A$5:$J$47,4,FALSE),"")</x:f>
      </x:c>
      <x:c r="J122" s="151" t="str">
        <x:f>IFERROR(VLOOKUP(F122,'Base Sectores'!$A$5:$J$47,5,FALSE),"")</x:f>
      </x:c>
      <x:c r="K122" s="151" t="str">
        <x:f>IFERROR(VLOOKUP(F122,'Base Sectores'!$A$5:$J$47,6,FALSE),"")</x:f>
      </x:c>
      <x:c r="L122" s="151" t="str">
        <x:f>IFERROR(VLOOKUP(F122,'Base Sectores'!$A$5:$J$47,7,FALSE),"")</x:f>
      </x:c>
      <x:c r="M122" s="151" t="str">
        <x:f>IFERROR(VLOOKUP(F122,'Base Sectores'!$A$5:$J$47,9,FALSE),"")</x:f>
      </x:c>
      <x:c r="N122" s="154"/>
      <x:c r="O122" s="151" t="str">
        <x:f>IFERROR(VLOOKUP(N122,'Configuracion'!$D$4:$H$15,2,FALSE),"")</x:f>
      </x:c>
      <x:c r="P122" s="151" t="str">
        <x:f>IFERROR(VLOOKUP(N122,'Configuracion'!$D$4:$H$15,3,FALSE),"")</x:f>
      </x:c>
      <x:c r="Q122" s="155"/>
      <x:c r="R122" s="156" t="str">
        <x:f>IFERROR(VLOOKUP(N122,'Configuracion'!$D$4:$H$15,4,FALSE),"")</x:f>
      </x:c>
      <x:c r="S122" s="153"/>
      <x:c r="T122" s="153"/>
      <x:c r="U122" s="156" t="str">
        <x:f>IF(OR(S122="",T122=""),"",MOD(T122-S122,1)*24)</x:f>
      </x:c>
      <x:c r="V122" s="154"/>
      <x:c r="W122" s="154"/>
      <x:c r="X122" s="151" t="str">
        <x:f>IFERROR(VLOOKUP(N122,'Configuracion'!$D$4:$H$15,5,FALSE),"")</x:f>
      </x:c>
      <x:c r="Y122" s="151" t="str">
        <x:f>IFERROR(VLOOKUP(V122,'Cuadrillas'!$A$5:$J$14,2,FALSE),"")</x:f>
      </x:c>
      <x:c r="Z122" s="154"/>
      <x:c r="AA122" s="154"/>
      <x:c r="AB122" s="154"/>
      <x:c r="AC122" s="153"/>
      <x:c r="AD122" s="153"/>
      <x:c r="AE122" s="156" t="str">
        <x:f>IF(OR(AC122="",AD122=""),"",MOD(AD122-AC122,1)*24)</x:f>
      </x:c>
      <x:c r="AF122" s="154"/>
      <x:c r="AG122" s="156" t="str">
        <x:f>IF(AE122="","",MAX(0,AE122-IF(AF122="",0,AF122/60)))</x:f>
      </x:c>
      <x:c r="AH122" s="155"/>
      <x:c r="AI122" s="154"/>
      <x:c r="AJ122" s="154"/>
      <x:c r="AK122" s="156" t="n">
        <x:f>IFERROR(U122*W122,"")</x:f>
        <x:v>0</x:v>
      </x:c>
      <x:c r="AL122" s="156" t="n">
        <x:f>IFERROR(AE122*AI122,"")</x:f>
        <x:v>0</x:v>
      </x:c>
      <x:c r="AM122" s="157" t="str">
        <x:f>IFERROR(AH122/Q122,"")</x:f>
      </x:c>
      <x:c r="AN122" s="156" t="str">
        <x:f>IFERROR(AH122/AG122,"")</x:f>
      </x:c>
      <x:c r="AO122" s="156" t="str">
        <x:f>IFERROR(AL122/AH122,"")</x:f>
      </x:c>
      <x:c r="AP122" s="157" t="str">
        <x:f>IFERROR(AG122/AE122,"")</x:f>
      </x:c>
      <x:c r="AQ122" s="157" t="str">
        <x:f>IFERROR(AN122/(R122/'Configuracion'!$B$13),"")</x:f>
      </x:c>
      <x:c r="AR122" s="156" t="n">
        <x:f>IFERROR(AE122-U122,"")</x:f>
        <x:v>0</x:v>
      </x:c>
      <x:c r="AS122" s="154"/>
      <x:c r="AT122" s="154"/>
      <x:c r="AU122" s="154"/>
      <x:c r="AV122" s="154"/>
      <x:c r="AW122" s="152"/>
      <x:c r="AX122" s="154"/>
      <x:c r="AY122" s="154"/>
      <x:c r="AZ122" s="151"/>
      <x:c r="BA122" s="151"/>
    </x:row>
    <x:row r="123">
      <x:c r="A123" s="151" t="str">
        <x:f>IF(B123="","",TEXT(B123,"yyyymmdd")&amp;"-"&amp;TEXT(COUNTIF($B$5:B123,B123),"000"))</x:f>
      </x:c>
      <x:c r="B123" s="152"/>
      <x:c r="C123" s="153"/>
      <x:c r="D123" s="151" t="str">
        <x:f>IF(B123="","",'Configuracion'!$B$4)</x:f>
      </x:c>
      <x:c r="E123" s="154"/>
      <x:c r="F123" s="154"/>
      <x:c r="G123" s="151" t="str">
        <x:f>IFERROR(VLOOKUP(F123,'Base Sectores'!$A$5:$J$47,2,FALSE),"")</x:f>
      </x:c>
      <x:c r="H123" s="151" t="str">
        <x:f>IFERROR(VLOOKUP(F123,'Base Sectores'!$A$5:$J$47,3,FALSE),"")</x:f>
      </x:c>
      <x:c r="I123" s="151" t="str">
        <x:f>IFERROR(VLOOKUP(F123,'Base Sectores'!$A$5:$J$47,4,FALSE),"")</x:f>
      </x:c>
      <x:c r="J123" s="151" t="str">
        <x:f>IFERROR(VLOOKUP(F123,'Base Sectores'!$A$5:$J$47,5,FALSE),"")</x:f>
      </x:c>
      <x:c r="K123" s="151" t="str">
        <x:f>IFERROR(VLOOKUP(F123,'Base Sectores'!$A$5:$J$47,6,FALSE),"")</x:f>
      </x:c>
      <x:c r="L123" s="151" t="str">
        <x:f>IFERROR(VLOOKUP(F123,'Base Sectores'!$A$5:$J$47,7,FALSE),"")</x:f>
      </x:c>
      <x:c r="M123" s="151" t="str">
        <x:f>IFERROR(VLOOKUP(F123,'Base Sectores'!$A$5:$J$47,9,FALSE),"")</x:f>
      </x:c>
      <x:c r="N123" s="154"/>
      <x:c r="O123" s="151" t="str">
        <x:f>IFERROR(VLOOKUP(N123,'Configuracion'!$D$4:$H$15,2,FALSE),"")</x:f>
      </x:c>
      <x:c r="P123" s="151" t="str">
        <x:f>IFERROR(VLOOKUP(N123,'Configuracion'!$D$4:$H$15,3,FALSE),"")</x:f>
      </x:c>
      <x:c r="Q123" s="155"/>
      <x:c r="R123" s="156" t="str">
        <x:f>IFERROR(VLOOKUP(N123,'Configuracion'!$D$4:$H$15,4,FALSE),"")</x:f>
      </x:c>
      <x:c r="S123" s="153"/>
      <x:c r="T123" s="153"/>
      <x:c r="U123" s="156" t="str">
        <x:f>IF(OR(S123="",T123=""),"",MOD(T123-S123,1)*24)</x:f>
      </x:c>
      <x:c r="V123" s="154"/>
      <x:c r="W123" s="154"/>
      <x:c r="X123" s="151" t="str">
        <x:f>IFERROR(VLOOKUP(N123,'Configuracion'!$D$4:$H$15,5,FALSE),"")</x:f>
      </x:c>
      <x:c r="Y123" s="151" t="str">
        <x:f>IFERROR(VLOOKUP(V123,'Cuadrillas'!$A$5:$J$14,2,FALSE),"")</x:f>
      </x:c>
      <x:c r="Z123" s="154"/>
      <x:c r="AA123" s="154"/>
      <x:c r="AB123" s="154"/>
      <x:c r="AC123" s="153"/>
      <x:c r="AD123" s="153"/>
      <x:c r="AE123" s="156" t="str">
        <x:f>IF(OR(AC123="",AD123=""),"",MOD(AD123-AC123,1)*24)</x:f>
      </x:c>
      <x:c r="AF123" s="154"/>
      <x:c r="AG123" s="156" t="str">
        <x:f>IF(AE123="","",MAX(0,AE123-IF(AF123="",0,AF123/60)))</x:f>
      </x:c>
      <x:c r="AH123" s="155"/>
      <x:c r="AI123" s="154"/>
      <x:c r="AJ123" s="154"/>
      <x:c r="AK123" s="156" t="n">
        <x:f>IFERROR(U123*W123,"")</x:f>
        <x:v>0</x:v>
      </x:c>
      <x:c r="AL123" s="156" t="n">
        <x:f>IFERROR(AE123*AI123,"")</x:f>
        <x:v>0</x:v>
      </x:c>
      <x:c r="AM123" s="157" t="str">
        <x:f>IFERROR(AH123/Q123,"")</x:f>
      </x:c>
      <x:c r="AN123" s="156" t="str">
        <x:f>IFERROR(AH123/AG123,"")</x:f>
      </x:c>
      <x:c r="AO123" s="156" t="str">
        <x:f>IFERROR(AL123/AH123,"")</x:f>
      </x:c>
      <x:c r="AP123" s="157" t="str">
        <x:f>IFERROR(AG123/AE123,"")</x:f>
      </x:c>
      <x:c r="AQ123" s="157" t="str">
        <x:f>IFERROR(AN123/(R123/'Configuracion'!$B$13),"")</x:f>
      </x:c>
      <x:c r="AR123" s="156" t="n">
        <x:f>IFERROR(AE123-U123,"")</x:f>
        <x:v>0</x:v>
      </x:c>
      <x:c r="AS123" s="154"/>
      <x:c r="AT123" s="154"/>
      <x:c r="AU123" s="154"/>
      <x:c r="AV123" s="154"/>
      <x:c r="AW123" s="152"/>
      <x:c r="AX123" s="154"/>
      <x:c r="AY123" s="154"/>
      <x:c r="AZ123" s="151"/>
      <x:c r="BA123" s="151"/>
    </x:row>
    <x:row r="124">
      <x:c r="A124" s="151" t="str">
        <x:f>IF(B124="","",TEXT(B124,"yyyymmdd")&amp;"-"&amp;TEXT(COUNTIF($B$5:B124,B124),"000"))</x:f>
      </x:c>
      <x:c r="B124" s="152"/>
      <x:c r="C124" s="153"/>
      <x:c r="D124" s="151" t="str">
        <x:f>IF(B124="","",'Configuracion'!$B$4)</x:f>
      </x:c>
      <x:c r="E124" s="154"/>
      <x:c r="F124" s="154"/>
      <x:c r="G124" s="151" t="str">
        <x:f>IFERROR(VLOOKUP(F124,'Base Sectores'!$A$5:$J$47,2,FALSE),"")</x:f>
      </x:c>
      <x:c r="H124" s="151" t="str">
        <x:f>IFERROR(VLOOKUP(F124,'Base Sectores'!$A$5:$J$47,3,FALSE),"")</x:f>
      </x:c>
      <x:c r="I124" s="151" t="str">
        <x:f>IFERROR(VLOOKUP(F124,'Base Sectores'!$A$5:$J$47,4,FALSE),"")</x:f>
      </x:c>
      <x:c r="J124" s="151" t="str">
        <x:f>IFERROR(VLOOKUP(F124,'Base Sectores'!$A$5:$J$47,5,FALSE),"")</x:f>
      </x:c>
      <x:c r="K124" s="151" t="str">
        <x:f>IFERROR(VLOOKUP(F124,'Base Sectores'!$A$5:$J$47,6,FALSE),"")</x:f>
      </x:c>
      <x:c r="L124" s="151" t="str">
        <x:f>IFERROR(VLOOKUP(F124,'Base Sectores'!$A$5:$J$47,7,FALSE),"")</x:f>
      </x:c>
      <x:c r="M124" s="151" t="str">
        <x:f>IFERROR(VLOOKUP(F124,'Base Sectores'!$A$5:$J$47,9,FALSE),"")</x:f>
      </x:c>
      <x:c r="N124" s="154"/>
      <x:c r="O124" s="151" t="str">
        <x:f>IFERROR(VLOOKUP(N124,'Configuracion'!$D$4:$H$15,2,FALSE),"")</x:f>
      </x:c>
      <x:c r="P124" s="151" t="str">
        <x:f>IFERROR(VLOOKUP(N124,'Configuracion'!$D$4:$H$15,3,FALSE),"")</x:f>
      </x:c>
      <x:c r="Q124" s="155"/>
      <x:c r="R124" s="156" t="str">
        <x:f>IFERROR(VLOOKUP(N124,'Configuracion'!$D$4:$H$15,4,FALSE),"")</x:f>
      </x:c>
      <x:c r="S124" s="153"/>
      <x:c r="T124" s="153"/>
      <x:c r="U124" s="156" t="str">
        <x:f>IF(OR(S124="",T124=""),"",MOD(T124-S124,1)*24)</x:f>
      </x:c>
      <x:c r="V124" s="154"/>
      <x:c r="W124" s="154"/>
      <x:c r="X124" s="151" t="str">
        <x:f>IFERROR(VLOOKUP(N124,'Configuracion'!$D$4:$H$15,5,FALSE),"")</x:f>
      </x:c>
      <x:c r="Y124" s="151" t="str">
        <x:f>IFERROR(VLOOKUP(V124,'Cuadrillas'!$A$5:$J$14,2,FALSE),"")</x:f>
      </x:c>
      <x:c r="Z124" s="154"/>
      <x:c r="AA124" s="154"/>
      <x:c r="AB124" s="154"/>
      <x:c r="AC124" s="153"/>
      <x:c r="AD124" s="153"/>
      <x:c r="AE124" s="156" t="str">
        <x:f>IF(OR(AC124="",AD124=""),"",MOD(AD124-AC124,1)*24)</x:f>
      </x:c>
      <x:c r="AF124" s="154"/>
      <x:c r="AG124" s="156" t="str">
        <x:f>IF(AE124="","",MAX(0,AE124-IF(AF124="",0,AF124/60)))</x:f>
      </x:c>
      <x:c r="AH124" s="155"/>
      <x:c r="AI124" s="154"/>
      <x:c r="AJ124" s="154"/>
      <x:c r="AK124" s="156" t="n">
        <x:f>IFERROR(U124*W124,"")</x:f>
        <x:v>0</x:v>
      </x:c>
      <x:c r="AL124" s="156" t="n">
        <x:f>IFERROR(AE124*AI124,"")</x:f>
        <x:v>0</x:v>
      </x:c>
      <x:c r="AM124" s="157" t="str">
        <x:f>IFERROR(AH124/Q124,"")</x:f>
      </x:c>
      <x:c r="AN124" s="156" t="str">
        <x:f>IFERROR(AH124/AG124,"")</x:f>
      </x:c>
      <x:c r="AO124" s="156" t="str">
        <x:f>IFERROR(AL124/AH124,"")</x:f>
      </x:c>
      <x:c r="AP124" s="157" t="str">
        <x:f>IFERROR(AG124/AE124,"")</x:f>
      </x:c>
      <x:c r="AQ124" s="157" t="str">
        <x:f>IFERROR(AN124/(R124/'Configuracion'!$B$13),"")</x:f>
      </x:c>
      <x:c r="AR124" s="156" t="n">
        <x:f>IFERROR(AE124-U124,"")</x:f>
        <x:v>0</x:v>
      </x:c>
      <x:c r="AS124" s="154"/>
      <x:c r="AT124" s="154"/>
      <x:c r="AU124" s="154"/>
      <x:c r="AV124" s="154"/>
      <x:c r="AW124" s="152"/>
      <x:c r="AX124" s="154"/>
      <x:c r="AY124" s="154"/>
      <x:c r="AZ124" s="151"/>
      <x:c r="BA124" s="151"/>
    </x:row>
    <x:row r="125">
      <x:c r="A125" s="151" t="str">
        <x:f>IF(B125="","",TEXT(B125,"yyyymmdd")&amp;"-"&amp;TEXT(COUNTIF($B$5:B125,B125),"000"))</x:f>
      </x:c>
      <x:c r="B125" s="152"/>
      <x:c r="C125" s="153"/>
      <x:c r="D125" s="151" t="str">
        <x:f>IF(B125="","",'Configuracion'!$B$4)</x:f>
      </x:c>
      <x:c r="E125" s="154"/>
      <x:c r="F125" s="154"/>
      <x:c r="G125" s="151" t="str">
        <x:f>IFERROR(VLOOKUP(F125,'Base Sectores'!$A$5:$J$47,2,FALSE),"")</x:f>
      </x:c>
      <x:c r="H125" s="151" t="str">
        <x:f>IFERROR(VLOOKUP(F125,'Base Sectores'!$A$5:$J$47,3,FALSE),"")</x:f>
      </x:c>
      <x:c r="I125" s="151" t="str">
        <x:f>IFERROR(VLOOKUP(F125,'Base Sectores'!$A$5:$J$47,4,FALSE),"")</x:f>
      </x:c>
      <x:c r="J125" s="151" t="str">
        <x:f>IFERROR(VLOOKUP(F125,'Base Sectores'!$A$5:$J$47,5,FALSE),"")</x:f>
      </x:c>
      <x:c r="K125" s="151" t="str">
        <x:f>IFERROR(VLOOKUP(F125,'Base Sectores'!$A$5:$J$47,6,FALSE),"")</x:f>
      </x:c>
      <x:c r="L125" s="151" t="str">
        <x:f>IFERROR(VLOOKUP(F125,'Base Sectores'!$A$5:$J$47,7,FALSE),"")</x:f>
      </x:c>
      <x:c r="M125" s="151" t="str">
        <x:f>IFERROR(VLOOKUP(F125,'Base Sectores'!$A$5:$J$47,9,FALSE),"")</x:f>
      </x:c>
      <x:c r="N125" s="154"/>
      <x:c r="O125" s="151" t="str">
        <x:f>IFERROR(VLOOKUP(N125,'Configuracion'!$D$4:$H$15,2,FALSE),"")</x:f>
      </x:c>
      <x:c r="P125" s="151" t="str">
        <x:f>IFERROR(VLOOKUP(N125,'Configuracion'!$D$4:$H$15,3,FALSE),"")</x:f>
      </x:c>
      <x:c r="Q125" s="155"/>
      <x:c r="R125" s="156" t="str">
        <x:f>IFERROR(VLOOKUP(N125,'Configuracion'!$D$4:$H$15,4,FALSE),"")</x:f>
      </x:c>
      <x:c r="S125" s="153"/>
      <x:c r="T125" s="153"/>
      <x:c r="U125" s="156" t="str">
        <x:f>IF(OR(S125="",T125=""),"",MOD(T125-S125,1)*24)</x:f>
      </x:c>
      <x:c r="V125" s="154"/>
      <x:c r="W125" s="154"/>
      <x:c r="X125" s="151" t="str">
        <x:f>IFERROR(VLOOKUP(N125,'Configuracion'!$D$4:$H$15,5,FALSE),"")</x:f>
      </x:c>
      <x:c r="Y125" s="151" t="str">
        <x:f>IFERROR(VLOOKUP(V125,'Cuadrillas'!$A$5:$J$14,2,FALSE),"")</x:f>
      </x:c>
      <x:c r="Z125" s="154"/>
      <x:c r="AA125" s="154"/>
      <x:c r="AB125" s="154"/>
      <x:c r="AC125" s="153"/>
      <x:c r="AD125" s="153"/>
      <x:c r="AE125" s="156" t="str">
        <x:f>IF(OR(AC125="",AD125=""),"",MOD(AD125-AC125,1)*24)</x:f>
      </x:c>
      <x:c r="AF125" s="154"/>
      <x:c r="AG125" s="156" t="str">
        <x:f>IF(AE125="","",MAX(0,AE125-IF(AF125="",0,AF125/60)))</x:f>
      </x:c>
      <x:c r="AH125" s="155"/>
      <x:c r="AI125" s="154"/>
      <x:c r="AJ125" s="154"/>
      <x:c r="AK125" s="156" t="n">
        <x:f>IFERROR(U125*W125,"")</x:f>
        <x:v>0</x:v>
      </x:c>
      <x:c r="AL125" s="156" t="n">
        <x:f>IFERROR(AE125*AI125,"")</x:f>
        <x:v>0</x:v>
      </x:c>
      <x:c r="AM125" s="157" t="str">
        <x:f>IFERROR(AH125/Q125,"")</x:f>
      </x:c>
      <x:c r="AN125" s="156" t="str">
        <x:f>IFERROR(AH125/AG125,"")</x:f>
      </x:c>
      <x:c r="AO125" s="156" t="str">
        <x:f>IFERROR(AL125/AH125,"")</x:f>
      </x:c>
      <x:c r="AP125" s="157" t="str">
        <x:f>IFERROR(AG125/AE125,"")</x:f>
      </x:c>
      <x:c r="AQ125" s="157" t="str">
        <x:f>IFERROR(AN125/(R125/'Configuracion'!$B$13),"")</x:f>
      </x:c>
      <x:c r="AR125" s="156" t="n">
        <x:f>IFERROR(AE125-U125,"")</x:f>
        <x:v>0</x:v>
      </x:c>
      <x:c r="AS125" s="154"/>
      <x:c r="AT125" s="154"/>
      <x:c r="AU125" s="154"/>
      <x:c r="AV125" s="154"/>
      <x:c r="AW125" s="152"/>
      <x:c r="AX125" s="154"/>
      <x:c r="AY125" s="154"/>
      <x:c r="AZ125" s="151"/>
      <x:c r="BA125" s="151"/>
    </x:row>
    <x:row r="126">
      <x:c r="A126" s="151" t="str">
        <x:f>IF(B126="","",TEXT(B126,"yyyymmdd")&amp;"-"&amp;TEXT(COUNTIF($B$5:B126,B126),"000"))</x:f>
      </x:c>
      <x:c r="B126" s="152"/>
      <x:c r="C126" s="153"/>
      <x:c r="D126" s="151" t="str">
        <x:f>IF(B126="","",'Configuracion'!$B$4)</x:f>
      </x:c>
      <x:c r="E126" s="154"/>
      <x:c r="F126" s="154"/>
      <x:c r="G126" s="151" t="str">
        <x:f>IFERROR(VLOOKUP(F126,'Base Sectores'!$A$5:$J$47,2,FALSE),"")</x:f>
      </x:c>
      <x:c r="H126" s="151" t="str">
        <x:f>IFERROR(VLOOKUP(F126,'Base Sectores'!$A$5:$J$47,3,FALSE),"")</x:f>
      </x:c>
      <x:c r="I126" s="151" t="str">
        <x:f>IFERROR(VLOOKUP(F126,'Base Sectores'!$A$5:$J$47,4,FALSE),"")</x:f>
      </x:c>
      <x:c r="J126" s="151" t="str">
        <x:f>IFERROR(VLOOKUP(F126,'Base Sectores'!$A$5:$J$47,5,FALSE),"")</x:f>
      </x:c>
      <x:c r="K126" s="151" t="str">
        <x:f>IFERROR(VLOOKUP(F126,'Base Sectores'!$A$5:$J$47,6,FALSE),"")</x:f>
      </x:c>
      <x:c r="L126" s="151" t="str">
        <x:f>IFERROR(VLOOKUP(F126,'Base Sectores'!$A$5:$J$47,7,FALSE),"")</x:f>
      </x:c>
      <x:c r="M126" s="151" t="str">
        <x:f>IFERROR(VLOOKUP(F126,'Base Sectores'!$A$5:$J$47,9,FALSE),"")</x:f>
      </x:c>
      <x:c r="N126" s="154"/>
      <x:c r="O126" s="151" t="str">
        <x:f>IFERROR(VLOOKUP(N126,'Configuracion'!$D$4:$H$15,2,FALSE),"")</x:f>
      </x:c>
      <x:c r="P126" s="151" t="str">
        <x:f>IFERROR(VLOOKUP(N126,'Configuracion'!$D$4:$H$15,3,FALSE),"")</x:f>
      </x:c>
      <x:c r="Q126" s="155"/>
      <x:c r="R126" s="156" t="str">
        <x:f>IFERROR(VLOOKUP(N126,'Configuracion'!$D$4:$H$15,4,FALSE),"")</x:f>
      </x:c>
      <x:c r="S126" s="153"/>
      <x:c r="T126" s="153"/>
      <x:c r="U126" s="156" t="str">
        <x:f>IF(OR(S126="",T126=""),"",MOD(T126-S126,1)*24)</x:f>
      </x:c>
      <x:c r="V126" s="154"/>
      <x:c r="W126" s="154"/>
      <x:c r="X126" s="151" t="str">
        <x:f>IFERROR(VLOOKUP(N126,'Configuracion'!$D$4:$H$15,5,FALSE),"")</x:f>
      </x:c>
      <x:c r="Y126" s="151" t="str">
        <x:f>IFERROR(VLOOKUP(V126,'Cuadrillas'!$A$5:$J$14,2,FALSE),"")</x:f>
      </x:c>
      <x:c r="Z126" s="154"/>
      <x:c r="AA126" s="154"/>
      <x:c r="AB126" s="154"/>
      <x:c r="AC126" s="153"/>
      <x:c r="AD126" s="153"/>
      <x:c r="AE126" s="156" t="str">
        <x:f>IF(OR(AC126="",AD126=""),"",MOD(AD126-AC126,1)*24)</x:f>
      </x:c>
      <x:c r="AF126" s="154"/>
      <x:c r="AG126" s="156" t="str">
        <x:f>IF(AE126="","",MAX(0,AE126-IF(AF126="",0,AF126/60)))</x:f>
      </x:c>
      <x:c r="AH126" s="155"/>
      <x:c r="AI126" s="154"/>
      <x:c r="AJ126" s="154"/>
      <x:c r="AK126" s="156" t="n">
        <x:f>IFERROR(U126*W126,"")</x:f>
        <x:v>0</x:v>
      </x:c>
      <x:c r="AL126" s="156" t="n">
        <x:f>IFERROR(AE126*AI126,"")</x:f>
        <x:v>0</x:v>
      </x:c>
      <x:c r="AM126" s="157" t="str">
        <x:f>IFERROR(AH126/Q126,"")</x:f>
      </x:c>
      <x:c r="AN126" s="156" t="str">
        <x:f>IFERROR(AH126/AG126,"")</x:f>
      </x:c>
      <x:c r="AO126" s="156" t="str">
        <x:f>IFERROR(AL126/AH126,"")</x:f>
      </x:c>
      <x:c r="AP126" s="157" t="str">
        <x:f>IFERROR(AG126/AE126,"")</x:f>
      </x:c>
      <x:c r="AQ126" s="157" t="str">
        <x:f>IFERROR(AN126/(R126/'Configuracion'!$B$13),"")</x:f>
      </x:c>
      <x:c r="AR126" s="156" t="n">
        <x:f>IFERROR(AE126-U126,"")</x:f>
        <x:v>0</x:v>
      </x:c>
      <x:c r="AS126" s="154"/>
      <x:c r="AT126" s="154"/>
      <x:c r="AU126" s="154"/>
      <x:c r="AV126" s="154"/>
      <x:c r="AW126" s="152"/>
      <x:c r="AX126" s="154"/>
      <x:c r="AY126" s="154"/>
      <x:c r="AZ126" s="151"/>
      <x:c r="BA126" s="151"/>
    </x:row>
    <x:row r="127">
      <x:c r="A127" s="151" t="str">
        <x:f>IF(B127="","",TEXT(B127,"yyyymmdd")&amp;"-"&amp;TEXT(COUNTIF($B$5:B127,B127),"000"))</x:f>
      </x:c>
      <x:c r="B127" s="152"/>
      <x:c r="C127" s="153"/>
      <x:c r="D127" s="151" t="str">
        <x:f>IF(B127="","",'Configuracion'!$B$4)</x:f>
      </x:c>
      <x:c r="E127" s="154"/>
      <x:c r="F127" s="154"/>
      <x:c r="G127" s="151" t="str">
        <x:f>IFERROR(VLOOKUP(F127,'Base Sectores'!$A$5:$J$47,2,FALSE),"")</x:f>
      </x:c>
      <x:c r="H127" s="151" t="str">
        <x:f>IFERROR(VLOOKUP(F127,'Base Sectores'!$A$5:$J$47,3,FALSE),"")</x:f>
      </x:c>
      <x:c r="I127" s="151" t="str">
        <x:f>IFERROR(VLOOKUP(F127,'Base Sectores'!$A$5:$J$47,4,FALSE),"")</x:f>
      </x:c>
      <x:c r="J127" s="151" t="str">
        <x:f>IFERROR(VLOOKUP(F127,'Base Sectores'!$A$5:$J$47,5,FALSE),"")</x:f>
      </x:c>
      <x:c r="K127" s="151" t="str">
        <x:f>IFERROR(VLOOKUP(F127,'Base Sectores'!$A$5:$J$47,6,FALSE),"")</x:f>
      </x:c>
      <x:c r="L127" s="151" t="str">
        <x:f>IFERROR(VLOOKUP(F127,'Base Sectores'!$A$5:$J$47,7,FALSE),"")</x:f>
      </x:c>
      <x:c r="M127" s="151" t="str">
        <x:f>IFERROR(VLOOKUP(F127,'Base Sectores'!$A$5:$J$47,9,FALSE),"")</x:f>
      </x:c>
      <x:c r="N127" s="154"/>
      <x:c r="O127" s="151" t="str">
        <x:f>IFERROR(VLOOKUP(N127,'Configuracion'!$D$4:$H$15,2,FALSE),"")</x:f>
      </x:c>
      <x:c r="P127" s="151" t="str">
        <x:f>IFERROR(VLOOKUP(N127,'Configuracion'!$D$4:$H$15,3,FALSE),"")</x:f>
      </x:c>
      <x:c r="Q127" s="155"/>
      <x:c r="R127" s="156" t="str">
        <x:f>IFERROR(VLOOKUP(N127,'Configuracion'!$D$4:$H$15,4,FALSE),"")</x:f>
      </x:c>
      <x:c r="S127" s="153"/>
      <x:c r="T127" s="153"/>
      <x:c r="U127" s="156" t="str">
        <x:f>IF(OR(S127="",T127=""),"",MOD(T127-S127,1)*24)</x:f>
      </x:c>
      <x:c r="V127" s="154"/>
      <x:c r="W127" s="154"/>
      <x:c r="X127" s="151" t="str">
        <x:f>IFERROR(VLOOKUP(N127,'Configuracion'!$D$4:$H$15,5,FALSE),"")</x:f>
      </x:c>
      <x:c r="Y127" s="151" t="str">
        <x:f>IFERROR(VLOOKUP(V127,'Cuadrillas'!$A$5:$J$14,2,FALSE),"")</x:f>
      </x:c>
      <x:c r="Z127" s="154"/>
      <x:c r="AA127" s="154"/>
      <x:c r="AB127" s="154"/>
      <x:c r="AC127" s="153"/>
      <x:c r="AD127" s="153"/>
      <x:c r="AE127" s="156" t="str">
        <x:f>IF(OR(AC127="",AD127=""),"",MOD(AD127-AC127,1)*24)</x:f>
      </x:c>
      <x:c r="AF127" s="154"/>
      <x:c r="AG127" s="156" t="str">
        <x:f>IF(AE127="","",MAX(0,AE127-IF(AF127="",0,AF127/60)))</x:f>
      </x:c>
      <x:c r="AH127" s="155"/>
      <x:c r="AI127" s="154"/>
      <x:c r="AJ127" s="154"/>
      <x:c r="AK127" s="156" t="n">
        <x:f>IFERROR(U127*W127,"")</x:f>
        <x:v>0</x:v>
      </x:c>
      <x:c r="AL127" s="156" t="n">
        <x:f>IFERROR(AE127*AI127,"")</x:f>
        <x:v>0</x:v>
      </x:c>
      <x:c r="AM127" s="157" t="str">
        <x:f>IFERROR(AH127/Q127,"")</x:f>
      </x:c>
      <x:c r="AN127" s="156" t="str">
        <x:f>IFERROR(AH127/AG127,"")</x:f>
      </x:c>
      <x:c r="AO127" s="156" t="str">
        <x:f>IFERROR(AL127/AH127,"")</x:f>
      </x:c>
      <x:c r="AP127" s="157" t="str">
        <x:f>IFERROR(AG127/AE127,"")</x:f>
      </x:c>
      <x:c r="AQ127" s="157" t="str">
        <x:f>IFERROR(AN127/(R127/'Configuracion'!$B$13),"")</x:f>
      </x:c>
      <x:c r="AR127" s="156" t="n">
        <x:f>IFERROR(AE127-U127,"")</x:f>
        <x:v>0</x:v>
      </x:c>
      <x:c r="AS127" s="154"/>
      <x:c r="AT127" s="154"/>
      <x:c r="AU127" s="154"/>
      <x:c r="AV127" s="154"/>
      <x:c r="AW127" s="152"/>
      <x:c r="AX127" s="154"/>
      <x:c r="AY127" s="154"/>
      <x:c r="AZ127" s="151"/>
      <x:c r="BA127" s="151"/>
    </x:row>
    <x:row r="128">
      <x:c r="A128" s="151" t="str">
        <x:f>IF(B128="","",TEXT(B128,"yyyymmdd")&amp;"-"&amp;TEXT(COUNTIF($B$5:B128,B128),"000"))</x:f>
      </x:c>
      <x:c r="B128" s="152"/>
      <x:c r="C128" s="153"/>
      <x:c r="D128" s="151" t="str">
        <x:f>IF(B128="","",'Configuracion'!$B$4)</x:f>
      </x:c>
      <x:c r="E128" s="154"/>
      <x:c r="F128" s="154"/>
      <x:c r="G128" s="151" t="str">
        <x:f>IFERROR(VLOOKUP(F128,'Base Sectores'!$A$5:$J$47,2,FALSE),"")</x:f>
      </x:c>
      <x:c r="H128" s="151" t="str">
        <x:f>IFERROR(VLOOKUP(F128,'Base Sectores'!$A$5:$J$47,3,FALSE),"")</x:f>
      </x:c>
      <x:c r="I128" s="151" t="str">
        <x:f>IFERROR(VLOOKUP(F128,'Base Sectores'!$A$5:$J$47,4,FALSE),"")</x:f>
      </x:c>
      <x:c r="J128" s="151" t="str">
        <x:f>IFERROR(VLOOKUP(F128,'Base Sectores'!$A$5:$J$47,5,FALSE),"")</x:f>
      </x:c>
      <x:c r="K128" s="151" t="str">
        <x:f>IFERROR(VLOOKUP(F128,'Base Sectores'!$A$5:$J$47,6,FALSE),"")</x:f>
      </x:c>
      <x:c r="L128" s="151" t="str">
        <x:f>IFERROR(VLOOKUP(F128,'Base Sectores'!$A$5:$J$47,7,FALSE),"")</x:f>
      </x:c>
      <x:c r="M128" s="151" t="str">
        <x:f>IFERROR(VLOOKUP(F128,'Base Sectores'!$A$5:$J$47,9,FALSE),"")</x:f>
      </x:c>
      <x:c r="N128" s="154"/>
      <x:c r="O128" s="151" t="str">
        <x:f>IFERROR(VLOOKUP(N128,'Configuracion'!$D$4:$H$15,2,FALSE),"")</x:f>
      </x:c>
      <x:c r="P128" s="151" t="str">
        <x:f>IFERROR(VLOOKUP(N128,'Configuracion'!$D$4:$H$15,3,FALSE),"")</x:f>
      </x:c>
      <x:c r="Q128" s="155"/>
      <x:c r="R128" s="156" t="str">
        <x:f>IFERROR(VLOOKUP(N128,'Configuracion'!$D$4:$H$15,4,FALSE),"")</x:f>
      </x:c>
      <x:c r="S128" s="153"/>
      <x:c r="T128" s="153"/>
      <x:c r="U128" s="156" t="str">
        <x:f>IF(OR(S128="",T128=""),"",MOD(T128-S128,1)*24)</x:f>
      </x:c>
      <x:c r="V128" s="154"/>
      <x:c r="W128" s="154"/>
      <x:c r="X128" s="151" t="str">
        <x:f>IFERROR(VLOOKUP(N128,'Configuracion'!$D$4:$H$15,5,FALSE),"")</x:f>
      </x:c>
      <x:c r="Y128" s="151" t="str">
        <x:f>IFERROR(VLOOKUP(V128,'Cuadrillas'!$A$5:$J$14,2,FALSE),"")</x:f>
      </x:c>
      <x:c r="Z128" s="154"/>
      <x:c r="AA128" s="154"/>
      <x:c r="AB128" s="154"/>
      <x:c r="AC128" s="153"/>
      <x:c r="AD128" s="153"/>
      <x:c r="AE128" s="156" t="str">
        <x:f>IF(OR(AC128="",AD128=""),"",MOD(AD128-AC128,1)*24)</x:f>
      </x:c>
      <x:c r="AF128" s="154"/>
      <x:c r="AG128" s="156" t="str">
        <x:f>IF(AE128="","",MAX(0,AE128-IF(AF128="",0,AF128/60)))</x:f>
      </x:c>
      <x:c r="AH128" s="155"/>
      <x:c r="AI128" s="154"/>
      <x:c r="AJ128" s="154"/>
      <x:c r="AK128" s="156" t="n">
        <x:f>IFERROR(U128*W128,"")</x:f>
        <x:v>0</x:v>
      </x:c>
      <x:c r="AL128" s="156" t="n">
        <x:f>IFERROR(AE128*AI128,"")</x:f>
        <x:v>0</x:v>
      </x:c>
      <x:c r="AM128" s="157" t="str">
        <x:f>IFERROR(AH128/Q128,"")</x:f>
      </x:c>
      <x:c r="AN128" s="156" t="str">
        <x:f>IFERROR(AH128/AG128,"")</x:f>
      </x:c>
      <x:c r="AO128" s="156" t="str">
        <x:f>IFERROR(AL128/AH128,"")</x:f>
      </x:c>
      <x:c r="AP128" s="157" t="str">
        <x:f>IFERROR(AG128/AE128,"")</x:f>
      </x:c>
      <x:c r="AQ128" s="157" t="str">
        <x:f>IFERROR(AN128/(R128/'Configuracion'!$B$13),"")</x:f>
      </x:c>
      <x:c r="AR128" s="156" t="n">
        <x:f>IFERROR(AE128-U128,"")</x:f>
        <x:v>0</x:v>
      </x:c>
      <x:c r="AS128" s="154"/>
      <x:c r="AT128" s="154"/>
      <x:c r="AU128" s="154"/>
      <x:c r="AV128" s="154"/>
      <x:c r="AW128" s="152"/>
      <x:c r="AX128" s="154"/>
      <x:c r="AY128" s="154"/>
      <x:c r="AZ128" s="151"/>
      <x:c r="BA128" s="151"/>
    </x:row>
    <x:row r="129">
      <x:c r="A129" s="151" t="str">
        <x:f>IF(B129="","",TEXT(B129,"yyyymmdd")&amp;"-"&amp;TEXT(COUNTIF($B$5:B129,B129),"000"))</x:f>
      </x:c>
      <x:c r="B129" s="152"/>
      <x:c r="C129" s="153"/>
      <x:c r="D129" s="151" t="str">
        <x:f>IF(B129="","",'Configuracion'!$B$4)</x:f>
      </x:c>
      <x:c r="E129" s="154"/>
      <x:c r="F129" s="154"/>
      <x:c r="G129" s="151" t="str">
        <x:f>IFERROR(VLOOKUP(F129,'Base Sectores'!$A$5:$J$47,2,FALSE),"")</x:f>
      </x:c>
      <x:c r="H129" s="151" t="str">
        <x:f>IFERROR(VLOOKUP(F129,'Base Sectores'!$A$5:$J$47,3,FALSE),"")</x:f>
      </x:c>
      <x:c r="I129" s="151" t="str">
        <x:f>IFERROR(VLOOKUP(F129,'Base Sectores'!$A$5:$J$47,4,FALSE),"")</x:f>
      </x:c>
      <x:c r="J129" s="151" t="str">
        <x:f>IFERROR(VLOOKUP(F129,'Base Sectores'!$A$5:$J$47,5,FALSE),"")</x:f>
      </x:c>
      <x:c r="K129" s="151" t="str">
        <x:f>IFERROR(VLOOKUP(F129,'Base Sectores'!$A$5:$J$47,6,FALSE),"")</x:f>
      </x:c>
      <x:c r="L129" s="151" t="str">
        <x:f>IFERROR(VLOOKUP(F129,'Base Sectores'!$A$5:$J$47,7,FALSE),"")</x:f>
      </x:c>
      <x:c r="M129" s="151" t="str">
        <x:f>IFERROR(VLOOKUP(F129,'Base Sectores'!$A$5:$J$47,9,FALSE),"")</x:f>
      </x:c>
      <x:c r="N129" s="154"/>
      <x:c r="O129" s="151" t="str">
        <x:f>IFERROR(VLOOKUP(N129,'Configuracion'!$D$4:$H$15,2,FALSE),"")</x:f>
      </x:c>
      <x:c r="P129" s="151" t="str">
        <x:f>IFERROR(VLOOKUP(N129,'Configuracion'!$D$4:$H$15,3,FALSE),"")</x:f>
      </x:c>
      <x:c r="Q129" s="155"/>
      <x:c r="R129" s="156" t="str">
        <x:f>IFERROR(VLOOKUP(N129,'Configuracion'!$D$4:$H$15,4,FALSE),"")</x:f>
      </x:c>
      <x:c r="S129" s="153"/>
      <x:c r="T129" s="153"/>
      <x:c r="U129" s="156" t="str">
        <x:f>IF(OR(S129="",T129=""),"",MOD(T129-S129,1)*24)</x:f>
      </x:c>
      <x:c r="V129" s="154"/>
      <x:c r="W129" s="154"/>
      <x:c r="X129" s="151" t="str">
        <x:f>IFERROR(VLOOKUP(N129,'Configuracion'!$D$4:$H$15,5,FALSE),"")</x:f>
      </x:c>
      <x:c r="Y129" s="151" t="str">
        <x:f>IFERROR(VLOOKUP(V129,'Cuadrillas'!$A$5:$J$14,2,FALSE),"")</x:f>
      </x:c>
      <x:c r="Z129" s="154"/>
      <x:c r="AA129" s="154"/>
      <x:c r="AB129" s="154"/>
      <x:c r="AC129" s="153"/>
      <x:c r="AD129" s="153"/>
      <x:c r="AE129" s="156" t="str">
        <x:f>IF(OR(AC129="",AD129=""),"",MOD(AD129-AC129,1)*24)</x:f>
      </x:c>
      <x:c r="AF129" s="154"/>
      <x:c r="AG129" s="156" t="str">
        <x:f>IF(AE129="","",MAX(0,AE129-IF(AF129="",0,AF129/60)))</x:f>
      </x:c>
      <x:c r="AH129" s="155"/>
      <x:c r="AI129" s="154"/>
      <x:c r="AJ129" s="154"/>
      <x:c r="AK129" s="156" t="n">
        <x:f>IFERROR(U129*W129,"")</x:f>
        <x:v>0</x:v>
      </x:c>
      <x:c r="AL129" s="156" t="n">
        <x:f>IFERROR(AE129*AI129,"")</x:f>
        <x:v>0</x:v>
      </x:c>
      <x:c r="AM129" s="157" t="str">
        <x:f>IFERROR(AH129/Q129,"")</x:f>
      </x:c>
      <x:c r="AN129" s="156" t="str">
        <x:f>IFERROR(AH129/AG129,"")</x:f>
      </x:c>
      <x:c r="AO129" s="156" t="str">
        <x:f>IFERROR(AL129/AH129,"")</x:f>
      </x:c>
      <x:c r="AP129" s="157" t="str">
        <x:f>IFERROR(AG129/AE129,"")</x:f>
      </x:c>
      <x:c r="AQ129" s="157" t="str">
        <x:f>IFERROR(AN129/(R129/'Configuracion'!$B$13),"")</x:f>
      </x:c>
      <x:c r="AR129" s="156" t="n">
        <x:f>IFERROR(AE129-U129,"")</x:f>
        <x:v>0</x:v>
      </x:c>
      <x:c r="AS129" s="154"/>
      <x:c r="AT129" s="154"/>
      <x:c r="AU129" s="154"/>
      <x:c r="AV129" s="154"/>
      <x:c r="AW129" s="152"/>
      <x:c r="AX129" s="154"/>
      <x:c r="AY129" s="154"/>
      <x:c r="AZ129" s="151"/>
      <x:c r="BA129" s="151"/>
    </x:row>
    <x:row r="130">
      <x:c r="A130" s="151" t="str">
        <x:f>IF(B130="","",TEXT(B130,"yyyymmdd")&amp;"-"&amp;TEXT(COUNTIF($B$5:B130,B130),"000"))</x:f>
      </x:c>
      <x:c r="B130" s="152"/>
      <x:c r="C130" s="153"/>
      <x:c r="D130" s="151" t="str">
        <x:f>IF(B130="","",'Configuracion'!$B$4)</x:f>
      </x:c>
      <x:c r="E130" s="154"/>
      <x:c r="F130" s="154"/>
      <x:c r="G130" s="151" t="str">
        <x:f>IFERROR(VLOOKUP(F130,'Base Sectores'!$A$5:$J$47,2,FALSE),"")</x:f>
      </x:c>
      <x:c r="H130" s="151" t="str">
        <x:f>IFERROR(VLOOKUP(F130,'Base Sectores'!$A$5:$J$47,3,FALSE),"")</x:f>
      </x:c>
      <x:c r="I130" s="151" t="str">
        <x:f>IFERROR(VLOOKUP(F130,'Base Sectores'!$A$5:$J$47,4,FALSE),"")</x:f>
      </x:c>
      <x:c r="J130" s="151" t="str">
        <x:f>IFERROR(VLOOKUP(F130,'Base Sectores'!$A$5:$J$47,5,FALSE),"")</x:f>
      </x:c>
      <x:c r="K130" s="151" t="str">
        <x:f>IFERROR(VLOOKUP(F130,'Base Sectores'!$A$5:$J$47,6,FALSE),"")</x:f>
      </x:c>
      <x:c r="L130" s="151" t="str">
        <x:f>IFERROR(VLOOKUP(F130,'Base Sectores'!$A$5:$J$47,7,FALSE),"")</x:f>
      </x:c>
      <x:c r="M130" s="151" t="str">
        <x:f>IFERROR(VLOOKUP(F130,'Base Sectores'!$A$5:$J$47,9,FALSE),"")</x:f>
      </x:c>
      <x:c r="N130" s="154"/>
      <x:c r="O130" s="151" t="str">
        <x:f>IFERROR(VLOOKUP(N130,'Configuracion'!$D$4:$H$15,2,FALSE),"")</x:f>
      </x:c>
      <x:c r="P130" s="151" t="str">
        <x:f>IFERROR(VLOOKUP(N130,'Configuracion'!$D$4:$H$15,3,FALSE),"")</x:f>
      </x:c>
      <x:c r="Q130" s="155"/>
      <x:c r="R130" s="156" t="str">
        <x:f>IFERROR(VLOOKUP(N130,'Configuracion'!$D$4:$H$15,4,FALSE),"")</x:f>
      </x:c>
      <x:c r="S130" s="153"/>
      <x:c r="T130" s="153"/>
      <x:c r="U130" s="156" t="str">
        <x:f>IF(OR(S130="",T130=""),"",MOD(T130-S130,1)*24)</x:f>
      </x:c>
      <x:c r="V130" s="154"/>
      <x:c r="W130" s="154"/>
      <x:c r="X130" s="151" t="str">
        <x:f>IFERROR(VLOOKUP(N130,'Configuracion'!$D$4:$H$15,5,FALSE),"")</x:f>
      </x:c>
      <x:c r="Y130" s="151" t="str">
        <x:f>IFERROR(VLOOKUP(V130,'Cuadrillas'!$A$5:$J$14,2,FALSE),"")</x:f>
      </x:c>
      <x:c r="Z130" s="154"/>
      <x:c r="AA130" s="154"/>
      <x:c r="AB130" s="154"/>
      <x:c r="AC130" s="153"/>
      <x:c r="AD130" s="153"/>
      <x:c r="AE130" s="156" t="str">
        <x:f>IF(OR(AC130="",AD130=""),"",MOD(AD130-AC130,1)*24)</x:f>
      </x:c>
      <x:c r="AF130" s="154"/>
      <x:c r="AG130" s="156" t="str">
        <x:f>IF(AE130="","",MAX(0,AE130-IF(AF130="",0,AF130/60)))</x:f>
      </x:c>
      <x:c r="AH130" s="155"/>
      <x:c r="AI130" s="154"/>
      <x:c r="AJ130" s="154"/>
      <x:c r="AK130" s="156" t="n">
        <x:f>IFERROR(U130*W130,"")</x:f>
        <x:v>0</x:v>
      </x:c>
      <x:c r="AL130" s="156" t="n">
        <x:f>IFERROR(AE130*AI130,"")</x:f>
        <x:v>0</x:v>
      </x:c>
      <x:c r="AM130" s="157" t="str">
        <x:f>IFERROR(AH130/Q130,"")</x:f>
      </x:c>
      <x:c r="AN130" s="156" t="str">
        <x:f>IFERROR(AH130/AG130,"")</x:f>
      </x:c>
      <x:c r="AO130" s="156" t="str">
        <x:f>IFERROR(AL130/AH130,"")</x:f>
      </x:c>
      <x:c r="AP130" s="157" t="str">
        <x:f>IFERROR(AG130/AE130,"")</x:f>
      </x:c>
      <x:c r="AQ130" s="157" t="str">
        <x:f>IFERROR(AN130/(R130/'Configuracion'!$B$13),"")</x:f>
      </x:c>
      <x:c r="AR130" s="156" t="n">
        <x:f>IFERROR(AE130-U130,"")</x:f>
        <x:v>0</x:v>
      </x:c>
      <x:c r="AS130" s="154"/>
      <x:c r="AT130" s="154"/>
      <x:c r="AU130" s="154"/>
      <x:c r="AV130" s="154"/>
      <x:c r="AW130" s="152"/>
      <x:c r="AX130" s="154"/>
      <x:c r="AY130" s="154"/>
      <x:c r="AZ130" s="151"/>
      <x:c r="BA130" s="151"/>
    </x:row>
    <x:row r="131">
      <x:c r="A131" s="151" t="str">
        <x:f>IF(B131="","",TEXT(B131,"yyyymmdd")&amp;"-"&amp;TEXT(COUNTIF($B$5:B131,B131),"000"))</x:f>
      </x:c>
      <x:c r="B131" s="152"/>
      <x:c r="C131" s="153"/>
      <x:c r="D131" s="151" t="str">
        <x:f>IF(B131="","",'Configuracion'!$B$4)</x:f>
      </x:c>
      <x:c r="E131" s="154"/>
      <x:c r="F131" s="154"/>
      <x:c r="G131" s="151" t="str">
        <x:f>IFERROR(VLOOKUP(F131,'Base Sectores'!$A$5:$J$47,2,FALSE),"")</x:f>
      </x:c>
      <x:c r="H131" s="151" t="str">
        <x:f>IFERROR(VLOOKUP(F131,'Base Sectores'!$A$5:$J$47,3,FALSE),"")</x:f>
      </x:c>
      <x:c r="I131" s="151" t="str">
        <x:f>IFERROR(VLOOKUP(F131,'Base Sectores'!$A$5:$J$47,4,FALSE),"")</x:f>
      </x:c>
      <x:c r="J131" s="151" t="str">
        <x:f>IFERROR(VLOOKUP(F131,'Base Sectores'!$A$5:$J$47,5,FALSE),"")</x:f>
      </x:c>
      <x:c r="K131" s="151" t="str">
        <x:f>IFERROR(VLOOKUP(F131,'Base Sectores'!$A$5:$J$47,6,FALSE),"")</x:f>
      </x:c>
      <x:c r="L131" s="151" t="str">
        <x:f>IFERROR(VLOOKUP(F131,'Base Sectores'!$A$5:$J$47,7,FALSE),"")</x:f>
      </x:c>
      <x:c r="M131" s="151" t="str">
        <x:f>IFERROR(VLOOKUP(F131,'Base Sectores'!$A$5:$J$47,9,FALSE),"")</x:f>
      </x:c>
      <x:c r="N131" s="154"/>
      <x:c r="O131" s="151" t="str">
        <x:f>IFERROR(VLOOKUP(N131,'Configuracion'!$D$4:$H$15,2,FALSE),"")</x:f>
      </x:c>
      <x:c r="P131" s="151" t="str">
        <x:f>IFERROR(VLOOKUP(N131,'Configuracion'!$D$4:$H$15,3,FALSE),"")</x:f>
      </x:c>
      <x:c r="Q131" s="155"/>
      <x:c r="R131" s="156" t="str">
        <x:f>IFERROR(VLOOKUP(N131,'Configuracion'!$D$4:$H$15,4,FALSE),"")</x:f>
      </x:c>
      <x:c r="S131" s="153"/>
      <x:c r="T131" s="153"/>
      <x:c r="U131" s="156" t="str">
        <x:f>IF(OR(S131="",T131=""),"",MOD(T131-S131,1)*24)</x:f>
      </x:c>
      <x:c r="V131" s="154"/>
      <x:c r="W131" s="154"/>
      <x:c r="X131" s="151" t="str">
        <x:f>IFERROR(VLOOKUP(N131,'Configuracion'!$D$4:$H$15,5,FALSE),"")</x:f>
      </x:c>
      <x:c r="Y131" s="151" t="str">
        <x:f>IFERROR(VLOOKUP(V131,'Cuadrillas'!$A$5:$J$14,2,FALSE),"")</x:f>
      </x:c>
      <x:c r="Z131" s="154"/>
      <x:c r="AA131" s="154"/>
      <x:c r="AB131" s="154"/>
      <x:c r="AC131" s="153"/>
      <x:c r="AD131" s="153"/>
      <x:c r="AE131" s="156" t="str">
        <x:f>IF(OR(AC131="",AD131=""),"",MOD(AD131-AC131,1)*24)</x:f>
      </x:c>
      <x:c r="AF131" s="154"/>
      <x:c r="AG131" s="156" t="str">
        <x:f>IF(AE131="","",MAX(0,AE131-IF(AF131="",0,AF131/60)))</x:f>
      </x:c>
      <x:c r="AH131" s="155"/>
      <x:c r="AI131" s="154"/>
      <x:c r="AJ131" s="154"/>
      <x:c r="AK131" s="156" t="n">
        <x:f>IFERROR(U131*W131,"")</x:f>
        <x:v>0</x:v>
      </x:c>
      <x:c r="AL131" s="156" t="n">
        <x:f>IFERROR(AE131*AI131,"")</x:f>
        <x:v>0</x:v>
      </x:c>
      <x:c r="AM131" s="157" t="str">
        <x:f>IFERROR(AH131/Q131,"")</x:f>
      </x:c>
      <x:c r="AN131" s="156" t="str">
        <x:f>IFERROR(AH131/AG131,"")</x:f>
      </x:c>
      <x:c r="AO131" s="156" t="str">
        <x:f>IFERROR(AL131/AH131,"")</x:f>
      </x:c>
      <x:c r="AP131" s="157" t="str">
        <x:f>IFERROR(AG131/AE131,"")</x:f>
      </x:c>
      <x:c r="AQ131" s="157" t="str">
        <x:f>IFERROR(AN131/(R131/'Configuracion'!$B$13),"")</x:f>
      </x:c>
      <x:c r="AR131" s="156" t="n">
        <x:f>IFERROR(AE131-U131,"")</x:f>
        <x:v>0</x:v>
      </x:c>
      <x:c r="AS131" s="154"/>
      <x:c r="AT131" s="154"/>
      <x:c r="AU131" s="154"/>
      <x:c r="AV131" s="154"/>
      <x:c r="AW131" s="152"/>
      <x:c r="AX131" s="154"/>
      <x:c r="AY131" s="154"/>
      <x:c r="AZ131" s="151"/>
      <x:c r="BA131" s="151"/>
    </x:row>
    <x:row r="132">
      <x:c r="A132" s="151" t="str">
        <x:f>IF(B132="","",TEXT(B132,"yyyymmdd")&amp;"-"&amp;TEXT(COUNTIF($B$5:B132,B132),"000"))</x:f>
      </x:c>
      <x:c r="B132" s="152"/>
      <x:c r="C132" s="153"/>
      <x:c r="D132" s="151" t="str">
        <x:f>IF(B132="","",'Configuracion'!$B$4)</x:f>
      </x:c>
      <x:c r="E132" s="154"/>
      <x:c r="F132" s="154"/>
      <x:c r="G132" s="151" t="str">
        <x:f>IFERROR(VLOOKUP(F132,'Base Sectores'!$A$5:$J$47,2,FALSE),"")</x:f>
      </x:c>
      <x:c r="H132" s="151" t="str">
        <x:f>IFERROR(VLOOKUP(F132,'Base Sectores'!$A$5:$J$47,3,FALSE),"")</x:f>
      </x:c>
      <x:c r="I132" s="151" t="str">
        <x:f>IFERROR(VLOOKUP(F132,'Base Sectores'!$A$5:$J$47,4,FALSE),"")</x:f>
      </x:c>
      <x:c r="J132" s="151" t="str">
        <x:f>IFERROR(VLOOKUP(F132,'Base Sectores'!$A$5:$J$47,5,FALSE),"")</x:f>
      </x:c>
      <x:c r="K132" s="151" t="str">
        <x:f>IFERROR(VLOOKUP(F132,'Base Sectores'!$A$5:$J$47,6,FALSE),"")</x:f>
      </x:c>
      <x:c r="L132" s="151" t="str">
        <x:f>IFERROR(VLOOKUP(F132,'Base Sectores'!$A$5:$J$47,7,FALSE),"")</x:f>
      </x:c>
      <x:c r="M132" s="151" t="str">
        <x:f>IFERROR(VLOOKUP(F132,'Base Sectores'!$A$5:$J$47,9,FALSE),"")</x:f>
      </x:c>
      <x:c r="N132" s="154"/>
      <x:c r="O132" s="151" t="str">
        <x:f>IFERROR(VLOOKUP(N132,'Configuracion'!$D$4:$H$15,2,FALSE),"")</x:f>
      </x:c>
      <x:c r="P132" s="151" t="str">
        <x:f>IFERROR(VLOOKUP(N132,'Configuracion'!$D$4:$H$15,3,FALSE),"")</x:f>
      </x:c>
      <x:c r="Q132" s="155"/>
      <x:c r="R132" s="156" t="str">
        <x:f>IFERROR(VLOOKUP(N132,'Configuracion'!$D$4:$H$15,4,FALSE),"")</x:f>
      </x:c>
      <x:c r="S132" s="153"/>
      <x:c r="T132" s="153"/>
      <x:c r="U132" s="156" t="str">
        <x:f>IF(OR(S132="",T132=""),"",MOD(T132-S132,1)*24)</x:f>
      </x:c>
      <x:c r="V132" s="154"/>
      <x:c r="W132" s="154"/>
      <x:c r="X132" s="151" t="str">
        <x:f>IFERROR(VLOOKUP(N132,'Configuracion'!$D$4:$H$15,5,FALSE),"")</x:f>
      </x:c>
      <x:c r="Y132" s="151" t="str">
        <x:f>IFERROR(VLOOKUP(V132,'Cuadrillas'!$A$5:$J$14,2,FALSE),"")</x:f>
      </x:c>
      <x:c r="Z132" s="154"/>
      <x:c r="AA132" s="154"/>
      <x:c r="AB132" s="154"/>
      <x:c r="AC132" s="153"/>
      <x:c r="AD132" s="153"/>
      <x:c r="AE132" s="156" t="str">
        <x:f>IF(OR(AC132="",AD132=""),"",MOD(AD132-AC132,1)*24)</x:f>
      </x:c>
      <x:c r="AF132" s="154"/>
      <x:c r="AG132" s="156" t="str">
        <x:f>IF(AE132="","",MAX(0,AE132-IF(AF132="",0,AF132/60)))</x:f>
      </x:c>
      <x:c r="AH132" s="155"/>
      <x:c r="AI132" s="154"/>
      <x:c r="AJ132" s="154"/>
      <x:c r="AK132" s="156" t="n">
        <x:f>IFERROR(U132*W132,"")</x:f>
        <x:v>0</x:v>
      </x:c>
      <x:c r="AL132" s="156" t="n">
        <x:f>IFERROR(AE132*AI132,"")</x:f>
        <x:v>0</x:v>
      </x:c>
      <x:c r="AM132" s="157" t="str">
        <x:f>IFERROR(AH132/Q132,"")</x:f>
      </x:c>
      <x:c r="AN132" s="156" t="str">
        <x:f>IFERROR(AH132/AG132,"")</x:f>
      </x:c>
      <x:c r="AO132" s="156" t="str">
        <x:f>IFERROR(AL132/AH132,"")</x:f>
      </x:c>
      <x:c r="AP132" s="157" t="str">
        <x:f>IFERROR(AG132/AE132,"")</x:f>
      </x:c>
      <x:c r="AQ132" s="157" t="str">
        <x:f>IFERROR(AN132/(R132/'Configuracion'!$B$13),"")</x:f>
      </x:c>
      <x:c r="AR132" s="156" t="n">
        <x:f>IFERROR(AE132-U132,"")</x:f>
        <x:v>0</x:v>
      </x:c>
      <x:c r="AS132" s="154"/>
      <x:c r="AT132" s="154"/>
      <x:c r="AU132" s="154"/>
      <x:c r="AV132" s="154"/>
      <x:c r="AW132" s="152"/>
      <x:c r="AX132" s="154"/>
      <x:c r="AY132" s="154"/>
      <x:c r="AZ132" s="151"/>
      <x:c r="BA132" s="151"/>
    </x:row>
    <x:row r="133">
      <x:c r="A133" s="151" t="str">
        <x:f>IF(B133="","",TEXT(B133,"yyyymmdd")&amp;"-"&amp;TEXT(COUNTIF($B$5:B133,B133),"000"))</x:f>
      </x:c>
      <x:c r="B133" s="152"/>
      <x:c r="C133" s="153"/>
      <x:c r="D133" s="151" t="str">
        <x:f>IF(B133="","",'Configuracion'!$B$4)</x:f>
      </x:c>
      <x:c r="E133" s="154"/>
      <x:c r="F133" s="154"/>
      <x:c r="G133" s="151" t="str">
        <x:f>IFERROR(VLOOKUP(F133,'Base Sectores'!$A$5:$J$47,2,FALSE),"")</x:f>
      </x:c>
      <x:c r="H133" s="151" t="str">
        <x:f>IFERROR(VLOOKUP(F133,'Base Sectores'!$A$5:$J$47,3,FALSE),"")</x:f>
      </x:c>
      <x:c r="I133" s="151" t="str">
        <x:f>IFERROR(VLOOKUP(F133,'Base Sectores'!$A$5:$J$47,4,FALSE),"")</x:f>
      </x:c>
      <x:c r="J133" s="151" t="str">
        <x:f>IFERROR(VLOOKUP(F133,'Base Sectores'!$A$5:$J$47,5,FALSE),"")</x:f>
      </x:c>
      <x:c r="K133" s="151" t="str">
        <x:f>IFERROR(VLOOKUP(F133,'Base Sectores'!$A$5:$J$47,6,FALSE),"")</x:f>
      </x:c>
      <x:c r="L133" s="151" t="str">
        <x:f>IFERROR(VLOOKUP(F133,'Base Sectores'!$A$5:$J$47,7,FALSE),"")</x:f>
      </x:c>
      <x:c r="M133" s="151" t="str">
        <x:f>IFERROR(VLOOKUP(F133,'Base Sectores'!$A$5:$J$47,9,FALSE),"")</x:f>
      </x:c>
      <x:c r="N133" s="154"/>
      <x:c r="O133" s="151" t="str">
        <x:f>IFERROR(VLOOKUP(N133,'Configuracion'!$D$4:$H$15,2,FALSE),"")</x:f>
      </x:c>
      <x:c r="P133" s="151" t="str">
        <x:f>IFERROR(VLOOKUP(N133,'Configuracion'!$D$4:$H$15,3,FALSE),"")</x:f>
      </x:c>
      <x:c r="Q133" s="155"/>
      <x:c r="R133" s="156" t="str">
        <x:f>IFERROR(VLOOKUP(N133,'Configuracion'!$D$4:$H$15,4,FALSE),"")</x:f>
      </x:c>
      <x:c r="S133" s="153"/>
      <x:c r="T133" s="153"/>
      <x:c r="U133" s="156" t="str">
        <x:f>IF(OR(S133="",T133=""),"",MOD(T133-S133,1)*24)</x:f>
      </x:c>
      <x:c r="V133" s="154"/>
      <x:c r="W133" s="154"/>
      <x:c r="X133" s="151" t="str">
        <x:f>IFERROR(VLOOKUP(N133,'Configuracion'!$D$4:$H$15,5,FALSE),"")</x:f>
      </x:c>
      <x:c r="Y133" s="151" t="str">
        <x:f>IFERROR(VLOOKUP(V133,'Cuadrillas'!$A$5:$J$14,2,FALSE),"")</x:f>
      </x:c>
      <x:c r="Z133" s="154"/>
      <x:c r="AA133" s="154"/>
      <x:c r="AB133" s="154"/>
      <x:c r="AC133" s="153"/>
      <x:c r="AD133" s="153"/>
      <x:c r="AE133" s="156" t="str">
        <x:f>IF(OR(AC133="",AD133=""),"",MOD(AD133-AC133,1)*24)</x:f>
      </x:c>
      <x:c r="AF133" s="154"/>
      <x:c r="AG133" s="156" t="str">
        <x:f>IF(AE133="","",MAX(0,AE133-IF(AF133="",0,AF133/60)))</x:f>
      </x:c>
      <x:c r="AH133" s="155"/>
      <x:c r="AI133" s="154"/>
      <x:c r="AJ133" s="154"/>
      <x:c r="AK133" s="156" t="n">
        <x:f>IFERROR(U133*W133,"")</x:f>
        <x:v>0</x:v>
      </x:c>
      <x:c r="AL133" s="156" t="n">
        <x:f>IFERROR(AE133*AI133,"")</x:f>
        <x:v>0</x:v>
      </x:c>
      <x:c r="AM133" s="157" t="str">
        <x:f>IFERROR(AH133/Q133,"")</x:f>
      </x:c>
      <x:c r="AN133" s="156" t="str">
        <x:f>IFERROR(AH133/AG133,"")</x:f>
      </x:c>
      <x:c r="AO133" s="156" t="str">
        <x:f>IFERROR(AL133/AH133,"")</x:f>
      </x:c>
      <x:c r="AP133" s="157" t="str">
        <x:f>IFERROR(AG133/AE133,"")</x:f>
      </x:c>
      <x:c r="AQ133" s="157" t="str">
        <x:f>IFERROR(AN133/(R133/'Configuracion'!$B$13),"")</x:f>
      </x:c>
      <x:c r="AR133" s="156" t="n">
        <x:f>IFERROR(AE133-U133,"")</x:f>
        <x:v>0</x:v>
      </x:c>
      <x:c r="AS133" s="154"/>
      <x:c r="AT133" s="154"/>
      <x:c r="AU133" s="154"/>
      <x:c r="AV133" s="154"/>
      <x:c r="AW133" s="152"/>
      <x:c r="AX133" s="154"/>
      <x:c r="AY133" s="154"/>
      <x:c r="AZ133" s="151"/>
      <x:c r="BA133" s="151"/>
    </x:row>
    <x:row r="134">
      <x:c r="A134" s="151" t="str">
        <x:f>IF(B134="","",TEXT(B134,"yyyymmdd")&amp;"-"&amp;TEXT(COUNTIF($B$5:B134,B134),"000"))</x:f>
      </x:c>
      <x:c r="B134" s="152"/>
      <x:c r="C134" s="153"/>
      <x:c r="D134" s="151" t="str">
        <x:f>IF(B134="","",'Configuracion'!$B$4)</x:f>
      </x:c>
      <x:c r="E134" s="154"/>
      <x:c r="F134" s="154"/>
      <x:c r="G134" s="151" t="str">
        <x:f>IFERROR(VLOOKUP(F134,'Base Sectores'!$A$5:$J$47,2,FALSE),"")</x:f>
      </x:c>
      <x:c r="H134" s="151" t="str">
        <x:f>IFERROR(VLOOKUP(F134,'Base Sectores'!$A$5:$J$47,3,FALSE),"")</x:f>
      </x:c>
      <x:c r="I134" s="151" t="str">
        <x:f>IFERROR(VLOOKUP(F134,'Base Sectores'!$A$5:$J$47,4,FALSE),"")</x:f>
      </x:c>
      <x:c r="J134" s="151" t="str">
        <x:f>IFERROR(VLOOKUP(F134,'Base Sectores'!$A$5:$J$47,5,FALSE),"")</x:f>
      </x:c>
      <x:c r="K134" s="151" t="str">
        <x:f>IFERROR(VLOOKUP(F134,'Base Sectores'!$A$5:$J$47,6,FALSE),"")</x:f>
      </x:c>
      <x:c r="L134" s="151" t="str">
        <x:f>IFERROR(VLOOKUP(F134,'Base Sectores'!$A$5:$J$47,7,FALSE),"")</x:f>
      </x:c>
      <x:c r="M134" s="151" t="str">
        <x:f>IFERROR(VLOOKUP(F134,'Base Sectores'!$A$5:$J$47,9,FALSE),"")</x:f>
      </x:c>
      <x:c r="N134" s="154"/>
      <x:c r="O134" s="151" t="str">
        <x:f>IFERROR(VLOOKUP(N134,'Configuracion'!$D$4:$H$15,2,FALSE),"")</x:f>
      </x:c>
      <x:c r="P134" s="151" t="str">
        <x:f>IFERROR(VLOOKUP(N134,'Configuracion'!$D$4:$H$15,3,FALSE),"")</x:f>
      </x:c>
      <x:c r="Q134" s="155"/>
      <x:c r="R134" s="156" t="str">
        <x:f>IFERROR(VLOOKUP(N134,'Configuracion'!$D$4:$H$15,4,FALSE),"")</x:f>
      </x:c>
      <x:c r="S134" s="153"/>
      <x:c r="T134" s="153"/>
      <x:c r="U134" s="156" t="str">
        <x:f>IF(OR(S134="",T134=""),"",MOD(T134-S134,1)*24)</x:f>
      </x:c>
      <x:c r="V134" s="154"/>
      <x:c r="W134" s="154"/>
      <x:c r="X134" s="151" t="str">
        <x:f>IFERROR(VLOOKUP(N134,'Configuracion'!$D$4:$H$15,5,FALSE),"")</x:f>
      </x:c>
      <x:c r="Y134" s="151" t="str">
        <x:f>IFERROR(VLOOKUP(V134,'Cuadrillas'!$A$5:$J$14,2,FALSE),"")</x:f>
      </x:c>
      <x:c r="Z134" s="154"/>
      <x:c r="AA134" s="154"/>
      <x:c r="AB134" s="154"/>
      <x:c r="AC134" s="153"/>
      <x:c r="AD134" s="153"/>
      <x:c r="AE134" s="156" t="str">
        <x:f>IF(OR(AC134="",AD134=""),"",MOD(AD134-AC134,1)*24)</x:f>
      </x:c>
      <x:c r="AF134" s="154"/>
      <x:c r="AG134" s="156" t="str">
        <x:f>IF(AE134="","",MAX(0,AE134-IF(AF134="",0,AF134/60)))</x:f>
      </x:c>
      <x:c r="AH134" s="155"/>
      <x:c r="AI134" s="154"/>
      <x:c r="AJ134" s="154"/>
      <x:c r="AK134" s="156" t="n">
        <x:f>IFERROR(U134*W134,"")</x:f>
        <x:v>0</x:v>
      </x:c>
      <x:c r="AL134" s="156" t="n">
        <x:f>IFERROR(AE134*AI134,"")</x:f>
        <x:v>0</x:v>
      </x:c>
      <x:c r="AM134" s="157" t="str">
        <x:f>IFERROR(AH134/Q134,"")</x:f>
      </x:c>
      <x:c r="AN134" s="156" t="str">
        <x:f>IFERROR(AH134/AG134,"")</x:f>
      </x:c>
      <x:c r="AO134" s="156" t="str">
        <x:f>IFERROR(AL134/AH134,"")</x:f>
      </x:c>
      <x:c r="AP134" s="157" t="str">
        <x:f>IFERROR(AG134/AE134,"")</x:f>
      </x:c>
      <x:c r="AQ134" s="157" t="str">
        <x:f>IFERROR(AN134/(R134/'Configuracion'!$B$13),"")</x:f>
      </x:c>
      <x:c r="AR134" s="156" t="n">
        <x:f>IFERROR(AE134-U134,"")</x:f>
        <x:v>0</x:v>
      </x:c>
      <x:c r="AS134" s="154"/>
      <x:c r="AT134" s="154"/>
      <x:c r="AU134" s="154"/>
      <x:c r="AV134" s="154"/>
      <x:c r="AW134" s="152"/>
      <x:c r="AX134" s="154"/>
      <x:c r="AY134" s="154"/>
      <x:c r="AZ134" s="151"/>
      <x:c r="BA134" s="151"/>
    </x:row>
    <x:row r="135">
      <x:c r="A135" s="151" t="str">
        <x:f>IF(B135="","",TEXT(B135,"yyyymmdd")&amp;"-"&amp;TEXT(COUNTIF($B$5:B135,B135),"000"))</x:f>
      </x:c>
      <x:c r="B135" s="152"/>
      <x:c r="C135" s="153"/>
      <x:c r="D135" s="151" t="str">
        <x:f>IF(B135="","",'Configuracion'!$B$4)</x:f>
      </x:c>
      <x:c r="E135" s="154"/>
      <x:c r="F135" s="154"/>
      <x:c r="G135" s="151" t="str">
        <x:f>IFERROR(VLOOKUP(F135,'Base Sectores'!$A$5:$J$47,2,FALSE),"")</x:f>
      </x:c>
      <x:c r="H135" s="151" t="str">
        <x:f>IFERROR(VLOOKUP(F135,'Base Sectores'!$A$5:$J$47,3,FALSE),"")</x:f>
      </x:c>
      <x:c r="I135" s="151" t="str">
        <x:f>IFERROR(VLOOKUP(F135,'Base Sectores'!$A$5:$J$47,4,FALSE),"")</x:f>
      </x:c>
      <x:c r="J135" s="151" t="str">
        <x:f>IFERROR(VLOOKUP(F135,'Base Sectores'!$A$5:$J$47,5,FALSE),"")</x:f>
      </x:c>
      <x:c r="K135" s="151" t="str">
        <x:f>IFERROR(VLOOKUP(F135,'Base Sectores'!$A$5:$J$47,6,FALSE),"")</x:f>
      </x:c>
      <x:c r="L135" s="151" t="str">
        <x:f>IFERROR(VLOOKUP(F135,'Base Sectores'!$A$5:$J$47,7,FALSE),"")</x:f>
      </x:c>
      <x:c r="M135" s="151" t="str">
        <x:f>IFERROR(VLOOKUP(F135,'Base Sectores'!$A$5:$J$47,9,FALSE),"")</x:f>
      </x:c>
      <x:c r="N135" s="154"/>
      <x:c r="O135" s="151" t="str">
        <x:f>IFERROR(VLOOKUP(N135,'Configuracion'!$D$4:$H$15,2,FALSE),"")</x:f>
      </x:c>
      <x:c r="P135" s="151" t="str">
        <x:f>IFERROR(VLOOKUP(N135,'Configuracion'!$D$4:$H$15,3,FALSE),"")</x:f>
      </x:c>
      <x:c r="Q135" s="155"/>
      <x:c r="R135" s="156" t="str">
        <x:f>IFERROR(VLOOKUP(N135,'Configuracion'!$D$4:$H$15,4,FALSE),"")</x:f>
      </x:c>
      <x:c r="S135" s="153"/>
      <x:c r="T135" s="153"/>
      <x:c r="U135" s="156" t="str">
        <x:f>IF(OR(S135="",T135=""),"",MOD(T135-S135,1)*24)</x:f>
      </x:c>
      <x:c r="V135" s="154"/>
      <x:c r="W135" s="154"/>
      <x:c r="X135" s="151" t="str">
        <x:f>IFERROR(VLOOKUP(N135,'Configuracion'!$D$4:$H$15,5,FALSE),"")</x:f>
      </x:c>
      <x:c r="Y135" s="151" t="str">
        <x:f>IFERROR(VLOOKUP(V135,'Cuadrillas'!$A$5:$J$14,2,FALSE),"")</x:f>
      </x:c>
      <x:c r="Z135" s="154"/>
      <x:c r="AA135" s="154"/>
      <x:c r="AB135" s="154"/>
      <x:c r="AC135" s="153"/>
      <x:c r="AD135" s="153"/>
      <x:c r="AE135" s="156" t="str">
        <x:f>IF(OR(AC135="",AD135=""),"",MOD(AD135-AC135,1)*24)</x:f>
      </x:c>
      <x:c r="AF135" s="154"/>
      <x:c r="AG135" s="156" t="str">
        <x:f>IF(AE135="","",MAX(0,AE135-IF(AF135="",0,AF135/60)))</x:f>
      </x:c>
      <x:c r="AH135" s="155"/>
      <x:c r="AI135" s="154"/>
      <x:c r="AJ135" s="154"/>
      <x:c r="AK135" s="156" t="n">
        <x:f>IFERROR(U135*W135,"")</x:f>
        <x:v>0</x:v>
      </x:c>
      <x:c r="AL135" s="156" t="n">
        <x:f>IFERROR(AE135*AI135,"")</x:f>
        <x:v>0</x:v>
      </x:c>
      <x:c r="AM135" s="157" t="str">
        <x:f>IFERROR(AH135/Q135,"")</x:f>
      </x:c>
      <x:c r="AN135" s="156" t="str">
        <x:f>IFERROR(AH135/AG135,"")</x:f>
      </x:c>
      <x:c r="AO135" s="156" t="str">
        <x:f>IFERROR(AL135/AH135,"")</x:f>
      </x:c>
      <x:c r="AP135" s="157" t="str">
        <x:f>IFERROR(AG135/AE135,"")</x:f>
      </x:c>
      <x:c r="AQ135" s="157" t="str">
        <x:f>IFERROR(AN135/(R135/'Configuracion'!$B$13),"")</x:f>
      </x:c>
      <x:c r="AR135" s="156" t="n">
        <x:f>IFERROR(AE135-U135,"")</x:f>
        <x:v>0</x:v>
      </x:c>
      <x:c r="AS135" s="154"/>
      <x:c r="AT135" s="154"/>
      <x:c r="AU135" s="154"/>
      <x:c r="AV135" s="154"/>
      <x:c r="AW135" s="152"/>
      <x:c r="AX135" s="154"/>
      <x:c r="AY135" s="154"/>
      <x:c r="AZ135" s="151"/>
      <x:c r="BA135" s="151"/>
    </x:row>
    <x:row r="136">
      <x:c r="A136" s="151" t="str">
        <x:f>IF(B136="","",TEXT(B136,"yyyymmdd")&amp;"-"&amp;TEXT(COUNTIF($B$5:B136,B136),"000"))</x:f>
      </x:c>
      <x:c r="B136" s="152"/>
      <x:c r="C136" s="153"/>
      <x:c r="D136" s="151" t="str">
        <x:f>IF(B136="","",'Configuracion'!$B$4)</x:f>
      </x:c>
      <x:c r="E136" s="154"/>
      <x:c r="F136" s="154"/>
      <x:c r="G136" s="151" t="str">
        <x:f>IFERROR(VLOOKUP(F136,'Base Sectores'!$A$5:$J$47,2,FALSE),"")</x:f>
      </x:c>
      <x:c r="H136" s="151" t="str">
        <x:f>IFERROR(VLOOKUP(F136,'Base Sectores'!$A$5:$J$47,3,FALSE),"")</x:f>
      </x:c>
      <x:c r="I136" s="151" t="str">
        <x:f>IFERROR(VLOOKUP(F136,'Base Sectores'!$A$5:$J$47,4,FALSE),"")</x:f>
      </x:c>
      <x:c r="J136" s="151" t="str">
        <x:f>IFERROR(VLOOKUP(F136,'Base Sectores'!$A$5:$J$47,5,FALSE),"")</x:f>
      </x:c>
      <x:c r="K136" s="151" t="str">
        <x:f>IFERROR(VLOOKUP(F136,'Base Sectores'!$A$5:$J$47,6,FALSE),"")</x:f>
      </x:c>
      <x:c r="L136" s="151" t="str">
        <x:f>IFERROR(VLOOKUP(F136,'Base Sectores'!$A$5:$J$47,7,FALSE),"")</x:f>
      </x:c>
      <x:c r="M136" s="151" t="str">
        <x:f>IFERROR(VLOOKUP(F136,'Base Sectores'!$A$5:$J$47,9,FALSE),"")</x:f>
      </x:c>
      <x:c r="N136" s="154"/>
      <x:c r="O136" s="151" t="str">
        <x:f>IFERROR(VLOOKUP(N136,'Configuracion'!$D$4:$H$15,2,FALSE),"")</x:f>
      </x:c>
      <x:c r="P136" s="151" t="str">
        <x:f>IFERROR(VLOOKUP(N136,'Configuracion'!$D$4:$H$15,3,FALSE),"")</x:f>
      </x:c>
      <x:c r="Q136" s="155"/>
      <x:c r="R136" s="156" t="str">
        <x:f>IFERROR(VLOOKUP(N136,'Configuracion'!$D$4:$H$15,4,FALSE),"")</x:f>
      </x:c>
      <x:c r="S136" s="153"/>
      <x:c r="T136" s="153"/>
      <x:c r="U136" s="156" t="str">
        <x:f>IF(OR(S136="",T136=""),"",MOD(T136-S136,1)*24)</x:f>
      </x:c>
      <x:c r="V136" s="154"/>
      <x:c r="W136" s="154"/>
      <x:c r="X136" s="151" t="str">
        <x:f>IFERROR(VLOOKUP(N136,'Configuracion'!$D$4:$H$15,5,FALSE),"")</x:f>
      </x:c>
      <x:c r="Y136" s="151" t="str">
        <x:f>IFERROR(VLOOKUP(V136,'Cuadrillas'!$A$5:$J$14,2,FALSE),"")</x:f>
      </x:c>
      <x:c r="Z136" s="154"/>
      <x:c r="AA136" s="154"/>
      <x:c r="AB136" s="154"/>
      <x:c r="AC136" s="153"/>
      <x:c r="AD136" s="153"/>
      <x:c r="AE136" s="156" t="str">
        <x:f>IF(OR(AC136="",AD136=""),"",MOD(AD136-AC136,1)*24)</x:f>
      </x:c>
      <x:c r="AF136" s="154"/>
      <x:c r="AG136" s="156" t="str">
        <x:f>IF(AE136="","",MAX(0,AE136-IF(AF136="",0,AF136/60)))</x:f>
      </x:c>
      <x:c r="AH136" s="155"/>
      <x:c r="AI136" s="154"/>
      <x:c r="AJ136" s="154"/>
      <x:c r="AK136" s="156" t="n">
        <x:f>IFERROR(U136*W136,"")</x:f>
        <x:v>0</x:v>
      </x:c>
      <x:c r="AL136" s="156" t="n">
        <x:f>IFERROR(AE136*AI136,"")</x:f>
        <x:v>0</x:v>
      </x:c>
      <x:c r="AM136" s="157" t="str">
        <x:f>IFERROR(AH136/Q136,"")</x:f>
      </x:c>
      <x:c r="AN136" s="156" t="str">
        <x:f>IFERROR(AH136/AG136,"")</x:f>
      </x:c>
      <x:c r="AO136" s="156" t="str">
        <x:f>IFERROR(AL136/AH136,"")</x:f>
      </x:c>
      <x:c r="AP136" s="157" t="str">
        <x:f>IFERROR(AG136/AE136,"")</x:f>
      </x:c>
      <x:c r="AQ136" s="157" t="str">
        <x:f>IFERROR(AN136/(R136/'Configuracion'!$B$13),"")</x:f>
      </x:c>
      <x:c r="AR136" s="156" t="n">
        <x:f>IFERROR(AE136-U136,"")</x:f>
        <x:v>0</x:v>
      </x:c>
      <x:c r="AS136" s="154"/>
      <x:c r="AT136" s="154"/>
      <x:c r="AU136" s="154"/>
      <x:c r="AV136" s="154"/>
      <x:c r="AW136" s="152"/>
      <x:c r="AX136" s="154"/>
      <x:c r="AY136" s="154"/>
      <x:c r="AZ136" s="151"/>
      <x:c r="BA136" s="151"/>
    </x:row>
    <x:row r="137">
      <x:c r="A137" s="151" t="str">
        <x:f>IF(B137="","",TEXT(B137,"yyyymmdd")&amp;"-"&amp;TEXT(COUNTIF($B$5:B137,B137),"000"))</x:f>
      </x:c>
      <x:c r="B137" s="152"/>
      <x:c r="C137" s="153"/>
      <x:c r="D137" s="151" t="str">
        <x:f>IF(B137="","",'Configuracion'!$B$4)</x:f>
      </x:c>
      <x:c r="E137" s="154"/>
      <x:c r="F137" s="154"/>
      <x:c r="G137" s="151" t="str">
        <x:f>IFERROR(VLOOKUP(F137,'Base Sectores'!$A$5:$J$47,2,FALSE),"")</x:f>
      </x:c>
      <x:c r="H137" s="151" t="str">
        <x:f>IFERROR(VLOOKUP(F137,'Base Sectores'!$A$5:$J$47,3,FALSE),"")</x:f>
      </x:c>
      <x:c r="I137" s="151" t="str">
        <x:f>IFERROR(VLOOKUP(F137,'Base Sectores'!$A$5:$J$47,4,FALSE),"")</x:f>
      </x:c>
      <x:c r="J137" s="151" t="str">
        <x:f>IFERROR(VLOOKUP(F137,'Base Sectores'!$A$5:$J$47,5,FALSE),"")</x:f>
      </x:c>
      <x:c r="K137" s="151" t="str">
        <x:f>IFERROR(VLOOKUP(F137,'Base Sectores'!$A$5:$J$47,6,FALSE),"")</x:f>
      </x:c>
      <x:c r="L137" s="151" t="str">
        <x:f>IFERROR(VLOOKUP(F137,'Base Sectores'!$A$5:$J$47,7,FALSE),"")</x:f>
      </x:c>
      <x:c r="M137" s="151" t="str">
        <x:f>IFERROR(VLOOKUP(F137,'Base Sectores'!$A$5:$J$47,9,FALSE),"")</x:f>
      </x:c>
      <x:c r="N137" s="154"/>
      <x:c r="O137" s="151" t="str">
        <x:f>IFERROR(VLOOKUP(N137,'Configuracion'!$D$4:$H$15,2,FALSE),"")</x:f>
      </x:c>
      <x:c r="P137" s="151" t="str">
        <x:f>IFERROR(VLOOKUP(N137,'Configuracion'!$D$4:$H$15,3,FALSE),"")</x:f>
      </x:c>
      <x:c r="Q137" s="155"/>
      <x:c r="R137" s="156" t="str">
        <x:f>IFERROR(VLOOKUP(N137,'Configuracion'!$D$4:$H$15,4,FALSE),"")</x:f>
      </x:c>
      <x:c r="S137" s="153"/>
      <x:c r="T137" s="153"/>
      <x:c r="U137" s="156" t="str">
        <x:f>IF(OR(S137="",T137=""),"",MOD(T137-S137,1)*24)</x:f>
      </x:c>
      <x:c r="V137" s="154"/>
      <x:c r="W137" s="154"/>
      <x:c r="X137" s="151" t="str">
        <x:f>IFERROR(VLOOKUP(N137,'Configuracion'!$D$4:$H$15,5,FALSE),"")</x:f>
      </x:c>
      <x:c r="Y137" s="151" t="str">
        <x:f>IFERROR(VLOOKUP(V137,'Cuadrillas'!$A$5:$J$14,2,FALSE),"")</x:f>
      </x:c>
      <x:c r="Z137" s="154"/>
      <x:c r="AA137" s="154"/>
      <x:c r="AB137" s="154"/>
      <x:c r="AC137" s="153"/>
      <x:c r="AD137" s="153"/>
      <x:c r="AE137" s="156" t="str">
        <x:f>IF(OR(AC137="",AD137=""),"",MOD(AD137-AC137,1)*24)</x:f>
      </x:c>
      <x:c r="AF137" s="154"/>
      <x:c r="AG137" s="156" t="str">
        <x:f>IF(AE137="","",MAX(0,AE137-IF(AF137="",0,AF137/60)))</x:f>
      </x:c>
      <x:c r="AH137" s="155"/>
      <x:c r="AI137" s="154"/>
      <x:c r="AJ137" s="154"/>
      <x:c r="AK137" s="156" t="n">
        <x:f>IFERROR(U137*W137,"")</x:f>
        <x:v>0</x:v>
      </x:c>
      <x:c r="AL137" s="156" t="n">
        <x:f>IFERROR(AE137*AI137,"")</x:f>
        <x:v>0</x:v>
      </x:c>
      <x:c r="AM137" s="157" t="str">
        <x:f>IFERROR(AH137/Q137,"")</x:f>
      </x:c>
      <x:c r="AN137" s="156" t="str">
        <x:f>IFERROR(AH137/AG137,"")</x:f>
      </x:c>
      <x:c r="AO137" s="156" t="str">
        <x:f>IFERROR(AL137/AH137,"")</x:f>
      </x:c>
      <x:c r="AP137" s="157" t="str">
        <x:f>IFERROR(AG137/AE137,"")</x:f>
      </x:c>
      <x:c r="AQ137" s="157" t="str">
        <x:f>IFERROR(AN137/(R137/'Configuracion'!$B$13),"")</x:f>
      </x:c>
      <x:c r="AR137" s="156" t="n">
        <x:f>IFERROR(AE137-U137,"")</x:f>
        <x:v>0</x:v>
      </x:c>
      <x:c r="AS137" s="154"/>
      <x:c r="AT137" s="154"/>
      <x:c r="AU137" s="154"/>
      <x:c r="AV137" s="154"/>
      <x:c r="AW137" s="152"/>
      <x:c r="AX137" s="154"/>
      <x:c r="AY137" s="154"/>
      <x:c r="AZ137" s="151"/>
      <x:c r="BA137" s="151"/>
    </x:row>
    <x:row r="138">
      <x:c r="A138" s="151" t="str">
        <x:f>IF(B138="","",TEXT(B138,"yyyymmdd")&amp;"-"&amp;TEXT(COUNTIF($B$5:B138,B138),"000"))</x:f>
      </x:c>
      <x:c r="B138" s="152"/>
      <x:c r="C138" s="153"/>
      <x:c r="D138" s="151" t="str">
        <x:f>IF(B138="","",'Configuracion'!$B$4)</x:f>
      </x:c>
      <x:c r="E138" s="154"/>
      <x:c r="F138" s="154"/>
      <x:c r="G138" s="151" t="str">
        <x:f>IFERROR(VLOOKUP(F138,'Base Sectores'!$A$5:$J$47,2,FALSE),"")</x:f>
      </x:c>
      <x:c r="H138" s="151" t="str">
        <x:f>IFERROR(VLOOKUP(F138,'Base Sectores'!$A$5:$J$47,3,FALSE),"")</x:f>
      </x:c>
      <x:c r="I138" s="151" t="str">
        <x:f>IFERROR(VLOOKUP(F138,'Base Sectores'!$A$5:$J$47,4,FALSE),"")</x:f>
      </x:c>
      <x:c r="J138" s="151" t="str">
        <x:f>IFERROR(VLOOKUP(F138,'Base Sectores'!$A$5:$J$47,5,FALSE),"")</x:f>
      </x:c>
      <x:c r="K138" s="151" t="str">
        <x:f>IFERROR(VLOOKUP(F138,'Base Sectores'!$A$5:$J$47,6,FALSE),"")</x:f>
      </x:c>
      <x:c r="L138" s="151" t="str">
        <x:f>IFERROR(VLOOKUP(F138,'Base Sectores'!$A$5:$J$47,7,FALSE),"")</x:f>
      </x:c>
      <x:c r="M138" s="151" t="str">
        <x:f>IFERROR(VLOOKUP(F138,'Base Sectores'!$A$5:$J$47,9,FALSE),"")</x:f>
      </x:c>
      <x:c r="N138" s="154"/>
      <x:c r="O138" s="151" t="str">
        <x:f>IFERROR(VLOOKUP(N138,'Configuracion'!$D$4:$H$15,2,FALSE),"")</x:f>
      </x:c>
      <x:c r="P138" s="151" t="str">
        <x:f>IFERROR(VLOOKUP(N138,'Configuracion'!$D$4:$H$15,3,FALSE),"")</x:f>
      </x:c>
      <x:c r="Q138" s="155"/>
      <x:c r="R138" s="156" t="str">
        <x:f>IFERROR(VLOOKUP(N138,'Configuracion'!$D$4:$H$15,4,FALSE),"")</x:f>
      </x:c>
      <x:c r="S138" s="153"/>
      <x:c r="T138" s="153"/>
      <x:c r="U138" s="156" t="str">
        <x:f>IF(OR(S138="",T138=""),"",MOD(T138-S138,1)*24)</x:f>
      </x:c>
      <x:c r="V138" s="154"/>
      <x:c r="W138" s="154"/>
      <x:c r="X138" s="151" t="str">
        <x:f>IFERROR(VLOOKUP(N138,'Configuracion'!$D$4:$H$15,5,FALSE),"")</x:f>
      </x:c>
      <x:c r="Y138" s="151" t="str">
        <x:f>IFERROR(VLOOKUP(V138,'Cuadrillas'!$A$5:$J$14,2,FALSE),"")</x:f>
      </x:c>
      <x:c r="Z138" s="154"/>
      <x:c r="AA138" s="154"/>
      <x:c r="AB138" s="154"/>
      <x:c r="AC138" s="153"/>
      <x:c r="AD138" s="153"/>
      <x:c r="AE138" s="156" t="str">
        <x:f>IF(OR(AC138="",AD138=""),"",MOD(AD138-AC138,1)*24)</x:f>
      </x:c>
      <x:c r="AF138" s="154"/>
      <x:c r="AG138" s="156" t="str">
        <x:f>IF(AE138="","",MAX(0,AE138-IF(AF138="",0,AF138/60)))</x:f>
      </x:c>
      <x:c r="AH138" s="155"/>
      <x:c r="AI138" s="154"/>
      <x:c r="AJ138" s="154"/>
      <x:c r="AK138" s="156" t="n">
        <x:f>IFERROR(U138*W138,"")</x:f>
        <x:v>0</x:v>
      </x:c>
      <x:c r="AL138" s="156" t="n">
        <x:f>IFERROR(AE138*AI138,"")</x:f>
        <x:v>0</x:v>
      </x:c>
      <x:c r="AM138" s="157" t="str">
        <x:f>IFERROR(AH138/Q138,"")</x:f>
      </x:c>
      <x:c r="AN138" s="156" t="str">
        <x:f>IFERROR(AH138/AG138,"")</x:f>
      </x:c>
      <x:c r="AO138" s="156" t="str">
        <x:f>IFERROR(AL138/AH138,"")</x:f>
      </x:c>
      <x:c r="AP138" s="157" t="str">
        <x:f>IFERROR(AG138/AE138,"")</x:f>
      </x:c>
      <x:c r="AQ138" s="157" t="str">
        <x:f>IFERROR(AN138/(R138/'Configuracion'!$B$13),"")</x:f>
      </x:c>
      <x:c r="AR138" s="156" t="n">
        <x:f>IFERROR(AE138-U138,"")</x:f>
        <x:v>0</x:v>
      </x:c>
      <x:c r="AS138" s="154"/>
      <x:c r="AT138" s="154"/>
      <x:c r="AU138" s="154"/>
      <x:c r="AV138" s="154"/>
      <x:c r="AW138" s="152"/>
      <x:c r="AX138" s="154"/>
      <x:c r="AY138" s="154"/>
      <x:c r="AZ138" s="151"/>
      <x:c r="BA138" s="151"/>
    </x:row>
    <x:row r="139">
      <x:c r="A139" s="151" t="str">
        <x:f>IF(B139="","",TEXT(B139,"yyyymmdd")&amp;"-"&amp;TEXT(COUNTIF($B$5:B139,B139),"000"))</x:f>
      </x:c>
      <x:c r="B139" s="152"/>
      <x:c r="C139" s="153"/>
      <x:c r="D139" s="151" t="str">
        <x:f>IF(B139="","",'Configuracion'!$B$4)</x:f>
      </x:c>
      <x:c r="E139" s="154"/>
      <x:c r="F139" s="154"/>
      <x:c r="G139" s="151" t="str">
        <x:f>IFERROR(VLOOKUP(F139,'Base Sectores'!$A$5:$J$47,2,FALSE),"")</x:f>
      </x:c>
      <x:c r="H139" s="151" t="str">
        <x:f>IFERROR(VLOOKUP(F139,'Base Sectores'!$A$5:$J$47,3,FALSE),"")</x:f>
      </x:c>
      <x:c r="I139" s="151" t="str">
        <x:f>IFERROR(VLOOKUP(F139,'Base Sectores'!$A$5:$J$47,4,FALSE),"")</x:f>
      </x:c>
      <x:c r="J139" s="151" t="str">
        <x:f>IFERROR(VLOOKUP(F139,'Base Sectores'!$A$5:$J$47,5,FALSE),"")</x:f>
      </x:c>
      <x:c r="K139" s="151" t="str">
        <x:f>IFERROR(VLOOKUP(F139,'Base Sectores'!$A$5:$J$47,6,FALSE),"")</x:f>
      </x:c>
      <x:c r="L139" s="151" t="str">
        <x:f>IFERROR(VLOOKUP(F139,'Base Sectores'!$A$5:$J$47,7,FALSE),"")</x:f>
      </x:c>
      <x:c r="M139" s="151" t="str">
        <x:f>IFERROR(VLOOKUP(F139,'Base Sectores'!$A$5:$J$47,9,FALSE),"")</x:f>
      </x:c>
      <x:c r="N139" s="154"/>
      <x:c r="O139" s="151" t="str">
        <x:f>IFERROR(VLOOKUP(N139,'Configuracion'!$D$4:$H$15,2,FALSE),"")</x:f>
      </x:c>
      <x:c r="P139" s="151" t="str">
        <x:f>IFERROR(VLOOKUP(N139,'Configuracion'!$D$4:$H$15,3,FALSE),"")</x:f>
      </x:c>
      <x:c r="Q139" s="155"/>
      <x:c r="R139" s="156" t="str">
        <x:f>IFERROR(VLOOKUP(N139,'Configuracion'!$D$4:$H$15,4,FALSE),"")</x:f>
      </x:c>
      <x:c r="S139" s="153"/>
      <x:c r="T139" s="153"/>
      <x:c r="U139" s="156" t="str">
        <x:f>IF(OR(S139="",T139=""),"",MOD(T139-S139,1)*24)</x:f>
      </x:c>
      <x:c r="V139" s="154"/>
      <x:c r="W139" s="154"/>
      <x:c r="X139" s="151" t="str">
        <x:f>IFERROR(VLOOKUP(N139,'Configuracion'!$D$4:$H$15,5,FALSE),"")</x:f>
      </x:c>
      <x:c r="Y139" s="151" t="str">
        <x:f>IFERROR(VLOOKUP(V139,'Cuadrillas'!$A$5:$J$14,2,FALSE),"")</x:f>
      </x:c>
      <x:c r="Z139" s="154"/>
      <x:c r="AA139" s="154"/>
      <x:c r="AB139" s="154"/>
      <x:c r="AC139" s="153"/>
      <x:c r="AD139" s="153"/>
      <x:c r="AE139" s="156" t="str">
        <x:f>IF(OR(AC139="",AD139=""),"",MOD(AD139-AC139,1)*24)</x:f>
      </x:c>
      <x:c r="AF139" s="154"/>
      <x:c r="AG139" s="156" t="str">
        <x:f>IF(AE139="","",MAX(0,AE139-IF(AF139="",0,AF139/60)))</x:f>
      </x:c>
      <x:c r="AH139" s="155"/>
      <x:c r="AI139" s="154"/>
      <x:c r="AJ139" s="154"/>
      <x:c r="AK139" s="156" t="n">
        <x:f>IFERROR(U139*W139,"")</x:f>
        <x:v>0</x:v>
      </x:c>
      <x:c r="AL139" s="156" t="n">
        <x:f>IFERROR(AE139*AI139,"")</x:f>
        <x:v>0</x:v>
      </x:c>
      <x:c r="AM139" s="157" t="str">
        <x:f>IFERROR(AH139/Q139,"")</x:f>
      </x:c>
      <x:c r="AN139" s="156" t="str">
        <x:f>IFERROR(AH139/AG139,"")</x:f>
      </x:c>
      <x:c r="AO139" s="156" t="str">
        <x:f>IFERROR(AL139/AH139,"")</x:f>
      </x:c>
      <x:c r="AP139" s="157" t="str">
        <x:f>IFERROR(AG139/AE139,"")</x:f>
      </x:c>
      <x:c r="AQ139" s="157" t="str">
        <x:f>IFERROR(AN139/(R139/'Configuracion'!$B$13),"")</x:f>
      </x:c>
      <x:c r="AR139" s="156" t="n">
        <x:f>IFERROR(AE139-U139,"")</x:f>
        <x:v>0</x:v>
      </x:c>
      <x:c r="AS139" s="154"/>
      <x:c r="AT139" s="154"/>
      <x:c r="AU139" s="154"/>
      <x:c r="AV139" s="154"/>
      <x:c r="AW139" s="152"/>
      <x:c r="AX139" s="154"/>
      <x:c r="AY139" s="154"/>
      <x:c r="AZ139" s="151"/>
      <x:c r="BA139" s="151"/>
    </x:row>
    <x:row r="140">
      <x:c r="A140" s="151" t="str">
        <x:f>IF(B140="","",TEXT(B140,"yyyymmdd")&amp;"-"&amp;TEXT(COUNTIF($B$5:B140,B140),"000"))</x:f>
      </x:c>
      <x:c r="B140" s="152"/>
      <x:c r="C140" s="153"/>
      <x:c r="D140" s="151" t="str">
        <x:f>IF(B140="","",'Configuracion'!$B$4)</x:f>
      </x:c>
      <x:c r="E140" s="154"/>
      <x:c r="F140" s="154"/>
      <x:c r="G140" s="151" t="str">
        <x:f>IFERROR(VLOOKUP(F140,'Base Sectores'!$A$5:$J$47,2,FALSE),"")</x:f>
      </x:c>
      <x:c r="H140" s="151" t="str">
        <x:f>IFERROR(VLOOKUP(F140,'Base Sectores'!$A$5:$J$47,3,FALSE),"")</x:f>
      </x:c>
      <x:c r="I140" s="151" t="str">
        <x:f>IFERROR(VLOOKUP(F140,'Base Sectores'!$A$5:$J$47,4,FALSE),"")</x:f>
      </x:c>
      <x:c r="J140" s="151" t="str">
        <x:f>IFERROR(VLOOKUP(F140,'Base Sectores'!$A$5:$J$47,5,FALSE),"")</x:f>
      </x:c>
      <x:c r="K140" s="151" t="str">
        <x:f>IFERROR(VLOOKUP(F140,'Base Sectores'!$A$5:$J$47,6,FALSE),"")</x:f>
      </x:c>
      <x:c r="L140" s="151" t="str">
        <x:f>IFERROR(VLOOKUP(F140,'Base Sectores'!$A$5:$J$47,7,FALSE),"")</x:f>
      </x:c>
      <x:c r="M140" s="151" t="str">
        <x:f>IFERROR(VLOOKUP(F140,'Base Sectores'!$A$5:$J$47,9,FALSE),"")</x:f>
      </x:c>
      <x:c r="N140" s="154"/>
      <x:c r="O140" s="151" t="str">
        <x:f>IFERROR(VLOOKUP(N140,'Configuracion'!$D$4:$H$15,2,FALSE),"")</x:f>
      </x:c>
      <x:c r="P140" s="151" t="str">
        <x:f>IFERROR(VLOOKUP(N140,'Configuracion'!$D$4:$H$15,3,FALSE),"")</x:f>
      </x:c>
      <x:c r="Q140" s="155"/>
      <x:c r="R140" s="156" t="str">
        <x:f>IFERROR(VLOOKUP(N140,'Configuracion'!$D$4:$H$15,4,FALSE),"")</x:f>
      </x:c>
      <x:c r="S140" s="153"/>
      <x:c r="T140" s="153"/>
      <x:c r="U140" s="156" t="str">
        <x:f>IF(OR(S140="",T140=""),"",MOD(T140-S140,1)*24)</x:f>
      </x:c>
      <x:c r="V140" s="154"/>
      <x:c r="W140" s="154"/>
      <x:c r="X140" s="151" t="str">
        <x:f>IFERROR(VLOOKUP(N140,'Configuracion'!$D$4:$H$15,5,FALSE),"")</x:f>
      </x:c>
      <x:c r="Y140" s="151" t="str">
        <x:f>IFERROR(VLOOKUP(V140,'Cuadrillas'!$A$5:$J$14,2,FALSE),"")</x:f>
      </x:c>
      <x:c r="Z140" s="154"/>
      <x:c r="AA140" s="154"/>
      <x:c r="AB140" s="154"/>
      <x:c r="AC140" s="153"/>
      <x:c r="AD140" s="153"/>
      <x:c r="AE140" s="156" t="str">
        <x:f>IF(OR(AC140="",AD140=""),"",MOD(AD140-AC140,1)*24)</x:f>
      </x:c>
      <x:c r="AF140" s="154"/>
      <x:c r="AG140" s="156" t="str">
        <x:f>IF(AE140="","",MAX(0,AE140-IF(AF140="",0,AF140/60)))</x:f>
      </x:c>
      <x:c r="AH140" s="155"/>
      <x:c r="AI140" s="154"/>
      <x:c r="AJ140" s="154"/>
      <x:c r="AK140" s="156" t="n">
        <x:f>IFERROR(U140*W140,"")</x:f>
        <x:v>0</x:v>
      </x:c>
      <x:c r="AL140" s="156" t="n">
        <x:f>IFERROR(AE140*AI140,"")</x:f>
        <x:v>0</x:v>
      </x:c>
      <x:c r="AM140" s="157" t="str">
        <x:f>IFERROR(AH140/Q140,"")</x:f>
      </x:c>
      <x:c r="AN140" s="156" t="str">
        <x:f>IFERROR(AH140/AG140,"")</x:f>
      </x:c>
      <x:c r="AO140" s="156" t="str">
        <x:f>IFERROR(AL140/AH140,"")</x:f>
      </x:c>
      <x:c r="AP140" s="157" t="str">
        <x:f>IFERROR(AG140/AE140,"")</x:f>
      </x:c>
      <x:c r="AQ140" s="157" t="str">
        <x:f>IFERROR(AN140/(R140/'Configuracion'!$B$13),"")</x:f>
      </x:c>
      <x:c r="AR140" s="156" t="n">
        <x:f>IFERROR(AE140-U140,"")</x:f>
        <x:v>0</x:v>
      </x:c>
      <x:c r="AS140" s="154"/>
      <x:c r="AT140" s="154"/>
      <x:c r="AU140" s="154"/>
      <x:c r="AV140" s="154"/>
      <x:c r="AW140" s="152"/>
      <x:c r="AX140" s="154"/>
      <x:c r="AY140" s="154"/>
      <x:c r="AZ140" s="151"/>
      <x:c r="BA140" s="151"/>
    </x:row>
    <x:row r="141">
      <x:c r="A141" s="151" t="str">
        <x:f>IF(B141="","",TEXT(B141,"yyyymmdd")&amp;"-"&amp;TEXT(COUNTIF($B$5:B141,B141),"000"))</x:f>
      </x:c>
      <x:c r="B141" s="152"/>
      <x:c r="C141" s="153"/>
      <x:c r="D141" s="151" t="str">
        <x:f>IF(B141="","",'Configuracion'!$B$4)</x:f>
      </x:c>
      <x:c r="E141" s="154"/>
      <x:c r="F141" s="154"/>
      <x:c r="G141" s="151" t="str">
        <x:f>IFERROR(VLOOKUP(F141,'Base Sectores'!$A$5:$J$47,2,FALSE),"")</x:f>
      </x:c>
      <x:c r="H141" s="151" t="str">
        <x:f>IFERROR(VLOOKUP(F141,'Base Sectores'!$A$5:$J$47,3,FALSE),"")</x:f>
      </x:c>
      <x:c r="I141" s="151" t="str">
        <x:f>IFERROR(VLOOKUP(F141,'Base Sectores'!$A$5:$J$47,4,FALSE),"")</x:f>
      </x:c>
      <x:c r="J141" s="151" t="str">
        <x:f>IFERROR(VLOOKUP(F141,'Base Sectores'!$A$5:$J$47,5,FALSE),"")</x:f>
      </x:c>
      <x:c r="K141" s="151" t="str">
        <x:f>IFERROR(VLOOKUP(F141,'Base Sectores'!$A$5:$J$47,6,FALSE),"")</x:f>
      </x:c>
      <x:c r="L141" s="151" t="str">
        <x:f>IFERROR(VLOOKUP(F141,'Base Sectores'!$A$5:$J$47,7,FALSE),"")</x:f>
      </x:c>
      <x:c r="M141" s="151" t="str">
        <x:f>IFERROR(VLOOKUP(F141,'Base Sectores'!$A$5:$J$47,9,FALSE),"")</x:f>
      </x:c>
      <x:c r="N141" s="154"/>
      <x:c r="O141" s="151" t="str">
        <x:f>IFERROR(VLOOKUP(N141,'Configuracion'!$D$4:$H$15,2,FALSE),"")</x:f>
      </x:c>
      <x:c r="P141" s="151" t="str">
        <x:f>IFERROR(VLOOKUP(N141,'Configuracion'!$D$4:$H$15,3,FALSE),"")</x:f>
      </x:c>
      <x:c r="Q141" s="155"/>
      <x:c r="R141" s="156" t="str">
        <x:f>IFERROR(VLOOKUP(N141,'Configuracion'!$D$4:$H$15,4,FALSE),"")</x:f>
      </x:c>
      <x:c r="S141" s="153"/>
      <x:c r="T141" s="153"/>
      <x:c r="U141" s="156" t="str">
        <x:f>IF(OR(S141="",T141=""),"",MOD(T141-S141,1)*24)</x:f>
      </x:c>
      <x:c r="V141" s="154"/>
      <x:c r="W141" s="154"/>
      <x:c r="X141" s="151" t="str">
        <x:f>IFERROR(VLOOKUP(N141,'Configuracion'!$D$4:$H$15,5,FALSE),"")</x:f>
      </x:c>
      <x:c r="Y141" s="151" t="str">
        <x:f>IFERROR(VLOOKUP(V141,'Cuadrillas'!$A$5:$J$14,2,FALSE),"")</x:f>
      </x:c>
      <x:c r="Z141" s="154"/>
      <x:c r="AA141" s="154"/>
      <x:c r="AB141" s="154"/>
      <x:c r="AC141" s="153"/>
      <x:c r="AD141" s="153"/>
      <x:c r="AE141" s="156" t="str">
        <x:f>IF(OR(AC141="",AD141=""),"",MOD(AD141-AC141,1)*24)</x:f>
      </x:c>
      <x:c r="AF141" s="154"/>
      <x:c r="AG141" s="156" t="str">
        <x:f>IF(AE141="","",MAX(0,AE141-IF(AF141="",0,AF141/60)))</x:f>
      </x:c>
      <x:c r="AH141" s="155"/>
      <x:c r="AI141" s="154"/>
      <x:c r="AJ141" s="154"/>
      <x:c r="AK141" s="156" t="n">
        <x:f>IFERROR(U141*W141,"")</x:f>
        <x:v>0</x:v>
      </x:c>
      <x:c r="AL141" s="156" t="n">
        <x:f>IFERROR(AE141*AI141,"")</x:f>
        <x:v>0</x:v>
      </x:c>
      <x:c r="AM141" s="157" t="str">
        <x:f>IFERROR(AH141/Q141,"")</x:f>
      </x:c>
      <x:c r="AN141" s="156" t="str">
        <x:f>IFERROR(AH141/AG141,"")</x:f>
      </x:c>
      <x:c r="AO141" s="156" t="str">
        <x:f>IFERROR(AL141/AH141,"")</x:f>
      </x:c>
      <x:c r="AP141" s="157" t="str">
        <x:f>IFERROR(AG141/AE141,"")</x:f>
      </x:c>
      <x:c r="AQ141" s="157" t="str">
        <x:f>IFERROR(AN141/(R141/'Configuracion'!$B$13),"")</x:f>
      </x:c>
      <x:c r="AR141" s="156" t="n">
        <x:f>IFERROR(AE141-U141,"")</x:f>
        <x:v>0</x:v>
      </x:c>
      <x:c r="AS141" s="154"/>
      <x:c r="AT141" s="154"/>
      <x:c r="AU141" s="154"/>
      <x:c r="AV141" s="154"/>
      <x:c r="AW141" s="152"/>
      <x:c r="AX141" s="154"/>
      <x:c r="AY141" s="154"/>
      <x:c r="AZ141" s="151"/>
      <x:c r="BA141" s="151"/>
    </x:row>
    <x:row r="142">
      <x:c r="A142" s="151" t="str">
        <x:f>IF(B142="","",TEXT(B142,"yyyymmdd")&amp;"-"&amp;TEXT(COUNTIF($B$5:B142,B142),"000"))</x:f>
      </x:c>
      <x:c r="B142" s="152"/>
      <x:c r="C142" s="153"/>
      <x:c r="D142" s="151" t="str">
        <x:f>IF(B142="","",'Configuracion'!$B$4)</x:f>
      </x:c>
      <x:c r="E142" s="154"/>
      <x:c r="F142" s="154"/>
      <x:c r="G142" s="151" t="str">
        <x:f>IFERROR(VLOOKUP(F142,'Base Sectores'!$A$5:$J$47,2,FALSE),"")</x:f>
      </x:c>
      <x:c r="H142" s="151" t="str">
        <x:f>IFERROR(VLOOKUP(F142,'Base Sectores'!$A$5:$J$47,3,FALSE),"")</x:f>
      </x:c>
      <x:c r="I142" s="151" t="str">
        <x:f>IFERROR(VLOOKUP(F142,'Base Sectores'!$A$5:$J$47,4,FALSE),"")</x:f>
      </x:c>
      <x:c r="J142" s="151" t="str">
        <x:f>IFERROR(VLOOKUP(F142,'Base Sectores'!$A$5:$J$47,5,FALSE),"")</x:f>
      </x:c>
      <x:c r="K142" s="151" t="str">
        <x:f>IFERROR(VLOOKUP(F142,'Base Sectores'!$A$5:$J$47,6,FALSE),"")</x:f>
      </x:c>
      <x:c r="L142" s="151" t="str">
        <x:f>IFERROR(VLOOKUP(F142,'Base Sectores'!$A$5:$J$47,7,FALSE),"")</x:f>
      </x:c>
      <x:c r="M142" s="151" t="str">
        <x:f>IFERROR(VLOOKUP(F142,'Base Sectores'!$A$5:$J$47,9,FALSE),"")</x:f>
      </x:c>
      <x:c r="N142" s="154"/>
      <x:c r="O142" s="151" t="str">
        <x:f>IFERROR(VLOOKUP(N142,'Configuracion'!$D$4:$H$15,2,FALSE),"")</x:f>
      </x:c>
      <x:c r="P142" s="151" t="str">
        <x:f>IFERROR(VLOOKUP(N142,'Configuracion'!$D$4:$H$15,3,FALSE),"")</x:f>
      </x:c>
      <x:c r="Q142" s="155"/>
      <x:c r="R142" s="156" t="str">
        <x:f>IFERROR(VLOOKUP(N142,'Configuracion'!$D$4:$H$15,4,FALSE),"")</x:f>
      </x:c>
      <x:c r="S142" s="153"/>
      <x:c r="T142" s="153"/>
      <x:c r="U142" s="156" t="str">
        <x:f>IF(OR(S142="",T142=""),"",MOD(T142-S142,1)*24)</x:f>
      </x:c>
      <x:c r="V142" s="154"/>
      <x:c r="W142" s="154"/>
      <x:c r="X142" s="151" t="str">
        <x:f>IFERROR(VLOOKUP(N142,'Configuracion'!$D$4:$H$15,5,FALSE),"")</x:f>
      </x:c>
      <x:c r="Y142" s="151" t="str">
        <x:f>IFERROR(VLOOKUP(V142,'Cuadrillas'!$A$5:$J$14,2,FALSE),"")</x:f>
      </x:c>
      <x:c r="Z142" s="154"/>
      <x:c r="AA142" s="154"/>
      <x:c r="AB142" s="154"/>
      <x:c r="AC142" s="153"/>
      <x:c r="AD142" s="153"/>
      <x:c r="AE142" s="156" t="str">
        <x:f>IF(OR(AC142="",AD142=""),"",MOD(AD142-AC142,1)*24)</x:f>
      </x:c>
      <x:c r="AF142" s="154"/>
      <x:c r="AG142" s="156" t="str">
        <x:f>IF(AE142="","",MAX(0,AE142-IF(AF142="",0,AF142/60)))</x:f>
      </x:c>
      <x:c r="AH142" s="155"/>
      <x:c r="AI142" s="154"/>
      <x:c r="AJ142" s="154"/>
      <x:c r="AK142" s="156" t="n">
        <x:f>IFERROR(U142*W142,"")</x:f>
        <x:v>0</x:v>
      </x:c>
      <x:c r="AL142" s="156" t="n">
        <x:f>IFERROR(AE142*AI142,"")</x:f>
        <x:v>0</x:v>
      </x:c>
      <x:c r="AM142" s="157" t="str">
        <x:f>IFERROR(AH142/Q142,"")</x:f>
      </x:c>
      <x:c r="AN142" s="156" t="str">
        <x:f>IFERROR(AH142/AG142,"")</x:f>
      </x:c>
      <x:c r="AO142" s="156" t="str">
        <x:f>IFERROR(AL142/AH142,"")</x:f>
      </x:c>
      <x:c r="AP142" s="157" t="str">
        <x:f>IFERROR(AG142/AE142,"")</x:f>
      </x:c>
      <x:c r="AQ142" s="157" t="str">
        <x:f>IFERROR(AN142/(R142/'Configuracion'!$B$13),"")</x:f>
      </x:c>
      <x:c r="AR142" s="156" t="n">
        <x:f>IFERROR(AE142-U142,"")</x:f>
        <x:v>0</x:v>
      </x:c>
      <x:c r="AS142" s="154"/>
      <x:c r="AT142" s="154"/>
      <x:c r="AU142" s="154"/>
      <x:c r="AV142" s="154"/>
      <x:c r="AW142" s="152"/>
      <x:c r="AX142" s="154"/>
      <x:c r="AY142" s="154"/>
      <x:c r="AZ142" s="151"/>
      <x:c r="BA142" s="151"/>
    </x:row>
    <x:row r="143">
      <x:c r="A143" s="151" t="str">
        <x:f>IF(B143="","",TEXT(B143,"yyyymmdd")&amp;"-"&amp;TEXT(COUNTIF($B$5:B143,B143),"000"))</x:f>
      </x:c>
      <x:c r="B143" s="152"/>
      <x:c r="C143" s="153"/>
      <x:c r="D143" s="151" t="str">
        <x:f>IF(B143="","",'Configuracion'!$B$4)</x:f>
      </x:c>
      <x:c r="E143" s="154"/>
      <x:c r="F143" s="154"/>
      <x:c r="G143" s="151" t="str">
        <x:f>IFERROR(VLOOKUP(F143,'Base Sectores'!$A$5:$J$47,2,FALSE),"")</x:f>
      </x:c>
      <x:c r="H143" s="151" t="str">
        <x:f>IFERROR(VLOOKUP(F143,'Base Sectores'!$A$5:$J$47,3,FALSE),"")</x:f>
      </x:c>
      <x:c r="I143" s="151" t="str">
        <x:f>IFERROR(VLOOKUP(F143,'Base Sectores'!$A$5:$J$47,4,FALSE),"")</x:f>
      </x:c>
      <x:c r="J143" s="151" t="str">
        <x:f>IFERROR(VLOOKUP(F143,'Base Sectores'!$A$5:$J$47,5,FALSE),"")</x:f>
      </x:c>
      <x:c r="K143" s="151" t="str">
        <x:f>IFERROR(VLOOKUP(F143,'Base Sectores'!$A$5:$J$47,6,FALSE),"")</x:f>
      </x:c>
      <x:c r="L143" s="151" t="str">
        <x:f>IFERROR(VLOOKUP(F143,'Base Sectores'!$A$5:$J$47,7,FALSE),"")</x:f>
      </x:c>
      <x:c r="M143" s="151" t="str">
        <x:f>IFERROR(VLOOKUP(F143,'Base Sectores'!$A$5:$J$47,9,FALSE),"")</x:f>
      </x:c>
      <x:c r="N143" s="154"/>
      <x:c r="O143" s="151" t="str">
        <x:f>IFERROR(VLOOKUP(N143,'Configuracion'!$D$4:$H$15,2,FALSE),"")</x:f>
      </x:c>
      <x:c r="P143" s="151" t="str">
        <x:f>IFERROR(VLOOKUP(N143,'Configuracion'!$D$4:$H$15,3,FALSE),"")</x:f>
      </x:c>
      <x:c r="Q143" s="155"/>
      <x:c r="R143" s="156" t="str">
        <x:f>IFERROR(VLOOKUP(N143,'Configuracion'!$D$4:$H$15,4,FALSE),"")</x:f>
      </x:c>
      <x:c r="S143" s="153"/>
      <x:c r="T143" s="153"/>
      <x:c r="U143" s="156" t="str">
        <x:f>IF(OR(S143="",T143=""),"",MOD(T143-S143,1)*24)</x:f>
      </x:c>
      <x:c r="V143" s="154"/>
      <x:c r="W143" s="154"/>
      <x:c r="X143" s="151" t="str">
        <x:f>IFERROR(VLOOKUP(N143,'Configuracion'!$D$4:$H$15,5,FALSE),"")</x:f>
      </x:c>
      <x:c r="Y143" s="151" t="str">
        <x:f>IFERROR(VLOOKUP(V143,'Cuadrillas'!$A$5:$J$14,2,FALSE),"")</x:f>
      </x:c>
      <x:c r="Z143" s="154"/>
      <x:c r="AA143" s="154"/>
      <x:c r="AB143" s="154"/>
      <x:c r="AC143" s="153"/>
      <x:c r="AD143" s="153"/>
      <x:c r="AE143" s="156" t="str">
        <x:f>IF(OR(AC143="",AD143=""),"",MOD(AD143-AC143,1)*24)</x:f>
      </x:c>
      <x:c r="AF143" s="154"/>
      <x:c r="AG143" s="156" t="str">
        <x:f>IF(AE143="","",MAX(0,AE143-IF(AF143="",0,AF143/60)))</x:f>
      </x:c>
      <x:c r="AH143" s="155"/>
      <x:c r="AI143" s="154"/>
      <x:c r="AJ143" s="154"/>
      <x:c r="AK143" s="156" t="n">
        <x:f>IFERROR(U143*W143,"")</x:f>
        <x:v>0</x:v>
      </x:c>
      <x:c r="AL143" s="156" t="n">
        <x:f>IFERROR(AE143*AI143,"")</x:f>
        <x:v>0</x:v>
      </x:c>
      <x:c r="AM143" s="157" t="str">
        <x:f>IFERROR(AH143/Q143,"")</x:f>
      </x:c>
      <x:c r="AN143" s="156" t="str">
        <x:f>IFERROR(AH143/AG143,"")</x:f>
      </x:c>
      <x:c r="AO143" s="156" t="str">
        <x:f>IFERROR(AL143/AH143,"")</x:f>
      </x:c>
      <x:c r="AP143" s="157" t="str">
        <x:f>IFERROR(AG143/AE143,"")</x:f>
      </x:c>
      <x:c r="AQ143" s="157" t="str">
        <x:f>IFERROR(AN143/(R143/'Configuracion'!$B$13),"")</x:f>
      </x:c>
      <x:c r="AR143" s="156" t="n">
        <x:f>IFERROR(AE143-U143,"")</x:f>
        <x:v>0</x:v>
      </x:c>
      <x:c r="AS143" s="154"/>
      <x:c r="AT143" s="154"/>
      <x:c r="AU143" s="154"/>
      <x:c r="AV143" s="154"/>
      <x:c r="AW143" s="152"/>
      <x:c r="AX143" s="154"/>
      <x:c r="AY143" s="154"/>
      <x:c r="AZ143" s="151"/>
      <x:c r="BA143" s="151"/>
    </x:row>
    <x:row r="144">
      <x:c r="A144" s="151" t="str">
        <x:f>IF(B144="","",TEXT(B144,"yyyymmdd")&amp;"-"&amp;TEXT(COUNTIF($B$5:B144,B144),"000"))</x:f>
      </x:c>
      <x:c r="B144" s="152"/>
      <x:c r="C144" s="153"/>
      <x:c r="D144" s="151" t="str">
        <x:f>IF(B144="","",'Configuracion'!$B$4)</x:f>
      </x:c>
      <x:c r="E144" s="154"/>
      <x:c r="F144" s="154"/>
      <x:c r="G144" s="151" t="str">
        <x:f>IFERROR(VLOOKUP(F144,'Base Sectores'!$A$5:$J$47,2,FALSE),"")</x:f>
      </x:c>
      <x:c r="H144" s="151" t="str">
        <x:f>IFERROR(VLOOKUP(F144,'Base Sectores'!$A$5:$J$47,3,FALSE),"")</x:f>
      </x:c>
      <x:c r="I144" s="151" t="str">
        <x:f>IFERROR(VLOOKUP(F144,'Base Sectores'!$A$5:$J$47,4,FALSE),"")</x:f>
      </x:c>
      <x:c r="J144" s="151" t="str">
        <x:f>IFERROR(VLOOKUP(F144,'Base Sectores'!$A$5:$J$47,5,FALSE),"")</x:f>
      </x:c>
      <x:c r="K144" s="151" t="str">
        <x:f>IFERROR(VLOOKUP(F144,'Base Sectores'!$A$5:$J$47,6,FALSE),"")</x:f>
      </x:c>
      <x:c r="L144" s="151" t="str">
        <x:f>IFERROR(VLOOKUP(F144,'Base Sectores'!$A$5:$J$47,7,FALSE),"")</x:f>
      </x:c>
      <x:c r="M144" s="151" t="str">
        <x:f>IFERROR(VLOOKUP(F144,'Base Sectores'!$A$5:$J$47,9,FALSE),"")</x:f>
      </x:c>
      <x:c r="N144" s="154"/>
      <x:c r="O144" s="151" t="str">
        <x:f>IFERROR(VLOOKUP(N144,'Configuracion'!$D$4:$H$15,2,FALSE),"")</x:f>
      </x:c>
      <x:c r="P144" s="151" t="str">
        <x:f>IFERROR(VLOOKUP(N144,'Configuracion'!$D$4:$H$15,3,FALSE),"")</x:f>
      </x:c>
      <x:c r="Q144" s="155"/>
      <x:c r="R144" s="156" t="str">
        <x:f>IFERROR(VLOOKUP(N144,'Configuracion'!$D$4:$H$15,4,FALSE),"")</x:f>
      </x:c>
      <x:c r="S144" s="153"/>
      <x:c r="T144" s="153"/>
      <x:c r="U144" s="156" t="str">
        <x:f>IF(OR(S144="",T144=""),"",MOD(T144-S144,1)*24)</x:f>
      </x:c>
      <x:c r="V144" s="154"/>
      <x:c r="W144" s="154"/>
      <x:c r="X144" s="151" t="str">
        <x:f>IFERROR(VLOOKUP(N144,'Configuracion'!$D$4:$H$15,5,FALSE),"")</x:f>
      </x:c>
      <x:c r="Y144" s="151" t="str">
        <x:f>IFERROR(VLOOKUP(V144,'Cuadrillas'!$A$5:$J$14,2,FALSE),"")</x:f>
      </x:c>
      <x:c r="Z144" s="154"/>
      <x:c r="AA144" s="154"/>
      <x:c r="AB144" s="154"/>
      <x:c r="AC144" s="153"/>
      <x:c r="AD144" s="153"/>
      <x:c r="AE144" s="156" t="str">
        <x:f>IF(OR(AC144="",AD144=""),"",MOD(AD144-AC144,1)*24)</x:f>
      </x:c>
      <x:c r="AF144" s="154"/>
      <x:c r="AG144" s="156" t="str">
        <x:f>IF(AE144="","",MAX(0,AE144-IF(AF144="",0,AF144/60)))</x:f>
      </x:c>
      <x:c r="AH144" s="155"/>
      <x:c r="AI144" s="154"/>
      <x:c r="AJ144" s="154"/>
      <x:c r="AK144" s="156" t="n">
        <x:f>IFERROR(U144*W144,"")</x:f>
        <x:v>0</x:v>
      </x:c>
      <x:c r="AL144" s="156" t="n">
        <x:f>IFERROR(AE144*AI144,"")</x:f>
        <x:v>0</x:v>
      </x:c>
      <x:c r="AM144" s="157" t="str">
        <x:f>IFERROR(AH144/Q144,"")</x:f>
      </x:c>
      <x:c r="AN144" s="156" t="str">
        <x:f>IFERROR(AH144/AG144,"")</x:f>
      </x:c>
      <x:c r="AO144" s="156" t="str">
        <x:f>IFERROR(AL144/AH144,"")</x:f>
      </x:c>
      <x:c r="AP144" s="157" t="str">
        <x:f>IFERROR(AG144/AE144,"")</x:f>
      </x:c>
      <x:c r="AQ144" s="157" t="str">
        <x:f>IFERROR(AN144/(R144/'Configuracion'!$B$13),"")</x:f>
      </x:c>
      <x:c r="AR144" s="156" t="n">
        <x:f>IFERROR(AE144-U144,"")</x:f>
        <x:v>0</x:v>
      </x:c>
      <x:c r="AS144" s="154"/>
      <x:c r="AT144" s="154"/>
      <x:c r="AU144" s="154"/>
      <x:c r="AV144" s="154"/>
      <x:c r="AW144" s="152"/>
      <x:c r="AX144" s="154"/>
      <x:c r="AY144" s="154"/>
      <x:c r="AZ144" s="151"/>
      <x:c r="BA144" s="151"/>
    </x:row>
    <x:row r="145">
      <x:c r="A145" s="151" t="str">
        <x:f>IF(B145="","",TEXT(B145,"yyyymmdd")&amp;"-"&amp;TEXT(COUNTIF($B$5:B145,B145),"000"))</x:f>
      </x:c>
      <x:c r="B145" s="152"/>
      <x:c r="C145" s="153"/>
      <x:c r="D145" s="151" t="str">
        <x:f>IF(B145="","",'Configuracion'!$B$4)</x:f>
      </x:c>
      <x:c r="E145" s="154"/>
      <x:c r="F145" s="154"/>
      <x:c r="G145" s="151" t="str">
        <x:f>IFERROR(VLOOKUP(F145,'Base Sectores'!$A$5:$J$47,2,FALSE),"")</x:f>
      </x:c>
      <x:c r="H145" s="151" t="str">
        <x:f>IFERROR(VLOOKUP(F145,'Base Sectores'!$A$5:$J$47,3,FALSE),"")</x:f>
      </x:c>
      <x:c r="I145" s="151" t="str">
        <x:f>IFERROR(VLOOKUP(F145,'Base Sectores'!$A$5:$J$47,4,FALSE),"")</x:f>
      </x:c>
      <x:c r="J145" s="151" t="str">
        <x:f>IFERROR(VLOOKUP(F145,'Base Sectores'!$A$5:$J$47,5,FALSE),"")</x:f>
      </x:c>
      <x:c r="K145" s="151" t="str">
        <x:f>IFERROR(VLOOKUP(F145,'Base Sectores'!$A$5:$J$47,6,FALSE),"")</x:f>
      </x:c>
      <x:c r="L145" s="151" t="str">
        <x:f>IFERROR(VLOOKUP(F145,'Base Sectores'!$A$5:$J$47,7,FALSE),"")</x:f>
      </x:c>
      <x:c r="M145" s="151" t="str">
        <x:f>IFERROR(VLOOKUP(F145,'Base Sectores'!$A$5:$J$47,9,FALSE),"")</x:f>
      </x:c>
      <x:c r="N145" s="154"/>
      <x:c r="O145" s="151" t="str">
        <x:f>IFERROR(VLOOKUP(N145,'Configuracion'!$D$4:$H$15,2,FALSE),"")</x:f>
      </x:c>
      <x:c r="P145" s="151" t="str">
        <x:f>IFERROR(VLOOKUP(N145,'Configuracion'!$D$4:$H$15,3,FALSE),"")</x:f>
      </x:c>
      <x:c r="Q145" s="155"/>
      <x:c r="R145" s="156" t="str">
        <x:f>IFERROR(VLOOKUP(N145,'Configuracion'!$D$4:$H$15,4,FALSE),"")</x:f>
      </x:c>
      <x:c r="S145" s="153"/>
      <x:c r="T145" s="153"/>
      <x:c r="U145" s="156" t="str">
        <x:f>IF(OR(S145="",T145=""),"",MOD(T145-S145,1)*24)</x:f>
      </x:c>
      <x:c r="V145" s="154"/>
      <x:c r="W145" s="154"/>
      <x:c r="X145" s="151" t="str">
        <x:f>IFERROR(VLOOKUP(N145,'Configuracion'!$D$4:$H$15,5,FALSE),"")</x:f>
      </x:c>
      <x:c r="Y145" s="151" t="str">
        <x:f>IFERROR(VLOOKUP(V145,'Cuadrillas'!$A$5:$J$14,2,FALSE),"")</x:f>
      </x:c>
      <x:c r="Z145" s="154"/>
      <x:c r="AA145" s="154"/>
      <x:c r="AB145" s="154"/>
      <x:c r="AC145" s="153"/>
      <x:c r="AD145" s="153"/>
      <x:c r="AE145" s="156" t="str">
        <x:f>IF(OR(AC145="",AD145=""),"",MOD(AD145-AC145,1)*24)</x:f>
      </x:c>
      <x:c r="AF145" s="154"/>
      <x:c r="AG145" s="156" t="str">
        <x:f>IF(AE145="","",MAX(0,AE145-IF(AF145="",0,AF145/60)))</x:f>
      </x:c>
      <x:c r="AH145" s="155"/>
      <x:c r="AI145" s="154"/>
      <x:c r="AJ145" s="154"/>
      <x:c r="AK145" s="156" t="n">
        <x:f>IFERROR(U145*W145,"")</x:f>
        <x:v>0</x:v>
      </x:c>
      <x:c r="AL145" s="156" t="n">
        <x:f>IFERROR(AE145*AI145,"")</x:f>
        <x:v>0</x:v>
      </x:c>
      <x:c r="AM145" s="157" t="str">
        <x:f>IFERROR(AH145/Q145,"")</x:f>
      </x:c>
      <x:c r="AN145" s="156" t="str">
        <x:f>IFERROR(AH145/AG145,"")</x:f>
      </x:c>
      <x:c r="AO145" s="156" t="str">
        <x:f>IFERROR(AL145/AH145,"")</x:f>
      </x:c>
      <x:c r="AP145" s="157" t="str">
        <x:f>IFERROR(AG145/AE145,"")</x:f>
      </x:c>
      <x:c r="AQ145" s="157" t="str">
        <x:f>IFERROR(AN145/(R145/'Configuracion'!$B$13),"")</x:f>
      </x:c>
      <x:c r="AR145" s="156" t="n">
        <x:f>IFERROR(AE145-U145,"")</x:f>
        <x:v>0</x:v>
      </x:c>
      <x:c r="AS145" s="154"/>
      <x:c r="AT145" s="154"/>
      <x:c r="AU145" s="154"/>
      <x:c r="AV145" s="154"/>
      <x:c r="AW145" s="152"/>
      <x:c r="AX145" s="154"/>
      <x:c r="AY145" s="154"/>
      <x:c r="AZ145" s="151"/>
      <x:c r="BA145" s="151"/>
    </x:row>
    <x:row r="146">
      <x:c r="A146" s="151" t="str">
        <x:f>IF(B146="","",TEXT(B146,"yyyymmdd")&amp;"-"&amp;TEXT(COUNTIF($B$5:B146,B146),"000"))</x:f>
      </x:c>
      <x:c r="B146" s="152"/>
      <x:c r="C146" s="153"/>
      <x:c r="D146" s="151" t="str">
        <x:f>IF(B146="","",'Configuracion'!$B$4)</x:f>
      </x:c>
      <x:c r="E146" s="154"/>
      <x:c r="F146" s="154"/>
      <x:c r="G146" s="151" t="str">
        <x:f>IFERROR(VLOOKUP(F146,'Base Sectores'!$A$5:$J$47,2,FALSE),"")</x:f>
      </x:c>
      <x:c r="H146" s="151" t="str">
        <x:f>IFERROR(VLOOKUP(F146,'Base Sectores'!$A$5:$J$47,3,FALSE),"")</x:f>
      </x:c>
      <x:c r="I146" s="151" t="str">
        <x:f>IFERROR(VLOOKUP(F146,'Base Sectores'!$A$5:$J$47,4,FALSE),"")</x:f>
      </x:c>
      <x:c r="J146" s="151" t="str">
        <x:f>IFERROR(VLOOKUP(F146,'Base Sectores'!$A$5:$J$47,5,FALSE),"")</x:f>
      </x:c>
      <x:c r="K146" s="151" t="str">
        <x:f>IFERROR(VLOOKUP(F146,'Base Sectores'!$A$5:$J$47,6,FALSE),"")</x:f>
      </x:c>
      <x:c r="L146" s="151" t="str">
        <x:f>IFERROR(VLOOKUP(F146,'Base Sectores'!$A$5:$J$47,7,FALSE),"")</x:f>
      </x:c>
      <x:c r="M146" s="151" t="str">
        <x:f>IFERROR(VLOOKUP(F146,'Base Sectores'!$A$5:$J$47,9,FALSE),"")</x:f>
      </x:c>
      <x:c r="N146" s="154"/>
      <x:c r="O146" s="151" t="str">
        <x:f>IFERROR(VLOOKUP(N146,'Configuracion'!$D$4:$H$15,2,FALSE),"")</x:f>
      </x:c>
      <x:c r="P146" s="151" t="str">
        <x:f>IFERROR(VLOOKUP(N146,'Configuracion'!$D$4:$H$15,3,FALSE),"")</x:f>
      </x:c>
      <x:c r="Q146" s="155"/>
      <x:c r="R146" s="156" t="str">
        <x:f>IFERROR(VLOOKUP(N146,'Configuracion'!$D$4:$H$15,4,FALSE),"")</x:f>
      </x:c>
      <x:c r="S146" s="153"/>
      <x:c r="T146" s="153"/>
      <x:c r="U146" s="156" t="str">
        <x:f>IF(OR(S146="",T146=""),"",MOD(T146-S146,1)*24)</x:f>
      </x:c>
      <x:c r="V146" s="154"/>
      <x:c r="W146" s="154"/>
      <x:c r="X146" s="151" t="str">
        <x:f>IFERROR(VLOOKUP(N146,'Configuracion'!$D$4:$H$15,5,FALSE),"")</x:f>
      </x:c>
      <x:c r="Y146" s="151" t="str">
        <x:f>IFERROR(VLOOKUP(V146,'Cuadrillas'!$A$5:$J$14,2,FALSE),"")</x:f>
      </x:c>
      <x:c r="Z146" s="154"/>
      <x:c r="AA146" s="154"/>
      <x:c r="AB146" s="154"/>
      <x:c r="AC146" s="153"/>
      <x:c r="AD146" s="153"/>
      <x:c r="AE146" s="156" t="str">
        <x:f>IF(OR(AC146="",AD146=""),"",MOD(AD146-AC146,1)*24)</x:f>
      </x:c>
      <x:c r="AF146" s="154"/>
      <x:c r="AG146" s="156" t="str">
        <x:f>IF(AE146="","",MAX(0,AE146-IF(AF146="",0,AF146/60)))</x:f>
      </x:c>
      <x:c r="AH146" s="155"/>
      <x:c r="AI146" s="154"/>
      <x:c r="AJ146" s="154"/>
      <x:c r="AK146" s="156" t="n">
        <x:f>IFERROR(U146*W146,"")</x:f>
        <x:v>0</x:v>
      </x:c>
      <x:c r="AL146" s="156" t="n">
        <x:f>IFERROR(AE146*AI146,"")</x:f>
        <x:v>0</x:v>
      </x:c>
      <x:c r="AM146" s="157" t="str">
        <x:f>IFERROR(AH146/Q146,"")</x:f>
      </x:c>
      <x:c r="AN146" s="156" t="str">
        <x:f>IFERROR(AH146/AG146,"")</x:f>
      </x:c>
      <x:c r="AO146" s="156" t="str">
        <x:f>IFERROR(AL146/AH146,"")</x:f>
      </x:c>
      <x:c r="AP146" s="157" t="str">
        <x:f>IFERROR(AG146/AE146,"")</x:f>
      </x:c>
      <x:c r="AQ146" s="157" t="str">
        <x:f>IFERROR(AN146/(R146/'Configuracion'!$B$13),"")</x:f>
      </x:c>
      <x:c r="AR146" s="156" t="n">
        <x:f>IFERROR(AE146-U146,"")</x:f>
        <x:v>0</x:v>
      </x:c>
      <x:c r="AS146" s="154"/>
      <x:c r="AT146" s="154"/>
      <x:c r="AU146" s="154"/>
      <x:c r="AV146" s="154"/>
      <x:c r="AW146" s="152"/>
      <x:c r="AX146" s="154"/>
      <x:c r="AY146" s="154"/>
      <x:c r="AZ146" s="151"/>
      <x:c r="BA146" s="151"/>
    </x:row>
    <x:row r="147">
      <x:c r="A147" s="151" t="str">
        <x:f>IF(B147="","",TEXT(B147,"yyyymmdd")&amp;"-"&amp;TEXT(COUNTIF($B$5:B147,B147),"000"))</x:f>
      </x:c>
      <x:c r="B147" s="152"/>
      <x:c r="C147" s="153"/>
      <x:c r="D147" s="151" t="str">
        <x:f>IF(B147="","",'Configuracion'!$B$4)</x:f>
      </x:c>
      <x:c r="E147" s="154"/>
      <x:c r="F147" s="154"/>
      <x:c r="G147" s="151" t="str">
        <x:f>IFERROR(VLOOKUP(F147,'Base Sectores'!$A$5:$J$47,2,FALSE),"")</x:f>
      </x:c>
      <x:c r="H147" s="151" t="str">
        <x:f>IFERROR(VLOOKUP(F147,'Base Sectores'!$A$5:$J$47,3,FALSE),"")</x:f>
      </x:c>
      <x:c r="I147" s="151" t="str">
        <x:f>IFERROR(VLOOKUP(F147,'Base Sectores'!$A$5:$J$47,4,FALSE),"")</x:f>
      </x:c>
      <x:c r="J147" s="151" t="str">
        <x:f>IFERROR(VLOOKUP(F147,'Base Sectores'!$A$5:$J$47,5,FALSE),"")</x:f>
      </x:c>
      <x:c r="K147" s="151" t="str">
        <x:f>IFERROR(VLOOKUP(F147,'Base Sectores'!$A$5:$J$47,6,FALSE),"")</x:f>
      </x:c>
      <x:c r="L147" s="151" t="str">
        <x:f>IFERROR(VLOOKUP(F147,'Base Sectores'!$A$5:$J$47,7,FALSE),"")</x:f>
      </x:c>
      <x:c r="M147" s="151" t="str">
        <x:f>IFERROR(VLOOKUP(F147,'Base Sectores'!$A$5:$J$47,9,FALSE),"")</x:f>
      </x:c>
      <x:c r="N147" s="154"/>
      <x:c r="O147" s="151" t="str">
        <x:f>IFERROR(VLOOKUP(N147,'Configuracion'!$D$4:$H$15,2,FALSE),"")</x:f>
      </x:c>
      <x:c r="P147" s="151" t="str">
        <x:f>IFERROR(VLOOKUP(N147,'Configuracion'!$D$4:$H$15,3,FALSE),"")</x:f>
      </x:c>
      <x:c r="Q147" s="155"/>
      <x:c r="R147" s="156" t="str">
        <x:f>IFERROR(VLOOKUP(N147,'Configuracion'!$D$4:$H$15,4,FALSE),"")</x:f>
      </x:c>
      <x:c r="S147" s="153"/>
      <x:c r="T147" s="153"/>
      <x:c r="U147" s="156" t="str">
        <x:f>IF(OR(S147="",T147=""),"",MOD(T147-S147,1)*24)</x:f>
      </x:c>
      <x:c r="V147" s="154"/>
      <x:c r="W147" s="154"/>
      <x:c r="X147" s="151" t="str">
        <x:f>IFERROR(VLOOKUP(N147,'Configuracion'!$D$4:$H$15,5,FALSE),"")</x:f>
      </x:c>
      <x:c r="Y147" s="151" t="str">
        <x:f>IFERROR(VLOOKUP(V147,'Cuadrillas'!$A$5:$J$14,2,FALSE),"")</x:f>
      </x:c>
      <x:c r="Z147" s="154"/>
      <x:c r="AA147" s="154"/>
      <x:c r="AB147" s="154"/>
      <x:c r="AC147" s="153"/>
      <x:c r="AD147" s="153"/>
      <x:c r="AE147" s="156" t="str">
        <x:f>IF(OR(AC147="",AD147=""),"",MOD(AD147-AC147,1)*24)</x:f>
      </x:c>
      <x:c r="AF147" s="154"/>
      <x:c r="AG147" s="156" t="str">
        <x:f>IF(AE147="","",MAX(0,AE147-IF(AF147="",0,AF147/60)))</x:f>
      </x:c>
      <x:c r="AH147" s="155"/>
      <x:c r="AI147" s="154"/>
      <x:c r="AJ147" s="154"/>
      <x:c r="AK147" s="156" t="n">
        <x:f>IFERROR(U147*W147,"")</x:f>
        <x:v>0</x:v>
      </x:c>
      <x:c r="AL147" s="156" t="n">
        <x:f>IFERROR(AE147*AI147,"")</x:f>
        <x:v>0</x:v>
      </x:c>
      <x:c r="AM147" s="157" t="str">
        <x:f>IFERROR(AH147/Q147,"")</x:f>
      </x:c>
      <x:c r="AN147" s="156" t="str">
        <x:f>IFERROR(AH147/AG147,"")</x:f>
      </x:c>
      <x:c r="AO147" s="156" t="str">
        <x:f>IFERROR(AL147/AH147,"")</x:f>
      </x:c>
      <x:c r="AP147" s="157" t="str">
        <x:f>IFERROR(AG147/AE147,"")</x:f>
      </x:c>
      <x:c r="AQ147" s="157" t="str">
        <x:f>IFERROR(AN147/(R147/'Configuracion'!$B$13),"")</x:f>
      </x:c>
      <x:c r="AR147" s="156" t="n">
        <x:f>IFERROR(AE147-U147,"")</x:f>
        <x:v>0</x:v>
      </x:c>
      <x:c r="AS147" s="154"/>
      <x:c r="AT147" s="154"/>
      <x:c r="AU147" s="154"/>
      <x:c r="AV147" s="154"/>
      <x:c r="AW147" s="152"/>
      <x:c r="AX147" s="154"/>
      <x:c r="AY147" s="154"/>
      <x:c r="AZ147" s="151"/>
      <x:c r="BA147" s="151"/>
    </x:row>
    <x:row r="148">
      <x:c r="A148" s="151" t="str">
        <x:f>IF(B148="","",TEXT(B148,"yyyymmdd")&amp;"-"&amp;TEXT(COUNTIF($B$5:B148,B148),"000"))</x:f>
      </x:c>
      <x:c r="B148" s="152"/>
      <x:c r="C148" s="153"/>
      <x:c r="D148" s="151" t="str">
        <x:f>IF(B148="","",'Configuracion'!$B$4)</x:f>
      </x:c>
      <x:c r="E148" s="154"/>
      <x:c r="F148" s="154"/>
      <x:c r="G148" s="151" t="str">
        <x:f>IFERROR(VLOOKUP(F148,'Base Sectores'!$A$5:$J$47,2,FALSE),"")</x:f>
      </x:c>
      <x:c r="H148" s="151" t="str">
        <x:f>IFERROR(VLOOKUP(F148,'Base Sectores'!$A$5:$J$47,3,FALSE),"")</x:f>
      </x:c>
      <x:c r="I148" s="151" t="str">
        <x:f>IFERROR(VLOOKUP(F148,'Base Sectores'!$A$5:$J$47,4,FALSE),"")</x:f>
      </x:c>
      <x:c r="J148" s="151" t="str">
        <x:f>IFERROR(VLOOKUP(F148,'Base Sectores'!$A$5:$J$47,5,FALSE),"")</x:f>
      </x:c>
      <x:c r="K148" s="151" t="str">
        <x:f>IFERROR(VLOOKUP(F148,'Base Sectores'!$A$5:$J$47,6,FALSE),"")</x:f>
      </x:c>
      <x:c r="L148" s="151" t="str">
        <x:f>IFERROR(VLOOKUP(F148,'Base Sectores'!$A$5:$J$47,7,FALSE),"")</x:f>
      </x:c>
      <x:c r="M148" s="151" t="str">
        <x:f>IFERROR(VLOOKUP(F148,'Base Sectores'!$A$5:$J$47,9,FALSE),"")</x:f>
      </x:c>
      <x:c r="N148" s="154"/>
      <x:c r="O148" s="151" t="str">
        <x:f>IFERROR(VLOOKUP(N148,'Configuracion'!$D$4:$H$15,2,FALSE),"")</x:f>
      </x:c>
      <x:c r="P148" s="151" t="str">
        <x:f>IFERROR(VLOOKUP(N148,'Configuracion'!$D$4:$H$15,3,FALSE),"")</x:f>
      </x:c>
      <x:c r="Q148" s="155"/>
      <x:c r="R148" s="156" t="str">
        <x:f>IFERROR(VLOOKUP(N148,'Configuracion'!$D$4:$H$15,4,FALSE),"")</x:f>
      </x:c>
      <x:c r="S148" s="153"/>
      <x:c r="T148" s="153"/>
      <x:c r="U148" s="156" t="str">
        <x:f>IF(OR(S148="",T148=""),"",MOD(T148-S148,1)*24)</x:f>
      </x:c>
      <x:c r="V148" s="154"/>
      <x:c r="W148" s="154"/>
      <x:c r="X148" s="151" t="str">
        <x:f>IFERROR(VLOOKUP(N148,'Configuracion'!$D$4:$H$15,5,FALSE),"")</x:f>
      </x:c>
      <x:c r="Y148" s="151" t="str">
        <x:f>IFERROR(VLOOKUP(V148,'Cuadrillas'!$A$5:$J$14,2,FALSE),"")</x:f>
      </x:c>
      <x:c r="Z148" s="154"/>
      <x:c r="AA148" s="154"/>
      <x:c r="AB148" s="154"/>
      <x:c r="AC148" s="153"/>
      <x:c r="AD148" s="153"/>
      <x:c r="AE148" s="156" t="str">
        <x:f>IF(OR(AC148="",AD148=""),"",MOD(AD148-AC148,1)*24)</x:f>
      </x:c>
      <x:c r="AF148" s="154"/>
      <x:c r="AG148" s="156" t="str">
        <x:f>IF(AE148="","",MAX(0,AE148-IF(AF148="",0,AF148/60)))</x:f>
      </x:c>
      <x:c r="AH148" s="155"/>
      <x:c r="AI148" s="154"/>
      <x:c r="AJ148" s="154"/>
      <x:c r="AK148" s="156" t="n">
        <x:f>IFERROR(U148*W148,"")</x:f>
        <x:v>0</x:v>
      </x:c>
      <x:c r="AL148" s="156" t="n">
        <x:f>IFERROR(AE148*AI148,"")</x:f>
        <x:v>0</x:v>
      </x:c>
      <x:c r="AM148" s="157" t="str">
        <x:f>IFERROR(AH148/Q148,"")</x:f>
      </x:c>
      <x:c r="AN148" s="156" t="str">
        <x:f>IFERROR(AH148/AG148,"")</x:f>
      </x:c>
      <x:c r="AO148" s="156" t="str">
        <x:f>IFERROR(AL148/AH148,"")</x:f>
      </x:c>
      <x:c r="AP148" s="157" t="str">
        <x:f>IFERROR(AG148/AE148,"")</x:f>
      </x:c>
      <x:c r="AQ148" s="157" t="str">
        <x:f>IFERROR(AN148/(R148/'Configuracion'!$B$13),"")</x:f>
      </x:c>
      <x:c r="AR148" s="156" t="n">
        <x:f>IFERROR(AE148-U148,"")</x:f>
        <x:v>0</x:v>
      </x:c>
      <x:c r="AS148" s="154"/>
      <x:c r="AT148" s="154"/>
      <x:c r="AU148" s="154"/>
      <x:c r="AV148" s="154"/>
      <x:c r="AW148" s="152"/>
      <x:c r="AX148" s="154"/>
      <x:c r="AY148" s="154"/>
      <x:c r="AZ148" s="151"/>
      <x:c r="BA148" s="151"/>
    </x:row>
    <x:row r="149">
      <x:c r="A149" s="151" t="str">
        <x:f>IF(B149="","",TEXT(B149,"yyyymmdd")&amp;"-"&amp;TEXT(COUNTIF($B$5:B149,B149),"000"))</x:f>
      </x:c>
      <x:c r="B149" s="152"/>
      <x:c r="C149" s="153"/>
      <x:c r="D149" s="151" t="str">
        <x:f>IF(B149="","",'Configuracion'!$B$4)</x:f>
      </x:c>
      <x:c r="E149" s="154"/>
      <x:c r="F149" s="154"/>
      <x:c r="G149" s="151" t="str">
        <x:f>IFERROR(VLOOKUP(F149,'Base Sectores'!$A$5:$J$47,2,FALSE),"")</x:f>
      </x:c>
      <x:c r="H149" s="151" t="str">
        <x:f>IFERROR(VLOOKUP(F149,'Base Sectores'!$A$5:$J$47,3,FALSE),"")</x:f>
      </x:c>
      <x:c r="I149" s="151" t="str">
        <x:f>IFERROR(VLOOKUP(F149,'Base Sectores'!$A$5:$J$47,4,FALSE),"")</x:f>
      </x:c>
      <x:c r="J149" s="151" t="str">
        <x:f>IFERROR(VLOOKUP(F149,'Base Sectores'!$A$5:$J$47,5,FALSE),"")</x:f>
      </x:c>
      <x:c r="K149" s="151" t="str">
        <x:f>IFERROR(VLOOKUP(F149,'Base Sectores'!$A$5:$J$47,6,FALSE),"")</x:f>
      </x:c>
      <x:c r="L149" s="151" t="str">
        <x:f>IFERROR(VLOOKUP(F149,'Base Sectores'!$A$5:$J$47,7,FALSE),"")</x:f>
      </x:c>
      <x:c r="M149" s="151" t="str">
        <x:f>IFERROR(VLOOKUP(F149,'Base Sectores'!$A$5:$J$47,9,FALSE),"")</x:f>
      </x:c>
      <x:c r="N149" s="154"/>
      <x:c r="O149" s="151" t="str">
        <x:f>IFERROR(VLOOKUP(N149,'Configuracion'!$D$4:$H$15,2,FALSE),"")</x:f>
      </x:c>
      <x:c r="P149" s="151" t="str">
        <x:f>IFERROR(VLOOKUP(N149,'Configuracion'!$D$4:$H$15,3,FALSE),"")</x:f>
      </x:c>
      <x:c r="Q149" s="155"/>
      <x:c r="R149" s="156" t="str">
        <x:f>IFERROR(VLOOKUP(N149,'Configuracion'!$D$4:$H$15,4,FALSE),"")</x:f>
      </x:c>
      <x:c r="S149" s="153"/>
      <x:c r="T149" s="153"/>
      <x:c r="U149" s="156" t="str">
        <x:f>IF(OR(S149="",T149=""),"",MOD(T149-S149,1)*24)</x:f>
      </x:c>
      <x:c r="V149" s="154"/>
      <x:c r="W149" s="154"/>
      <x:c r="X149" s="151" t="str">
        <x:f>IFERROR(VLOOKUP(N149,'Configuracion'!$D$4:$H$15,5,FALSE),"")</x:f>
      </x:c>
      <x:c r="Y149" s="151" t="str">
        <x:f>IFERROR(VLOOKUP(V149,'Cuadrillas'!$A$5:$J$14,2,FALSE),"")</x:f>
      </x:c>
      <x:c r="Z149" s="154"/>
      <x:c r="AA149" s="154"/>
      <x:c r="AB149" s="154"/>
      <x:c r="AC149" s="153"/>
      <x:c r="AD149" s="153"/>
      <x:c r="AE149" s="156" t="str">
        <x:f>IF(OR(AC149="",AD149=""),"",MOD(AD149-AC149,1)*24)</x:f>
      </x:c>
      <x:c r="AF149" s="154"/>
      <x:c r="AG149" s="156" t="str">
        <x:f>IF(AE149="","",MAX(0,AE149-IF(AF149="",0,AF149/60)))</x:f>
      </x:c>
      <x:c r="AH149" s="155"/>
      <x:c r="AI149" s="154"/>
      <x:c r="AJ149" s="154"/>
      <x:c r="AK149" s="156" t="n">
        <x:f>IFERROR(U149*W149,"")</x:f>
        <x:v>0</x:v>
      </x:c>
      <x:c r="AL149" s="156" t="n">
        <x:f>IFERROR(AE149*AI149,"")</x:f>
        <x:v>0</x:v>
      </x:c>
      <x:c r="AM149" s="157" t="str">
        <x:f>IFERROR(AH149/Q149,"")</x:f>
      </x:c>
      <x:c r="AN149" s="156" t="str">
        <x:f>IFERROR(AH149/AG149,"")</x:f>
      </x:c>
      <x:c r="AO149" s="156" t="str">
        <x:f>IFERROR(AL149/AH149,"")</x:f>
      </x:c>
      <x:c r="AP149" s="157" t="str">
        <x:f>IFERROR(AG149/AE149,"")</x:f>
      </x:c>
      <x:c r="AQ149" s="157" t="str">
        <x:f>IFERROR(AN149/(R149/'Configuracion'!$B$13),"")</x:f>
      </x:c>
      <x:c r="AR149" s="156" t="n">
        <x:f>IFERROR(AE149-U149,"")</x:f>
        <x:v>0</x:v>
      </x:c>
      <x:c r="AS149" s="154"/>
      <x:c r="AT149" s="154"/>
      <x:c r="AU149" s="154"/>
      <x:c r="AV149" s="154"/>
      <x:c r="AW149" s="152"/>
      <x:c r="AX149" s="154"/>
      <x:c r="AY149" s="154"/>
      <x:c r="AZ149" s="151"/>
      <x:c r="BA149" s="151"/>
    </x:row>
    <x:row r="150">
      <x:c r="A150" s="151" t="str">
        <x:f>IF(B150="","",TEXT(B150,"yyyymmdd")&amp;"-"&amp;TEXT(COUNTIF($B$5:B150,B150),"000"))</x:f>
      </x:c>
      <x:c r="B150" s="152"/>
      <x:c r="C150" s="153"/>
      <x:c r="D150" s="151" t="str">
        <x:f>IF(B150="","",'Configuracion'!$B$4)</x:f>
      </x:c>
      <x:c r="E150" s="154"/>
      <x:c r="F150" s="154"/>
      <x:c r="G150" s="151" t="str">
        <x:f>IFERROR(VLOOKUP(F150,'Base Sectores'!$A$5:$J$47,2,FALSE),"")</x:f>
      </x:c>
      <x:c r="H150" s="151" t="str">
        <x:f>IFERROR(VLOOKUP(F150,'Base Sectores'!$A$5:$J$47,3,FALSE),"")</x:f>
      </x:c>
      <x:c r="I150" s="151" t="str">
        <x:f>IFERROR(VLOOKUP(F150,'Base Sectores'!$A$5:$J$47,4,FALSE),"")</x:f>
      </x:c>
      <x:c r="J150" s="151" t="str">
        <x:f>IFERROR(VLOOKUP(F150,'Base Sectores'!$A$5:$J$47,5,FALSE),"")</x:f>
      </x:c>
      <x:c r="K150" s="151" t="str">
        <x:f>IFERROR(VLOOKUP(F150,'Base Sectores'!$A$5:$J$47,6,FALSE),"")</x:f>
      </x:c>
      <x:c r="L150" s="151" t="str">
        <x:f>IFERROR(VLOOKUP(F150,'Base Sectores'!$A$5:$J$47,7,FALSE),"")</x:f>
      </x:c>
      <x:c r="M150" s="151" t="str">
        <x:f>IFERROR(VLOOKUP(F150,'Base Sectores'!$A$5:$J$47,9,FALSE),"")</x:f>
      </x:c>
      <x:c r="N150" s="154"/>
      <x:c r="O150" s="151" t="str">
        <x:f>IFERROR(VLOOKUP(N150,'Configuracion'!$D$4:$H$15,2,FALSE),"")</x:f>
      </x:c>
      <x:c r="P150" s="151" t="str">
        <x:f>IFERROR(VLOOKUP(N150,'Configuracion'!$D$4:$H$15,3,FALSE),"")</x:f>
      </x:c>
      <x:c r="Q150" s="155"/>
      <x:c r="R150" s="156" t="str">
        <x:f>IFERROR(VLOOKUP(N150,'Configuracion'!$D$4:$H$15,4,FALSE),"")</x:f>
      </x:c>
      <x:c r="S150" s="153"/>
      <x:c r="T150" s="153"/>
      <x:c r="U150" s="156" t="str">
        <x:f>IF(OR(S150="",T150=""),"",MOD(T150-S150,1)*24)</x:f>
      </x:c>
      <x:c r="V150" s="154"/>
      <x:c r="W150" s="154"/>
      <x:c r="X150" s="151" t="str">
        <x:f>IFERROR(VLOOKUP(N150,'Configuracion'!$D$4:$H$15,5,FALSE),"")</x:f>
      </x:c>
      <x:c r="Y150" s="151" t="str">
        <x:f>IFERROR(VLOOKUP(V150,'Cuadrillas'!$A$5:$J$14,2,FALSE),"")</x:f>
      </x:c>
      <x:c r="Z150" s="154"/>
      <x:c r="AA150" s="154"/>
      <x:c r="AB150" s="154"/>
      <x:c r="AC150" s="153"/>
      <x:c r="AD150" s="153"/>
      <x:c r="AE150" s="156" t="str">
        <x:f>IF(OR(AC150="",AD150=""),"",MOD(AD150-AC150,1)*24)</x:f>
      </x:c>
      <x:c r="AF150" s="154"/>
      <x:c r="AG150" s="156" t="str">
        <x:f>IF(AE150="","",MAX(0,AE150-IF(AF150="",0,AF150/60)))</x:f>
      </x:c>
      <x:c r="AH150" s="155"/>
      <x:c r="AI150" s="154"/>
      <x:c r="AJ150" s="154"/>
      <x:c r="AK150" s="156" t="n">
        <x:f>IFERROR(U150*W150,"")</x:f>
        <x:v>0</x:v>
      </x:c>
      <x:c r="AL150" s="156" t="n">
        <x:f>IFERROR(AE150*AI150,"")</x:f>
        <x:v>0</x:v>
      </x:c>
      <x:c r="AM150" s="157" t="str">
        <x:f>IFERROR(AH150/Q150,"")</x:f>
      </x:c>
      <x:c r="AN150" s="156" t="str">
        <x:f>IFERROR(AH150/AG150,"")</x:f>
      </x:c>
      <x:c r="AO150" s="156" t="str">
        <x:f>IFERROR(AL150/AH150,"")</x:f>
      </x:c>
      <x:c r="AP150" s="157" t="str">
        <x:f>IFERROR(AG150/AE150,"")</x:f>
      </x:c>
      <x:c r="AQ150" s="157" t="str">
        <x:f>IFERROR(AN150/(R150/'Configuracion'!$B$13),"")</x:f>
      </x:c>
      <x:c r="AR150" s="156" t="n">
        <x:f>IFERROR(AE150-U150,"")</x:f>
        <x:v>0</x:v>
      </x:c>
      <x:c r="AS150" s="154"/>
      <x:c r="AT150" s="154"/>
      <x:c r="AU150" s="154"/>
      <x:c r="AV150" s="154"/>
      <x:c r="AW150" s="152"/>
      <x:c r="AX150" s="154"/>
      <x:c r="AY150" s="154"/>
      <x:c r="AZ150" s="151"/>
      <x:c r="BA150" s="151"/>
    </x:row>
    <x:row r="151">
      <x:c r="A151" s="151" t="str">
        <x:f>IF(B151="","",TEXT(B151,"yyyymmdd")&amp;"-"&amp;TEXT(COUNTIF($B$5:B151,B151),"000"))</x:f>
      </x:c>
      <x:c r="B151" s="152"/>
      <x:c r="C151" s="153"/>
      <x:c r="D151" s="151" t="str">
        <x:f>IF(B151="","",'Configuracion'!$B$4)</x:f>
      </x:c>
      <x:c r="E151" s="154"/>
      <x:c r="F151" s="154"/>
      <x:c r="G151" s="151" t="str">
        <x:f>IFERROR(VLOOKUP(F151,'Base Sectores'!$A$5:$J$47,2,FALSE),"")</x:f>
      </x:c>
      <x:c r="H151" s="151" t="str">
        <x:f>IFERROR(VLOOKUP(F151,'Base Sectores'!$A$5:$J$47,3,FALSE),"")</x:f>
      </x:c>
      <x:c r="I151" s="151" t="str">
        <x:f>IFERROR(VLOOKUP(F151,'Base Sectores'!$A$5:$J$47,4,FALSE),"")</x:f>
      </x:c>
      <x:c r="J151" s="151" t="str">
        <x:f>IFERROR(VLOOKUP(F151,'Base Sectores'!$A$5:$J$47,5,FALSE),"")</x:f>
      </x:c>
      <x:c r="K151" s="151" t="str">
        <x:f>IFERROR(VLOOKUP(F151,'Base Sectores'!$A$5:$J$47,6,FALSE),"")</x:f>
      </x:c>
      <x:c r="L151" s="151" t="str">
        <x:f>IFERROR(VLOOKUP(F151,'Base Sectores'!$A$5:$J$47,7,FALSE),"")</x:f>
      </x:c>
      <x:c r="M151" s="151" t="str">
        <x:f>IFERROR(VLOOKUP(F151,'Base Sectores'!$A$5:$J$47,9,FALSE),"")</x:f>
      </x:c>
      <x:c r="N151" s="154"/>
      <x:c r="O151" s="151" t="str">
        <x:f>IFERROR(VLOOKUP(N151,'Configuracion'!$D$4:$H$15,2,FALSE),"")</x:f>
      </x:c>
      <x:c r="P151" s="151" t="str">
        <x:f>IFERROR(VLOOKUP(N151,'Configuracion'!$D$4:$H$15,3,FALSE),"")</x:f>
      </x:c>
      <x:c r="Q151" s="155"/>
      <x:c r="R151" s="156" t="str">
        <x:f>IFERROR(VLOOKUP(N151,'Configuracion'!$D$4:$H$15,4,FALSE),"")</x:f>
      </x:c>
      <x:c r="S151" s="153"/>
      <x:c r="T151" s="153"/>
      <x:c r="U151" s="156" t="str">
        <x:f>IF(OR(S151="",T151=""),"",MOD(T151-S151,1)*24)</x:f>
      </x:c>
      <x:c r="V151" s="154"/>
      <x:c r="W151" s="154"/>
      <x:c r="X151" s="151" t="str">
        <x:f>IFERROR(VLOOKUP(N151,'Configuracion'!$D$4:$H$15,5,FALSE),"")</x:f>
      </x:c>
      <x:c r="Y151" s="151" t="str">
        <x:f>IFERROR(VLOOKUP(V151,'Cuadrillas'!$A$5:$J$14,2,FALSE),"")</x:f>
      </x:c>
      <x:c r="Z151" s="154"/>
      <x:c r="AA151" s="154"/>
      <x:c r="AB151" s="154"/>
      <x:c r="AC151" s="153"/>
      <x:c r="AD151" s="153"/>
      <x:c r="AE151" s="156" t="str">
        <x:f>IF(OR(AC151="",AD151=""),"",MOD(AD151-AC151,1)*24)</x:f>
      </x:c>
      <x:c r="AF151" s="154"/>
      <x:c r="AG151" s="156" t="str">
        <x:f>IF(AE151="","",MAX(0,AE151-IF(AF151="",0,AF151/60)))</x:f>
      </x:c>
      <x:c r="AH151" s="155"/>
      <x:c r="AI151" s="154"/>
      <x:c r="AJ151" s="154"/>
      <x:c r="AK151" s="156" t="n">
        <x:f>IFERROR(U151*W151,"")</x:f>
        <x:v>0</x:v>
      </x:c>
      <x:c r="AL151" s="156" t="n">
        <x:f>IFERROR(AE151*AI151,"")</x:f>
        <x:v>0</x:v>
      </x:c>
      <x:c r="AM151" s="157" t="str">
        <x:f>IFERROR(AH151/Q151,"")</x:f>
      </x:c>
      <x:c r="AN151" s="156" t="str">
        <x:f>IFERROR(AH151/AG151,"")</x:f>
      </x:c>
      <x:c r="AO151" s="156" t="str">
        <x:f>IFERROR(AL151/AH151,"")</x:f>
      </x:c>
      <x:c r="AP151" s="157" t="str">
        <x:f>IFERROR(AG151/AE151,"")</x:f>
      </x:c>
      <x:c r="AQ151" s="157" t="str">
        <x:f>IFERROR(AN151/(R151/'Configuracion'!$B$13),"")</x:f>
      </x:c>
      <x:c r="AR151" s="156" t="n">
        <x:f>IFERROR(AE151-U151,"")</x:f>
        <x:v>0</x:v>
      </x:c>
      <x:c r="AS151" s="154"/>
      <x:c r="AT151" s="154"/>
      <x:c r="AU151" s="154"/>
      <x:c r="AV151" s="154"/>
      <x:c r="AW151" s="152"/>
      <x:c r="AX151" s="154"/>
      <x:c r="AY151" s="154"/>
      <x:c r="AZ151" s="151"/>
      <x:c r="BA151" s="151"/>
    </x:row>
    <x:row r="152">
      <x:c r="A152" s="151" t="str">
        <x:f>IF(B152="","",TEXT(B152,"yyyymmdd")&amp;"-"&amp;TEXT(COUNTIF($B$5:B152,B152),"000"))</x:f>
      </x:c>
      <x:c r="B152" s="152"/>
      <x:c r="C152" s="153"/>
      <x:c r="D152" s="151" t="str">
        <x:f>IF(B152="","",'Configuracion'!$B$4)</x:f>
      </x:c>
      <x:c r="E152" s="154"/>
      <x:c r="F152" s="154"/>
      <x:c r="G152" s="151" t="str">
        <x:f>IFERROR(VLOOKUP(F152,'Base Sectores'!$A$5:$J$47,2,FALSE),"")</x:f>
      </x:c>
      <x:c r="H152" s="151" t="str">
        <x:f>IFERROR(VLOOKUP(F152,'Base Sectores'!$A$5:$J$47,3,FALSE),"")</x:f>
      </x:c>
      <x:c r="I152" s="151" t="str">
        <x:f>IFERROR(VLOOKUP(F152,'Base Sectores'!$A$5:$J$47,4,FALSE),"")</x:f>
      </x:c>
      <x:c r="J152" s="151" t="str">
        <x:f>IFERROR(VLOOKUP(F152,'Base Sectores'!$A$5:$J$47,5,FALSE),"")</x:f>
      </x:c>
      <x:c r="K152" s="151" t="str">
        <x:f>IFERROR(VLOOKUP(F152,'Base Sectores'!$A$5:$J$47,6,FALSE),"")</x:f>
      </x:c>
      <x:c r="L152" s="151" t="str">
        <x:f>IFERROR(VLOOKUP(F152,'Base Sectores'!$A$5:$J$47,7,FALSE),"")</x:f>
      </x:c>
      <x:c r="M152" s="151" t="str">
        <x:f>IFERROR(VLOOKUP(F152,'Base Sectores'!$A$5:$J$47,9,FALSE),"")</x:f>
      </x:c>
      <x:c r="N152" s="154"/>
      <x:c r="O152" s="151" t="str">
        <x:f>IFERROR(VLOOKUP(N152,'Configuracion'!$D$4:$H$15,2,FALSE),"")</x:f>
      </x:c>
      <x:c r="P152" s="151" t="str">
        <x:f>IFERROR(VLOOKUP(N152,'Configuracion'!$D$4:$H$15,3,FALSE),"")</x:f>
      </x:c>
      <x:c r="Q152" s="155"/>
      <x:c r="R152" s="156" t="str">
        <x:f>IFERROR(VLOOKUP(N152,'Configuracion'!$D$4:$H$15,4,FALSE),"")</x:f>
      </x:c>
      <x:c r="S152" s="153"/>
      <x:c r="T152" s="153"/>
      <x:c r="U152" s="156" t="str">
        <x:f>IF(OR(S152="",T152=""),"",MOD(T152-S152,1)*24)</x:f>
      </x:c>
      <x:c r="V152" s="154"/>
      <x:c r="W152" s="154"/>
      <x:c r="X152" s="151" t="str">
        <x:f>IFERROR(VLOOKUP(N152,'Configuracion'!$D$4:$H$15,5,FALSE),"")</x:f>
      </x:c>
      <x:c r="Y152" s="151" t="str">
        <x:f>IFERROR(VLOOKUP(V152,'Cuadrillas'!$A$5:$J$14,2,FALSE),"")</x:f>
      </x:c>
      <x:c r="Z152" s="154"/>
      <x:c r="AA152" s="154"/>
      <x:c r="AB152" s="154"/>
      <x:c r="AC152" s="153"/>
      <x:c r="AD152" s="153"/>
      <x:c r="AE152" s="156" t="str">
        <x:f>IF(OR(AC152="",AD152=""),"",MOD(AD152-AC152,1)*24)</x:f>
      </x:c>
      <x:c r="AF152" s="154"/>
      <x:c r="AG152" s="156" t="str">
        <x:f>IF(AE152="","",MAX(0,AE152-IF(AF152="",0,AF152/60)))</x:f>
      </x:c>
      <x:c r="AH152" s="155"/>
      <x:c r="AI152" s="154"/>
      <x:c r="AJ152" s="154"/>
      <x:c r="AK152" s="156" t="n">
        <x:f>IFERROR(U152*W152,"")</x:f>
        <x:v>0</x:v>
      </x:c>
      <x:c r="AL152" s="156" t="n">
        <x:f>IFERROR(AE152*AI152,"")</x:f>
        <x:v>0</x:v>
      </x:c>
      <x:c r="AM152" s="157" t="str">
        <x:f>IFERROR(AH152/Q152,"")</x:f>
      </x:c>
      <x:c r="AN152" s="156" t="str">
        <x:f>IFERROR(AH152/AG152,"")</x:f>
      </x:c>
      <x:c r="AO152" s="156" t="str">
        <x:f>IFERROR(AL152/AH152,"")</x:f>
      </x:c>
      <x:c r="AP152" s="157" t="str">
        <x:f>IFERROR(AG152/AE152,"")</x:f>
      </x:c>
      <x:c r="AQ152" s="157" t="str">
        <x:f>IFERROR(AN152/(R152/'Configuracion'!$B$13),"")</x:f>
      </x:c>
      <x:c r="AR152" s="156" t="n">
        <x:f>IFERROR(AE152-U152,"")</x:f>
        <x:v>0</x:v>
      </x:c>
      <x:c r="AS152" s="154"/>
      <x:c r="AT152" s="154"/>
      <x:c r="AU152" s="154"/>
      <x:c r="AV152" s="154"/>
      <x:c r="AW152" s="152"/>
      <x:c r="AX152" s="154"/>
      <x:c r="AY152" s="154"/>
      <x:c r="AZ152" s="151"/>
      <x:c r="BA152" s="151"/>
    </x:row>
    <x:row r="153">
      <x:c r="A153" s="151" t="str">
        <x:f>IF(B153="","",TEXT(B153,"yyyymmdd")&amp;"-"&amp;TEXT(COUNTIF($B$5:B153,B153),"000"))</x:f>
      </x:c>
      <x:c r="B153" s="152"/>
      <x:c r="C153" s="153"/>
      <x:c r="D153" s="151" t="str">
        <x:f>IF(B153="","",'Configuracion'!$B$4)</x:f>
      </x:c>
      <x:c r="E153" s="154"/>
      <x:c r="F153" s="154"/>
      <x:c r="G153" s="151" t="str">
        <x:f>IFERROR(VLOOKUP(F153,'Base Sectores'!$A$5:$J$47,2,FALSE),"")</x:f>
      </x:c>
      <x:c r="H153" s="151" t="str">
        <x:f>IFERROR(VLOOKUP(F153,'Base Sectores'!$A$5:$J$47,3,FALSE),"")</x:f>
      </x:c>
      <x:c r="I153" s="151" t="str">
        <x:f>IFERROR(VLOOKUP(F153,'Base Sectores'!$A$5:$J$47,4,FALSE),"")</x:f>
      </x:c>
      <x:c r="J153" s="151" t="str">
        <x:f>IFERROR(VLOOKUP(F153,'Base Sectores'!$A$5:$J$47,5,FALSE),"")</x:f>
      </x:c>
      <x:c r="K153" s="151" t="str">
        <x:f>IFERROR(VLOOKUP(F153,'Base Sectores'!$A$5:$J$47,6,FALSE),"")</x:f>
      </x:c>
      <x:c r="L153" s="151" t="str">
        <x:f>IFERROR(VLOOKUP(F153,'Base Sectores'!$A$5:$J$47,7,FALSE),"")</x:f>
      </x:c>
      <x:c r="M153" s="151" t="str">
        <x:f>IFERROR(VLOOKUP(F153,'Base Sectores'!$A$5:$J$47,9,FALSE),"")</x:f>
      </x:c>
      <x:c r="N153" s="154"/>
      <x:c r="O153" s="151" t="str">
        <x:f>IFERROR(VLOOKUP(N153,'Configuracion'!$D$4:$H$15,2,FALSE),"")</x:f>
      </x:c>
      <x:c r="P153" s="151" t="str">
        <x:f>IFERROR(VLOOKUP(N153,'Configuracion'!$D$4:$H$15,3,FALSE),"")</x:f>
      </x:c>
      <x:c r="Q153" s="155"/>
      <x:c r="R153" s="156" t="str">
        <x:f>IFERROR(VLOOKUP(N153,'Configuracion'!$D$4:$H$15,4,FALSE),"")</x:f>
      </x:c>
      <x:c r="S153" s="153"/>
      <x:c r="T153" s="153"/>
      <x:c r="U153" s="156" t="str">
        <x:f>IF(OR(S153="",T153=""),"",MOD(T153-S153,1)*24)</x:f>
      </x:c>
      <x:c r="V153" s="154"/>
      <x:c r="W153" s="154"/>
      <x:c r="X153" s="151" t="str">
        <x:f>IFERROR(VLOOKUP(N153,'Configuracion'!$D$4:$H$15,5,FALSE),"")</x:f>
      </x:c>
      <x:c r="Y153" s="151" t="str">
        <x:f>IFERROR(VLOOKUP(V153,'Cuadrillas'!$A$5:$J$14,2,FALSE),"")</x:f>
      </x:c>
      <x:c r="Z153" s="154"/>
      <x:c r="AA153" s="154"/>
      <x:c r="AB153" s="154"/>
      <x:c r="AC153" s="153"/>
      <x:c r="AD153" s="153"/>
      <x:c r="AE153" s="156" t="str">
        <x:f>IF(OR(AC153="",AD153=""),"",MOD(AD153-AC153,1)*24)</x:f>
      </x:c>
      <x:c r="AF153" s="154"/>
      <x:c r="AG153" s="156" t="str">
        <x:f>IF(AE153="","",MAX(0,AE153-IF(AF153="",0,AF153/60)))</x:f>
      </x:c>
      <x:c r="AH153" s="155"/>
      <x:c r="AI153" s="154"/>
      <x:c r="AJ153" s="154"/>
      <x:c r="AK153" s="156" t="n">
        <x:f>IFERROR(U153*W153,"")</x:f>
        <x:v>0</x:v>
      </x:c>
      <x:c r="AL153" s="156" t="n">
        <x:f>IFERROR(AE153*AI153,"")</x:f>
        <x:v>0</x:v>
      </x:c>
      <x:c r="AM153" s="157" t="str">
        <x:f>IFERROR(AH153/Q153,"")</x:f>
      </x:c>
      <x:c r="AN153" s="156" t="str">
        <x:f>IFERROR(AH153/AG153,"")</x:f>
      </x:c>
      <x:c r="AO153" s="156" t="str">
        <x:f>IFERROR(AL153/AH153,"")</x:f>
      </x:c>
      <x:c r="AP153" s="157" t="str">
        <x:f>IFERROR(AG153/AE153,"")</x:f>
      </x:c>
      <x:c r="AQ153" s="157" t="str">
        <x:f>IFERROR(AN153/(R153/'Configuracion'!$B$13),"")</x:f>
      </x:c>
      <x:c r="AR153" s="156" t="n">
        <x:f>IFERROR(AE153-U153,"")</x:f>
        <x:v>0</x:v>
      </x:c>
      <x:c r="AS153" s="154"/>
      <x:c r="AT153" s="154"/>
      <x:c r="AU153" s="154"/>
      <x:c r="AV153" s="154"/>
      <x:c r="AW153" s="152"/>
      <x:c r="AX153" s="154"/>
      <x:c r="AY153" s="154"/>
      <x:c r="AZ153" s="151"/>
      <x:c r="BA153" s="151"/>
    </x:row>
    <x:row r="154">
      <x:c r="A154" s="151" t="str">
        <x:f>IF(B154="","",TEXT(B154,"yyyymmdd")&amp;"-"&amp;TEXT(COUNTIF($B$5:B154,B154),"000"))</x:f>
      </x:c>
      <x:c r="B154" s="152"/>
      <x:c r="C154" s="153"/>
      <x:c r="D154" s="151" t="str">
        <x:f>IF(B154="","",'Configuracion'!$B$4)</x:f>
      </x:c>
      <x:c r="E154" s="154"/>
      <x:c r="F154" s="154"/>
      <x:c r="G154" s="151" t="str">
        <x:f>IFERROR(VLOOKUP(F154,'Base Sectores'!$A$5:$J$47,2,FALSE),"")</x:f>
      </x:c>
      <x:c r="H154" s="151" t="str">
        <x:f>IFERROR(VLOOKUP(F154,'Base Sectores'!$A$5:$J$47,3,FALSE),"")</x:f>
      </x:c>
      <x:c r="I154" s="151" t="str">
        <x:f>IFERROR(VLOOKUP(F154,'Base Sectores'!$A$5:$J$47,4,FALSE),"")</x:f>
      </x:c>
      <x:c r="J154" s="151" t="str">
        <x:f>IFERROR(VLOOKUP(F154,'Base Sectores'!$A$5:$J$47,5,FALSE),"")</x:f>
      </x:c>
      <x:c r="K154" s="151" t="str">
        <x:f>IFERROR(VLOOKUP(F154,'Base Sectores'!$A$5:$J$47,6,FALSE),"")</x:f>
      </x:c>
      <x:c r="L154" s="151" t="str">
        <x:f>IFERROR(VLOOKUP(F154,'Base Sectores'!$A$5:$J$47,7,FALSE),"")</x:f>
      </x:c>
      <x:c r="M154" s="151" t="str">
        <x:f>IFERROR(VLOOKUP(F154,'Base Sectores'!$A$5:$J$47,9,FALSE),"")</x:f>
      </x:c>
      <x:c r="N154" s="154"/>
      <x:c r="O154" s="151" t="str">
        <x:f>IFERROR(VLOOKUP(N154,'Configuracion'!$D$4:$H$15,2,FALSE),"")</x:f>
      </x:c>
      <x:c r="P154" s="151" t="str">
        <x:f>IFERROR(VLOOKUP(N154,'Configuracion'!$D$4:$H$15,3,FALSE),"")</x:f>
      </x:c>
      <x:c r="Q154" s="155"/>
      <x:c r="R154" s="156" t="str">
        <x:f>IFERROR(VLOOKUP(N154,'Configuracion'!$D$4:$H$15,4,FALSE),"")</x:f>
      </x:c>
      <x:c r="S154" s="153"/>
      <x:c r="T154" s="153"/>
      <x:c r="U154" s="156" t="str">
        <x:f>IF(OR(S154="",T154=""),"",MOD(T154-S154,1)*24)</x:f>
      </x:c>
      <x:c r="V154" s="154"/>
      <x:c r="W154" s="154"/>
      <x:c r="X154" s="151" t="str">
        <x:f>IFERROR(VLOOKUP(N154,'Configuracion'!$D$4:$H$15,5,FALSE),"")</x:f>
      </x:c>
      <x:c r="Y154" s="151" t="str">
        <x:f>IFERROR(VLOOKUP(V154,'Cuadrillas'!$A$5:$J$14,2,FALSE),"")</x:f>
      </x:c>
      <x:c r="Z154" s="154"/>
      <x:c r="AA154" s="154"/>
      <x:c r="AB154" s="154"/>
      <x:c r="AC154" s="153"/>
      <x:c r="AD154" s="153"/>
      <x:c r="AE154" s="156" t="str">
        <x:f>IF(OR(AC154="",AD154=""),"",MOD(AD154-AC154,1)*24)</x:f>
      </x:c>
      <x:c r="AF154" s="154"/>
      <x:c r="AG154" s="156" t="str">
        <x:f>IF(AE154="","",MAX(0,AE154-IF(AF154="",0,AF154/60)))</x:f>
      </x:c>
      <x:c r="AH154" s="155"/>
      <x:c r="AI154" s="154"/>
      <x:c r="AJ154" s="154"/>
      <x:c r="AK154" s="156" t="n">
        <x:f>IFERROR(U154*W154,"")</x:f>
        <x:v>0</x:v>
      </x:c>
      <x:c r="AL154" s="156" t="n">
        <x:f>IFERROR(AE154*AI154,"")</x:f>
        <x:v>0</x:v>
      </x:c>
      <x:c r="AM154" s="157" t="str">
        <x:f>IFERROR(AH154/Q154,"")</x:f>
      </x:c>
      <x:c r="AN154" s="156" t="str">
        <x:f>IFERROR(AH154/AG154,"")</x:f>
      </x:c>
      <x:c r="AO154" s="156" t="str">
        <x:f>IFERROR(AL154/AH154,"")</x:f>
      </x:c>
      <x:c r="AP154" s="157" t="str">
        <x:f>IFERROR(AG154/AE154,"")</x:f>
      </x:c>
      <x:c r="AQ154" s="157" t="str">
        <x:f>IFERROR(AN154/(R154/'Configuracion'!$B$13),"")</x:f>
      </x:c>
      <x:c r="AR154" s="156" t="n">
        <x:f>IFERROR(AE154-U154,"")</x:f>
        <x:v>0</x:v>
      </x:c>
      <x:c r="AS154" s="154"/>
      <x:c r="AT154" s="154"/>
      <x:c r="AU154" s="154"/>
      <x:c r="AV154" s="154"/>
      <x:c r="AW154" s="152"/>
      <x:c r="AX154" s="154"/>
      <x:c r="AY154" s="154"/>
      <x:c r="AZ154" s="151"/>
      <x:c r="BA154" s="151"/>
    </x:row>
    <x:row r="155">
      <x:c r="A155" s="151" t="str">
        <x:f>IF(B155="","",TEXT(B155,"yyyymmdd")&amp;"-"&amp;TEXT(COUNTIF($B$5:B155,B155),"000"))</x:f>
      </x:c>
      <x:c r="B155" s="152"/>
      <x:c r="C155" s="153"/>
      <x:c r="D155" s="151" t="str">
        <x:f>IF(B155="","",'Configuracion'!$B$4)</x:f>
      </x:c>
      <x:c r="E155" s="154"/>
      <x:c r="F155" s="154"/>
      <x:c r="G155" s="151" t="str">
        <x:f>IFERROR(VLOOKUP(F155,'Base Sectores'!$A$5:$J$47,2,FALSE),"")</x:f>
      </x:c>
      <x:c r="H155" s="151" t="str">
        <x:f>IFERROR(VLOOKUP(F155,'Base Sectores'!$A$5:$J$47,3,FALSE),"")</x:f>
      </x:c>
      <x:c r="I155" s="151" t="str">
        <x:f>IFERROR(VLOOKUP(F155,'Base Sectores'!$A$5:$J$47,4,FALSE),"")</x:f>
      </x:c>
      <x:c r="J155" s="151" t="str">
        <x:f>IFERROR(VLOOKUP(F155,'Base Sectores'!$A$5:$J$47,5,FALSE),"")</x:f>
      </x:c>
      <x:c r="K155" s="151" t="str">
        <x:f>IFERROR(VLOOKUP(F155,'Base Sectores'!$A$5:$J$47,6,FALSE),"")</x:f>
      </x:c>
      <x:c r="L155" s="151" t="str">
        <x:f>IFERROR(VLOOKUP(F155,'Base Sectores'!$A$5:$J$47,7,FALSE),"")</x:f>
      </x:c>
      <x:c r="M155" s="151" t="str">
        <x:f>IFERROR(VLOOKUP(F155,'Base Sectores'!$A$5:$J$47,9,FALSE),"")</x:f>
      </x:c>
      <x:c r="N155" s="154"/>
      <x:c r="O155" s="151" t="str">
        <x:f>IFERROR(VLOOKUP(N155,'Configuracion'!$D$4:$H$15,2,FALSE),"")</x:f>
      </x:c>
      <x:c r="P155" s="151" t="str">
        <x:f>IFERROR(VLOOKUP(N155,'Configuracion'!$D$4:$H$15,3,FALSE),"")</x:f>
      </x:c>
      <x:c r="Q155" s="155"/>
      <x:c r="R155" s="156" t="str">
        <x:f>IFERROR(VLOOKUP(N155,'Configuracion'!$D$4:$H$15,4,FALSE),"")</x:f>
      </x:c>
      <x:c r="S155" s="153"/>
      <x:c r="T155" s="153"/>
      <x:c r="U155" s="156" t="str">
        <x:f>IF(OR(S155="",T155=""),"",MOD(T155-S155,1)*24)</x:f>
      </x:c>
      <x:c r="V155" s="154"/>
      <x:c r="W155" s="154"/>
      <x:c r="X155" s="151" t="str">
        <x:f>IFERROR(VLOOKUP(N155,'Configuracion'!$D$4:$H$15,5,FALSE),"")</x:f>
      </x:c>
      <x:c r="Y155" s="151" t="str">
        <x:f>IFERROR(VLOOKUP(V155,'Cuadrillas'!$A$5:$J$14,2,FALSE),"")</x:f>
      </x:c>
      <x:c r="Z155" s="154"/>
      <x:c r="AA155" s="154"/>
      <x:c r="AB155" s="154"/>
      <x:c r="AC155" s="153"/>
      <x:c r="AD155" s="153"/>
      <x:c r="AE155" s="156" t="str">
        <x:f>IF(OR(AC155="",AD155=""),"",MOD(AD155-AC155,1)*24)</x:f>
      </x:c>
      <x:c r="AF155" s="154"/>
      <x:c r="AG155" s="156" t="str">
        <x:f>IF(AE155="","",MAX(0,AE155-IF(AF155="",0,AF155/60)))</x:f>
      </x:c>
      <x:c r="AH155" s="155"/>
      <x:c r="AI155" s="154"/>
      <x:c r="AJ155" s="154"/>
      <x:c r="AK155" s="156" t="n">
        <x:f>IFERROR(U155*W155,"")</x:f>
        <x:v>0</x:v>
      </x:c>
      <x:c r="AL155" s="156" t="n">
        <x:f>IFERROR(AE155*AI155,"")</x:f>
        <x:v>0</x:v>
      </x:c>
      <x:c r="AM155" s="157" t="str">
        <x:f>IFERROR(AH155/Q155,"")</x:f>
      </x:c>
      <x:c r="AN155" s="156" t="str">
        <x:f>IFERROR(AH155/AG155,"")</x:f>
      </x:c>
      <x:c r="AO155" s="156" t="str">
        <x:f>IFERROR(AL155/AH155,"")</x:f>
      </x:c>
      <x:c r="AP155" s="157" t="str">
        <x:f>IFERROR(AG155/AE155,"")</x:f>
      </x:c>
      <x:c r="AQ155" s="157" t="str">
        <x:f>IFERROR(AN155/(R155/'Configuracion'!$B$13),"")</x:f>
      </x:c>
      <x:c r="AR155" s="156" t="n">
        <x:f>IFERROR(AE155-U155,"")</x:f>
        <x:v>0</x:v>
      </x:c>
      <x:c r="AS155" s="154"/>
      <x:c r="AT155" s="154"/>
      <x:c r="AU155" s="154"/>
      <x:c r="AV155" s="154"/>
      <x:c r="AW155" s="152"/>
      <x:c r="AX155" s="154"/>
      <x:c r="AY155" s="154"/>
      <x:c r="AZ155" s="151"/>
      <x:c r="BA155" s="151"/>
    </x:row>
    <x:row r="156">
      <x:c r="A156" s="151" t="str">
        <x:f>IF(B156="","",TEXT(B156,"yyyymmdd")&amp;"-"&amp;TEXT(COUNTIF($B$5:B156,B156),"000"))</x:f>
      </x:c>
      <x:c r="B156" s="152"/>
      <x:c r="C156" s="153"/>
      <x:c r="D156" s="151" t="str">
        <x:f>IF(B156="","",'Configuracion'!$B$4)</x:f>
      </x:c>
      <x:c r="E156" s="154"/>
      <x:c r="F156" s="154"/>
      <x:c r="G156" s="151" t="str">
        <x:f>IFERROR(VLOOKUP(F156,'Base Sectores'!$A$5:$J$47,2,FALSE),"")</x:f>
      </x:c>
      <x:c r="H156" s="151" t="str">
        <x:f>IFERROR(VLOOKUP(F156,'Base Sectores'!$A$5:$J$47,3,FALSE),"")</x:f>
      </x:c>
      <x:c r="I156" s="151" t="str">
        <x:f>IFERROR(VLOOKUP(F156,'Base Sectores'!$A$5:$J$47,4,FALSE),"")</x:f>
      </x:c>
      <x:c r="J156" s="151" t="str">
        <x:f>IFERROR(VLOOKUP(F156,'Base Sectores'!$A$5:$J$47,5,FALSE),"")</x:f>
      </x:c>
      <x:c r="K156" s="151" t="str">
        <x:f>IFERROR(VLOOKUP(F156,'Base Sectores'!$A$5:$J$47,6,FALSE),"")</x:f>
      </x:c>
      <x:c r="L156" s="151" t="str">
        <x:f>IFERROR(VLOOKUP(F156,'Base Sectores'!$A$5:$J$47,7,FALSE),"")</x:f>
      </x:c>
      <x:c r="M156" s="151" t="str">
        <x:f>IFERROR(VLOOKUP(F156,'Base Sectores'!$A$5:$J$47,9,FALSE),"")</x:f>
      </x:c>
      <x:c r="N156" s="154"/>
      <x:c r="O156" s="151" t="str">
        <x:f>IFERROR(VLOOKUP(N156,'Configuracion'!$D$4:$H$15,2,FALSE),"")</x:f>
      </x:c>
      <x:c r="P156" s="151" t="str">
        <x:f>IFERROR(VLOOKUP(N156,'Configuracion'!$D$4:$H$15,3,FALSE),"")</x:f>
      </x:c>
      <x:c r="Q156" s="155"/>
      <x:c r="R156" s="156" t="str">
        <x:f>IFERROR(VLOOKUP(N156,'Configuracion'!$D$4:$H$15,4,FALSE),"")</x:f>
      </x:c>
      <x:c r="S156" s="153"/>
      <x:c r="T156" s="153"/>
      <x:c r="U156" s="156" t="str">
        <x:f>IF(OR(S156="",T156=""),"",MOD(T156-S156,1)*24)</x:f>
      </x:c>
      <x:c r="V156" s="154"/>
      <x:c r="W156" s="154"/>
      <x:c r="X156" s="151" t="str">
        <x:f>IFERROR(VLOOKUP(N156,'Configuracion'!$D$4:$H$15,5,FALSE),"")</x:f>
      </x:c>
      <x:c r="Y156" s="151" t="str">
        <x:f>IFERROR(VLOOKUP(V156,'Cuadrillas'!$A$5:$J$14,2,FALSE),"")</x:f>
      </x:c>
      <x:c r="Z156" s="154"/>
      <x:c r="AA156" s="154"/>
      <x:c r="AB156" s="154"/>
      <x:c r="AC156" s="153"/>
      <x:c r="AD156" s="153"/>
      <x:c r="AE156" s="156" t="str">
        <x:f>IF(OR(AC156="",AD156=""),"",MOD(AD156-AC156,1)*24)</x:f>
      </x:c>
      <x:c r="AF156" s="154"/>
      <x:c r="AG156" s="156" t="str">
        <x:f>IF(AE156="","",MAX(0,AE156-IF(AF156="",0,AF156/60)))</x:f>
      </x:c>
      <x:c r="AH156" s="155"/>
      <x:c r="AI156" s="154"/>
      <x:c r="AJ156" s="154"/>
      <x:c r="AK156" s="156" t="n">
        <x:f>IFERROR(U156*W156,"")</x:f>
        <x:v>0</x:v>
      </x:c>
      <x:c r="AL156" s="156" t="n">
        <x:f>IFERROR(AE156*AI156,"")</x:f>
        <x:v>0</x:v>
      </x:c>
      <x:c r="AM156" s="157" t="str">
        <x:f>IFERROR(AH156/Q156,"")</x:f>
      </x:c>
      <x:c r="AN156" s="156" t="str">
        <x:f>IFERROR(AH156/AG156,"")</x:f>
      </x:c>
      <x:c r="AO156" s="156" t="str">
        <x:f>IFERROR(AL156/AH156,"")</x:f>
      </x:c>
      <x:c r="AP156" s="157" t="str">
        <x:f>IFERROR(AG156/AE156,"")</x:f>
      </x:c>
      <x:c r="AQ156" s="157" t="str">
        <x:f>IFERROR(AN156/(R156/'Configuracion'!$B$13),"")</x:f>
      </x:c>
      <x:c r="AR156" s="156" t="n">
        <x:f>IFERROR(AE156-U156,"")</x:f>
        <x:v>0</x:v>
      </x:c>
      <x:c r="AS156" s="154"/>
      <x:c r="AT156" s="154"/>
      <x:c r="AU156" s="154"/>
      <x:c r="AV156" s="154"/>
      <x:c r="AW156" s="152"/>
      <x:c r="AX156" s="154"/>
      <x:c r="AY156" s="154"/>
      <x:c r="AZ156" s="151"/>
      <x:c r="BA156" s="151"/>
    </x:row>
    <x:row r="157">
      <x:c r="A157" s="151" t="str">
        <x:f>IF(B157="","",TEXT(B157,"yyyymmdd")&amp;"-"&amp;TEXT(COUNTIF($B$5:B157,B157),"000"))</x:f>
      </x:c>
      <x:c r="B157" s="152"/>
      <x:c r="C157" s="153"/>
      <x:c r="D157" s="151" t="str">
        <x:f>IF(B157="","",'Configuracion'!$B$4)</x:f>
      </x:c>
      <x:c r="E157" s="154"/>
      <x:c r="F157" s="154"/>
      <x:c r="G157" s="151" t="str">
        <x:f>IFERROR(VLOOKUP(F157,'Base Sectores'!$A$5:$J$47,2,FALSE),"")</x:f>
      </x:c>
      <x:c r="H157" s="151" t="str">
        <x:f>IFERROR(VLOOKUP(F157,'Base Sectores'!$A$5:$J$47,3,FALSE),"")</x:f>
      </x:c>
      <x:c r="I157" s="151" t="str">
        <x:f>IFERROR(VLOOKUP(F157,'Base Sectores'!$A$5:$J$47,4,FALSE),"")</x:f>
      </x:c>
      <x:c r="J157" s="151" t="str">
        <x:f>IFERROR(VLOOKUP(F157,'Base Sectores'!$A$5:$J$47,5,FALSE),"")</x:f>
      </x:c>
      <x:c r="K157" s="151" t="str">
        <x:f>IFERROR(VLOOKUP(F157,'Base Sectores'!$A$5:$J$47,6,FALSE),"")</x:f>
      </x:c>
      <x:c r="L157" s="151" t="str">
        <x:f>IFERROR(VLOOKUP(F157,'Base Sectores'!$A$5:$J$47,7,FALSE),"")</x:f>
      </x:c>
      <x:c r="M157" s="151" t="str">
        <x:f>IFERROR(VLOOKUP(F157,'Base Sectores'!$A$5:$J$47,9,FALSE),"")</x:f>
      </x:c>
      <x:c r="N157" s="154"/>
      <x:c r="O157" s="151" t="str">
        <x:f>IFERROR(VLOOKUP(N157,'Configuracion'!$D$4:$H$15,2,FALSE),"")</x:f>
      </x:c>
      <x:c r="P157" s="151" t="str">
        <x:f>IFERROR(VLOOKUP(N157,'Configuracion'!$D$4:$H$15,3,FALSE),"")</x:f>
      </x:c>
      <x:c r="Q157" s="155"/>
      <x:c r="R157" s="156" t="str">
        <x:f>IFERROR(VLOOKUP(N157,'Configuracion'!$D$4:$H$15,4,FALSE),"")</x:f>
      </x:c>
      <x:c r="S157" s="153"/>
      <x:c r="T157" s="153"/>
      <x:c r="U157" s="156" t="str">
        <x:f>IF(OR(S157="",T157=""),"",MOD(T157-S157,1)*24)</x:f>
      </x:c>
      <x:c r="V157" s="154"/>
      <x:c r="W157" s="154"/>
      <x:c r="X157" s="151" t="str">
        <x:f>IFERROR(VLOOKUP(N157,'Configuracion'!$D$4:$H$15,5,FALSE),"")</x:f>
      </x:c>
      <x:c r="Y157" s="151" t="str">
        <x:f>IFERROR(VLOOKUP(V157,'Cuadrillas'!$A$5:$J$14,2,FALSE),"")</x:f>
      </x:c>
      <x:c r="Z157" s="154"/>
      <x:c r="AA157" s="154"/>
      <x:c r="AB157" s="154"/>
      <x:c r="AC157" s="153"/>
      <x:c r="AD157" s="153"/>
      <x:c r="AE157" s="156" t="str">
        <x:f>IF(OR(AC157="",AD157=""),"",MOD(AD157-AC157,1)*24)</x:f>
      </x:c>
      <x:c r="AF157" s="154"/>
      <x:c r="AG157" s="156" t="str">
        <x:f>IF(AE157="","",MAX(0,AE157-IF(AF157="",0,AF157/60)))</x:f>
      </x:c>
      <x:c r="AH157" s="155"/>
      <x:c r="AI157" s="154"/>
      <x:c r="AJ157" s="154"/>
      <x:c r="AK157" s="156" t="n">
        <x:f>IFERROR(U157*W157,"")</x:f>
        <x:v>0</x:v>
      </x:c>
      <x:c r="AL157" s="156" t="n">
        <x:f>IFERROR(AE157*AI157,"")</x:f>
        <x:v>0</x:v>
      </x:c>
      <x:c r="AM157" s="157" t="str">
        <x:f>IFERROR(AH157/Q157,"")</x:f>
      </x:c>
      <x:c r="AN157" s="156" t="str">
        <x:f>IFERROR(AH157/AG157,"")</x:f>
      </x:c>
      <x:c r="AO157" s="156" t="str">
        <x:f>IFERROR(AL157/AH157,"")</x:f>
      </x:c>
      <x:c r="AP157" s="157" t="str">
        <x:f>IFERROR(AG157/AE157,"")</x:f>
      </x:c>
      <x:c r="AQ157" s="157" t="str">
        <x:f>IFERROR(AN157/(R157/'Configuracion'!$B$13),"")</x:f>
      </x:c>
      <x:c r="AR157" s="156" t="n">
        <x:f>IFERROR(AE157-U157,"")</x:f>
        <x:v>0</x:v>
      </x:c>
      <x:c r="AS157" s="154"/>
      <x:c r="AT157" s="154"/>
      <x:c r="AU157" s="154"/>
      <x:c r="AV157" s="154"/>
      <x:c r="AW157" s="152"/>
      <x:c r="AX157" s="154"/>
      <x:c r="AY157" s="154"/>
      <x:c r="AZ157" s="151"/>
      <x:c r="BA157" s="151"/>
    </x:row>
    <x:row r="158">
      <x:c r="A158" s="151" t="str">
        <x:f>IF(B158="","",TEXT(B158,"yyyymmdd")&amp;"-"&amp;TEXT(COUNTIF($B$5:B158,B158),"000"))</x:f>
      </x:c>
      <x:c r="B158" s="152"/>
      <x:c r="C158" s="153"/>
      <x:c r="D158" s="151" t="str">
        <x:f>IF(B158="","",'Configuracion'!$B$4)</x:f>
      </x:c>
      <x:c r="E158" s="154"/>
      <x:c r="F158" s="154"/>
      <x:c r="G158" s="151" t="str">
        <x:f>IFERROR(VLOOKUP(F158,'Base Sectores'!$A$5:$J$47,2,FALSE),"")</x:f>
      </x:c>
      <x:c r="H158" s="151" t="str">
        <x:f>IFERROR(VLOOKUP(F158,'Base Sectores'!$A$5:$J$47,3,FALSE),"")</x:f>
      </x:c>
      <x:c r="I158" s="151" t="str">
        <x:f>IFERROR(VLOOKUP(F158,'Base Sectores'!$A$5:$J$47,4,FALSE),"")</x:f>
      </x:c>
      <x:c r="J158" s="151" t="str">
        <x:f>IFERROR(VLOOKUP(F158,'Base Sectores'!$A$5:$J$47,5,FALSE),"")</x:f>
      </x:c>
      <x:c r="K158" s="151" t="str">
        <x:f>IFERROR(VLOOKUP(F158,'Base Sectores'!$A$5:$J$47,6,FALSE),"")</x:f>
      </x:c>
      <x:c r="L158" s="151" t="str">
        <x:f>IFERROR(VLOOKUP(F158,'Base Sectores'!$A$5:$J$47,7,FALSE),"")</x:f>
      </x:c>
      <x:c r="M158" s="151" t="str">
        <x:f>IFERROR(VLOOKUP(F158,'Base Sectores'!$A$5:$J$47,9,FALSE),"")</x:f>
      </x:c>
      <x:c r="N158" s="154"/>
      <x:c r="O158" s="151" t="str">
        <x:f>IFERROR(VLOOKUP(N158,'Configuracion'!$D$4:$H$15,2,FALSE),"")</x:f>
      </x:c>
      <x:c r="P158" s="151" t="str">
        <x:f>IFERROR(VLOOKUP(N158,'Configuracion'!$D$4:$H$15,3,FALSE),"")</x:f>
      </x:c>
      <x:c r="Q158" s="155"/>
      <x:c r="R158" s="156" t="str">
        <x:f>IFERROR(VLOOKUP(N158,'Configuracion'!$D$4:$H$15,4,FALSE),"")</x:f>
      </x:c>
      <x:c r="S158" s="153"/>
      <x:c r="T158" s="153"/>
      <x:c r="U158" s="156" t="str">
        <x:f>IF(OR(S158="",T158=""),"",MOD(T158-S158,1)*24)</x:f>
      </x:c>
      <x:c r="V158" s="154"/>
      <x:c r="W158" s="154"/>
      <x:c r="X158" s="151" t="str">
        <x:f>IFERROR(VLOOKUP(N158,'Configuracion'!$D$4:$H$15,5,FALSE),"")</x:f>
      </x:c>
      <x:c r="Y158" s="151" t="str">
        <x:f>IFERROR(VLOOKUP(V158,'Cuadrillas'!$A$5:$J$14,2,FALSE),"")</x:f>
      </x:c>
      <x:c r="Z158" s="154"/>
      <x:c r="AA158" s="154"/>
      <x:c r="AB158" s="154"/>
      <x:c r="AC158" s="153"/>
      <x:c r="AD158" s="153"/>
      <x:c r="AE158" s="156" t="str">
        <x:f>IF(OR(AC158="",AD158=""),"",MOD(AD158-AC158,1)*24)</x:f>
      </x:c>
      <x:c r="AF158" s="154"/>
      <x:c r="AG158" s="156" t="str">
        <x:f>IF(AE158="","",MAX(0,AE158-IF(AF158="",0,AF158/60)))</x:f>
      </x:c>
      <x:c r="AH158" s="155"/>
      <x:c r="AI158" s="154"/>
      <x:c r="AJ158" s="154"/>
      <x:c r="AK158" s="156" t="n">
        <x:f>IFERROR(U158*W158,"")</x:f>
        <x:v>0</x:v>
      </x:c>
      <x:c r="AL158" s="156" t="n">
        <x:f>IFERROR(AE158*AI158,"")</x:f>
        <x:v>0</x:v>
      </x:c>
      <x:c r="AM158" s="157" t="str">
        <x:f>IFERROR(AH158/Q158,"")</x:f>
      </x:c>
      <x:c r="AN158" s="156" t="str">
        <x:f>IFERROR(AH158/AG158,"")</x:f>
      </x:c>
      <x:c r="AO158" s="156" t="str">
        <x:f>IFERROR(AL158/AH158,"")</x:f>
      </x:c>
      <x:c r="AP158" s="157" t="str">
        <x:f>IFERROR(AG158/AE158,"")</x:f>
      </x:c>
      <x:c r="AQ158" s="157" t="str">
        <x:f>IFERROR(AN158/(R158/'Configuracion'!$B$13),"")</x:f>
      </x:c>
      <x:c r="AR158" s="156" t="n">
        <x:f>IFERROR(AE158-U158,"")</x:f>
        <x:v>0</x:v>
      </x:c>
      <x:c r="AS158" s="154"/>
      <x:c r="AT158" s="154"/>
      <x:c r="AU158" s="154"/>
      <x:c r="AV158" s="154"/>
      <x:c r="AW158" s="152"/>
      <x:c r="AX158" s="154"/>
      <x:c r="AY158" s="154"/>
      <x:c r="AZ158" s="151"/>
      <x:c r="BA158" s="151"/>
    </x:row>
    <x:row r="159">
      <x:c r="A159" s="151" t="str">
        <x:f>IF(B159="","",TEXT(B159,"yyyymmdd")&amp;"-"&amp;TEXT(COUNTIF($B$5:B159,B159),"000"))</x:f>
      </x:c>
      <x:c r="B159" s="152"/>
      <x:c r="C159" s="153"/>
      <x:c r="D159" s="151" t="str">
        <x:f>IF(B159="","",'Configuracion'!$B$4)</x:f>
      </x:c>
      <x:c r="E159" s="154"/>
      <x:c r="F159" s="154"/>
      <x:c r="G159" s="151" t="str">
        <x:f>IFERROR(VLOOKUP(F159,'Base Sectores'!$A$5:$J$47,2,FALSE),"")</x:f>
      </x:c>
      <x:c r="H159" s="151" t="str">
        <x:f>IFERROR(VLOOKUP(F159,'Base Sectores'!$A$5:$J$47,3,FALSE),"")</x:f>
      </x:c>
      <x:c r="I159" s="151" t="str">
        <x:f>IFERROR(VLOOKUP(F159,'Base Sectores'!$A$5:$J$47,4,FALSE),"")</x:f>
      </x:c>
      <x:c r="J159" s="151" t="str">
        <x:f>IFERROR(VLOOKUP(F159,'Base Sectores'!$A$5:$J$47,5,FALSE),"")</x:f>
      </x:c>
      <x:c r="K159" s="151" t="str">
        <x:f>IFERROR(VLOOKUP(F159,'Base Sectores'!$A$5:$J$47,6,FALSE),"")</x:f>
      </x:c>
      <x:c r="L159" s="151" t="str">
        <x:f>IFERROR(VLOOKUP(F159,'Base Sectores'!$A$5:$J$47,7,FALSE),"")</x:f>
      </x:c>
      <x:c r="M159" s="151" t="str">
        <x:f>IFERROR(VLOOKUP(F159,'Base Sectores'!$A$5:$J$47,9,FALSE),"")</x:f>
      </x:c>
      <x:c r="N159" s="154"/>
      <x:c r="O159" s="151" t="str">
        <x:f>IFERROR(VLOOKUP(N159,'Configuracion'!$D$4:$H$15,2,FALSE),"")</x:f>
      </x:c>
      <x:c r="P159" s="151" t="str">
        <x:f>IFERROR(VLOOKUP(N159,'Configuracion'!$D$4:$H$15,3,FALSE),"")</x:f>
      </x:c>
      <x:c r="Q159" s="155"/>
      <x:c r="R159" s="156" t="str">
        <x:f>IFERROR(VLOOKUP(N159,'Configuracion'!$D$4:$H$15,4,FALSE),"")</x:f>
      </x:c>
      <x:c r="S159" s="153"/>
      <x:c r="T159" s="153"/>
      <x:c r="U159" s="156" t="str">
        <x:f>IF(OR(S159="",T159=""),"",MOD(T159-S159,1)*24)</x:f>
      </x:c>
      <x:c r="V159" s="154"/>
      <x:c r="W159" s="154"/>
      <x:c r="X159" s="151" t="str">
        <x:f>IFERROR(VLOOKUP(N159,'Configuracion'!$D$4:$H$15,5,FALSE),"")</x:f>
      </x:c>
      <x:c r="Y159" s="151" t="str">
        <x:f>IFERROR(VLOOKUP(V159,'Cuadrillas'!$A$5:$J$14,2,FALSE),"")</x:f>
      </x:c>
      <x:c r="Z159" s="154"/>
      <x:c r="AA159" s="154"/>
      <x:c r="AB159" s="154"/>
      <x:c r="AC159" s="153"/>
      <x:c r="AD159" s="153"/>
      <x:c r="AE159" s="156" t="str">
        <x:f>IF(OR(AC159="",AD159=""),"",MOD(AD159-AC159,1)*24)</x:f>
      </x:c>
      <x:c r="AF159" s="154"/>
      <x:c r="AG159" s="156" t="str">
        <x:f>IF(AE159="","",MAX(0,AE159-IF(AF159="",0,AF159/60)))</x:f>
      </x:c>
      <x:c r="AH159" s="155"/>
      <x:c r="AI159" s="154"/>
      <x:c r="AJ159" s="154"/>
      <x:c r="AK159" s="156" t="n">
        <x:f>IFERROR(U159*W159,"")</x:f>
        <x:v>0</x:v>
      </x:c>
      <x:c r="AL159" s="156" t="n">
        <x:f>IFERROR(AE159*AI159,"")</x:f>
        <x:v>0</x:v>
      </x:c>
      <x:c r="AM159" s="157" t="str">
        <x:f>IFERROR(AH159/Q159,"")</x:f>
      </x:c>
      <x:c r="AN159" s="156" t="str">
        <x:f>IFERROR(AH159/AG159,"")</x:f>
      </x:c>
      <x:c r="AO159" s="156" t="str">
        <x:f>IFERROR(AL159/AH159,"")</x:f>
      </x:c>
      <x:c r="AP159" s="157" t="str">
        <x:f>IFERROR(AG159/AE159,"")</x:f>
      </x:c>
      <x:c r="AQ159" s="157" t="str">
        <x:f>IFERROR(AN159/(R159/'Configuracion'!$B$13),"")</x:f>
      </x:c>
      <x:c r="AR159" s="156" t="n">
        <x:f>IFERROR(AE159-U159,"")</x:f>
        <x:v>0</x:v>
      </x:c>
      <x:c r="AS159" s="154"/>
      <x:c r="AT159" s="154"/>
      <x:c r="AU159" s="154"/>
      <x:c r="AV159" s="154"/>
      <x:c r="AW159" s="152"/>
      <x:c r="AX159" s="154"/>
      <x:c r="AY159" s="154"/>
      <x:c r="AZ159" s="151"/>
      <x:c r="BA159" s="151"/>
    </x:row>
    <x:row r="160">
      <x:c r="A160" s="151" t="str">
        <x:f>IF(B160="","",TEXT(B160,"yyyymmdd")&amp;"-"&amp;TEXT(COUNTIF($B$5:B160,B160),"000"))</x:f>
      </x:c>
      <x:c r="B160" s="152"/>
      <x:c r="C160" s="153"/>
      <x:c r="D160" s="151" t="str">
        <x:f>IF(B160="","",'Configuracion'!$B$4)</x:f>
      </x:c>
      <x:c r="E160" s="154"/>
      <x:c r="F160" s="154"/>
      <x:c r="G160" s="151" t="str">
        <x:f>IFERROR(VLOOKUP(F160,'Base Sectores'!$A$5:$J$47,2,FALSE),"")</x:f>
      </x:c>
      <x:c r="H160" s="151" t="str">
        <x:f>IFERROR(VLOOKUP(F160,'Base Sectores'!$A$5:$J$47,3,FALSE),"")</x:f>
      </x:c>
      <x:c r="I160" s="151" t="str">
        <x:f>IFERROR(VLOOKUP(F160,'Base Sectores'!$A$5:$J$47,4,FALSE),"")</x:f>
      </x:c>
      <x:c r="J160" s="151" t="str">
        <x:f>IFERROR(VLOOKUP(F160,'Base Sectores'!$A$5:$J$47,5,FALSE),"")</x:f>
      </x:c>
      <x:c r="K160" s="151" t="str">
        <x:f>IFERROR(VLOOKUP(F160,'Base Sectores'!$A$5:$J$47,6,FALSE),"")</x:f>
      </x:c>
      <x:c r="L160" s="151" t="str">
        <x:f>IFERROR(VLOOKUP(F160,'Base Sectores'!$A$5:$J$47,7,FALSE),"")</x:f>
      </x:c>
      <x:c r="M160" s="151" t="str">
        <x:f>IFERROR(VLOOKUP(F160,'Base Sectores'!$A$5:$J$47,9,FALSE),"")</x:f>
      </x:c>
      <x:c r="N160" s="154"/>
      <x:c r="O160" s="151" t="str">
        <x:f>IFERROR(VLOOKUP(N160,'Configuracion'!$D$4:$H$15,2,FALSE),"")</x:f>
      </x:c>
      <x:c r="P160" s="151" t="str">
        <x:f>IFERROR(VLOOKUP(N160,'Configuracion'!$D$4:$H$15,3,FALSE),"")</x:f>
      </x:c>
      <x:c r="Q160" s="155"/>
      <x:c r="R160" s="156" t="str">
        <x:f>IFERROR(VLOOKUP(N160,'Configuracion'!$D$4:$H$15,4,FALSE),"")</x:f>
      </x:c>
      <x:c r="S160" s="153"/>
      <x:c r="T160" s="153"/>
      <x:c r="U160" s="156" t="str">
        <x:f>IF(OR(S160="",T160=""),"",MOD(T160-S160,1)*24)</x:f>
      </x:c>
      <x:c r="V160" s="154"/>
      <x:c r="W160" s="154"/>
      <x:c r="X160" s="151" t="str">
        <x:f>IFERROR(VLOOKUP(N160,'Configuracion'!$D$4:$H$15,5,FALSE),"")</x:f>
      </x:c>
      <x:c r="Y160" s="151" t="str">
        <x:f>IFERROR(VLOOKUP(V160,'Cuadrillas'!$A$5:$J$14,2,FALSE),"")</x:f>
      </x:c>
      <x:c r="Z160" s="154"/>
      <x:c r="AA160" s="154"/>
      <x:c r="AB160" s="154"/>
      <x:c r="AC160" s="153"/>
      <x:c r="AD160" s="153"/>
      <x:c r="AE160" s="156" t="str">
        <x:f>IF(OR(AC160="",AD160=""),"",MOD(AD160-AC160,1)*24)</x:f>
      </x:c>
      <x:c r="AF160" s="154"/>
      <x:c r="AG160" s="156" t="str">
        <x:f>IF(AE160="","",MAX(0,AE160-IF(AF160="",0,AF160/60)))</x:f>
      </x:c>
      <x:c r="AH160" s="155"/>
      <x:c r="AI160" s="154"/>
      <x:c r="AJ160" s="154"/>
      <x:c r="AK160" s="156" t="n">
        <x:f>IFERROR(U160*W160,"")</x:f>
        <x:v>0</x:v>
      </x:c>
      <x:c r="AL160" s="156" t="n">
        <x:f>IFERROR(AE160*AI160,"")</x:f>
        <x:v>0</x:v>
      </x:c>
      <x:c r="AM160" s="157" t="str">
        <x:f>IFERROR(AH160/Q160,"")</x:f>
      </x:c>
      <x:c r="AN160" s="156" t="str">
        <x:f>IFERROR(AH160/AG160,"")</x:f>
      </x:c>
      <x:c r="AO160" s="156" t="str">
        <x:f>IFERROR(AL160/AH160,"")</x:f>
      </x:c>
      <x:c r="AP160" s="157" t="str">
        <x:f>IFERROR(AG160/AE160,"")</x:f>
      </x:c>
      <x:c r="AQ160" s="157" t="str">
        <x:f>IFERROR(AN160/(R160/'Configuracion'!$B$13),"")</x:f>
      </x:c>
      <x:c r="AR160" s="156" t="n">
        <x:f>IFERROR(AE160-U160,"")</x:f>
        <x:v>0</x:v>
      </x:c>
      <x:c r="AS160" s="154"/>
      <x:c r="AT160" s="154"/>
      <x:c r="AU160" s="154"/>
      <x:c r="AV160" s="154"/>
      <x:c r="AW160" s="152"/>
      <x:c r="AX160" s="154"/>
      <x:c r="AY160" s="154"/>
      <x:c r="AZ160" s="151"/>
      <x:c r="BA160" s="151"/>
    </x:row>
    <x:row r="161">
      <x:c r="A161" s="151" t="str">
        <x:f>IF(B161="","",TEXT(B161,"yyyymmdd")&amp;"-"&amp;TEXT(COUNTIF($B$5:B161,B161),"000"))</x:f>
      </x:c>
      <x:c r="B161" s="152"/>
      <x:c r="C161" s="153"/>
      <x:c r="D161" s="151" t="str">
        <x:f>IF(B161="","",'Configuracion'!$B$4)</x:f>
      </x:c>
      <x:c r="E161" s="154"/>
      <x:c r="F161" s="154"/>
      <x:c r="G161" s="151" t="str">
        <x:f>IFERROR(VLOOKUP(F161,'Base Sectores'!$A$5:$J$47,2,FALSE),"")</x:f>
      </x:c>
      <x:c r="H161" s="151" t="str">
        <x:f>IFERROR(VLOOKUP(F161,'Base Sectores'!$A$5:$J$47,3,FALSE),"")</x:f>
      </x:c>
      <x:c r="I161" s="151" t="str">
        <x:f>IFERROR(VLOOKUP(F161,'Base Sectores'!$A$5:$J$47,4,FALSE),"")</x:f>
      </x:c>
      <x:c r="J161" s="151" t="str">
        <x:f>IFERROR(VLOOKUP(F161,'Base Sectores'!$A$5:$J$47,5,FALSE),"")</x:f>
      </x:c>
      <x:c r="K161" s="151" t="str">
        <x:f>IFERROR(VLOOKUP(F161,'Base Sectores'!$A$5:$J$47,6,FALSE),"")</x:f>
      </x:c>
      <x:c r="L161" s="151" t="str">
        <x:f>IFERROR(VLOOKUP(F161,'Base Sectores'!$A$5:$J$47,7,FALSE),"")</x:f>
      </x:c>
      <x:c r="M161" s="151" t="str">
        <x:f>IFERROR(VLOOKUP(F161,'Base Sectores'!$A$5:$J$47,9,FALSE),"")</x:f>
      </x:c>
      <x:c r="N161" s="154"/>
      <x:c r="O161" s="151" t="str">
        <x:f>IFERROR(VLOOKUP(N161,'Configuracion'!$D$4:$H$15,2,FALSE),"")</x:f>
      </x:c>
      <x:c r="P161" s="151" t="str">
        <x:f>IFERROR(VLOOKUP(N161,'Configuracion'!$D$4:$H$15,3,FALSE),"")</x:f>
      </x:c>
      <x:c r="Q161" s="155"/>
      <x:c r="R161" s="156" t="str">
        <x:f>IFERROR(VLOOKUP(N161,'Configuracion'!$D$4:$H$15,4,FALSE),"")</x:f>
      </x:c>
      <x:c r="S161" s="153"/>
      <x:c r="T161" s="153"/>
      <x:c r="U161" s="156" t="str">
        <x:f>IF(OR(S161="",T161=""),"",MOD(T161-S161,1)*24)</x:f>
      </x:c>
      <x:c r="V161" s="154"/>
      <x:c r="W161" s="154"/>
      <x:c r="X161" s="151" t="str">
        <x:f>IFERROR(VLOOKUP(N161,'Configuracion'!$D$4:$H$15,5,FALSE),"")</x:f>
      </x:c>
      <x:c r="Y161" s="151" t="str">
        <x:f>IFERROR(VLOOKUP(V161,'Cuadrillas'!$A$5:$J$14,2,FALSE),"")</x:f>
      </x:c>
      <x:c r="Z161" s="154"/>
      <x:c r="AA161" s="154"/>
      <x:c r="AB161" s="154"/>
      <x:c r="AC161" s="153"/>
      <x:c r="AD161" s="153"/>
      <x:c r="AE161" s="156" t="str">
        <x:f>IF(OR(AC161="",AD161=""),"",MOD(AD161-AC161,1)*24)</x:f>
      </x:c>
      <x:c r="AF161" s="154"/>
      <x:c r="AG161" s="156" t="str">
        <x:f>IF(AE161="","",MAX(0,AE161-IF(AF161="",0,AF161/60)))</x:f>
      </x:c>
      <x:c r="AH161" s="155"/>
      <x:c r="AI161" s="154"/>
      <x:c r="AJ161" s="154"/>
      <x:c r="AK161" s="156" t="n">
        <x:f>IFERROR(U161*W161,"")</x:f>
        <x:v>0</x:v>
      </x:c>
      <x:c r="AL161" s="156" t="n">
        <x:f>IFERROR(AE161*AI161,"")</x:f>
        <x:v>0</x:v>
      </x:c>
      <x:c r="AM161" s="157" t="str">
        <x:f>IFERROR(AH161/Q161,"")</x:f>
      </x:c>
      <x:c r="AN161" s="156" t="str">
        <x:f>IFERROR(AH161/AG161,"")</x:f>
      </x:c>
      <x:c r="AO161" s="156" t="str">
        <x:f>IFERROR(AL161/AH161,"")</x:f>
      </x:c>
      <x:c r="AP161" s="157" t="str">
        <x:f>IFERROR(AG161/AE161,"")</x:f>
      </x:c>
      <x:c r="AQ161" s="157" t="str">
        <x:f>IFERROR(AN161/(R161/'Configuracion'!$B$13),"")</x:f>
      </x:c>
      <x:c r="AR161" s="156" t="n">
        <x:f>IFERROR(AE161-U161,"")</x:f>
        <x:v>0</x:v>
      </x:c>
      <x:c r="AS161" s="154"/>
      <x:c r="AT161" s="154"/>
      <x:c r="AU161" s="154"/>
      <x:c r="AV161" s="154"/>
      <x:c r="AW161" s="152"/>
      <x:c r="AX161" s="154"/>
      <x:c r="AY161" s="154"/>
      <x:c r="AZ161" s="151"/>
      <x:c r="BA161" s="151"/>
    </x:row>
    <x:row r="162">
      <x:c r="A162" s="151" t="str">
        <x:f>IF(B162="","",TEXT(B162,"yyyymmdd")&amp;"-"&amp;TEXT(COUNTIF($B$5:B162,B162),"000"))</x:f>
      </x:c>
      <x:c r="B162" s="152"/>
      <x:c r="C162" s="153"/>
      <x:c r="D162" s="151" t="str">
        <x:f>IF(B162="","",'Configuracion'!$B$4)</x:f>
      </x:c>
      <x:c r="E162" s="154"/>
      <x:c r="F162" s="154"/>
      <x:c r="G162" s="151" t="str">
        <x:f>IFERROR(VLOOKUP(F162,'Base Sectores'!$A$5:$J$47,2,FALSE),"")</x:f>
      </x:c>
      <x:c r="H162" s="151" t="str">
        <x:f>IFERROR(VLOOKUP(F162,'Base Sectores'!$A$5:$J$47,3,FALSE),"")</x:f>
      </x:c>
      <x:c r="I162" s="151" t="str">
        <x:f>IFERROR(VLOOKUP(F162,'Base Sectores'!$A$5:$J$47,4,FALSE),"")</x:f>
      </x:c>
      <x:c r="J162" s="151" t="str">
        <x:f>IFERROR(VLOOKUP(F162,'Base Sectores'!$A$5:$J$47,5,FALSE),"")</x:f>
      </x:c>
      <x:c r="K162" s="151" t="str">
        <x:f>IFERROR(VLOOKUP(F162,'Base Sectores'!$A$5:$J$47,6,FALSE),"")</x:f>
      </x:c>
      <x:c r="L162" s="151" t="str">
        <x:f>IFERROR(VLOOKUP(F162,'Base Sectores'!$A$5:$J$47,7,FALSE),"")</x:f>
      </x:c>
      <x:c r="M162" s="151" t="str">
        <x:f>IFERROR(VLOOKUP(F162,'Base Sectores'!$A$5:$J$47,9,FALSE),"")</x:f>
      </x:c>
      <x:c r="N162" s="154"/>
      <x:c r="O162" s="151" t="str">
        <x:f>IFERROR(VLOOKUP(N162,'Configuracion'!$D$4:$H$15,2,FALSE),"")</x:f>
      </x:c>
      <x:c r="P162" s="151" t="str">
        <x:f>IFERROR(VLOOKUP(N162,'Configuracion'!$D$4:$H$15,3,FALSE),"")</x:f>
      </x:c>
      <x:c r="Q162" s="155"/>
      <x:c r="R162" s="156" t="str">
        <x:f>IFERROR(VLOOKUP(N162,'Configuracion'!$D$4:$H$15,4,FALSE),"")</x:f>
      </x:c>
      <x:c r="S162" s="153"/>
      <x:c r="T162" s="153"/>
      <x:c r="U162" s="156" t="str">
        <x:f>IF(OR(S162="",T162=""),"",MOD(T162-S162,1)*24)</x:f>
      </x:c>
      <x:c r="V162" s="154"/>
      <x:c r="W162" s="154"/>
      <x:c r="X162" s="151" t="str">
        <x:f>IFERROR(VLOOKUP(N162,'Configuracion'!$D$4:$H$15,5,FALSE),"")</x:f>
      </x:c>
      <x:c r="Y162" s="151" t="str">
        <x:f>IFERROR(VLOOKUP(V162,'Cuadrillas'!$A$5:$J$14,2,FALSE),"")</x:f>
      </x:c>
      <x:c r="Z162" s="154"/>
      <x:c r="AA162" s="154"/>
      <x:c r="AB162" s="154"/>
      <x:c r="AC162" s="153"/>
      <x:c r="AD162" s="153"/>
      <x:c r="AE162" s="156" t="str">
        <x:f>IF(OR(AC162="",AD162=""),"",MOD(AD162-AC162,1)*24)</x:f>
      </x:c>
      <x:c r="AF162" s="154"/>
      <x:c r="AG162" s="156" t="str">
        <x:f>IF(AE162="","",MAX(0,AE162-IF(AF162="",0,AF162/60)))</x:f>
      </x:c>
      <x:c r="AH162" s="155"/>
      <x:c r="AI162" s="154"/>
      <x:c r="AJ162" s="154"/>
      <x:c r="AK162" s="156" t="n">
        <x:f>IFERROR(U162*W162,"")</x:f>
        <x:v>0</x:v>
      </x:c>
      <x:c r="AL162" s="156" t="n">
        <x:f>IFERROR(AE162*AI162,"")</x:f>
        <x:v>0</x:v>
      </x:c>
      <x:c r="AM162" s="157" t="str">
        <x:f>IFERROR(AH162/Q162,"")</x:f>
      </x:c>
      <x:c r="AN162" s="156" t="str">
        <x:f>IFERROR(AH162/AG162,"")</x:f>
      </x:c>
      <x:c r="AO162" s="156" t="str">
        <x:f>IFERROR(AL162/AH162,"")</x:f>
      </x:c>
      <x:c r="AP162" s="157" t="str">
        <x:f>IFERROR(AG162/AE162,"")</x:f>
      </x:c>
      <x:c r="AQ162" s="157" t="str">
        <x:f>IFERROR(AN162/(R162/'Configuracion'!$B$13),"")</x:f>
      </x:c>
      <x:c r="AR162" s="156" t="n">
        <x:f>IFERROR(AE162-U162,"")</x:f>
        <x:v>0</x:v>
      </x:c>
      <x:c r="AS162" s="154"/>
      <x:c r="AT162" s="154"/>
      <x:c r="AU162" s="154"/>
      <x:c r="AV162" s="154"/>
      <x:c r="AW162" s="152"/>
      <x:c r="AX162" s="154"/>
      <x:c r="AY162" s="154"/>
      <x:c r="AZ162" s="151"/>
      <x:c r="BA162" s="151"/>
    </x:row>
    <x:row r="163">
      <x:c r="A163" s="151" t="str">
        <x:f>IF(B163="","",TEXT(B163,"yyyymmdd")&amp;"-"&amp;TEXT(COUNTIF($B$5:B163,B163),"000"))</x:f>
      </x:c>
      <x:c r="B163" s="152"/>
      <x:c r="C163" s="153"/>
      <x:c r="D163" s="151" t="str">
        <x:f>IF(B163="","",'Configuracion'!$B$4)</x:f>
      </x:c>
      <x:c r="E163" s="154"/>
      <x:c r="F163" s="154"/>
      <x:c r="G163" s="151" t="str">
        <x:f>IFERROR(VLOOKUP(F163,'Base Sectores'!$A$5:$J$47,2,FALSE),"")</x:f>
      </x:c>
      <x:c r="H163" s="151" t="str">
        <x:f>IFERROR(VLOOKUP(F163,'Base Sectores'!$A$5:$J$47,3,FALSE),"")</x:f>
      </x:c>
      <x:c r="I163" s="151" t="str">
        <x:f>IFERROR(VLOOKUP(F163,'Base Sectores'!$A$5:$J$47,4,FALSE),"")</x:f>
      </x:c>
      <x:c r="J163" s="151" t="str">
        <x:f>IFERROR(VLOOKUP(F163,'Base Sectores'!$A$5:$J$47,5,FALSE),"")</x:f>
      </x:c>
      <x:c r="K163" s="151" t="str">
        <x:f>IFERROR(VLOOKUP(F163,'Base Sectores'!$A$5:$J$47,6,FALSE),"")</x:f>
      </x:c>
      <x:c r="L163" s="151" t="str">
        <x:f>IFERROR(VLOOKUP(F163,'Base Sectores'!$A$5:$J$47,7,FALSE),"")</x:f>
      </x:c>
      <x:c r="M163" s="151" t="str">
        <x:f>IFERROR(VLOOKUP(F163,'Base Sectores'!$A$5:$J$47,9,FALSE),"")</x:f>
      </x:c>
      <x:c r="N163" s="154"/>
      <x:c r="O163" s="151" t="str">
        <x:f>IFERROR(VLOOKUP(N163,'Configuracion'!$D$4:$H$15,2,FALSE),"")</x:f>
      </x:c>
      <x:c r="P163" s="151" t="str">
        <x:f>IFERROR(VLOOKUP(N163,'Configuracion'!$D$4:$H$15,3,FALSE),"")</x:f>
      </x:c>
      <x:c r="Q163" s="155"/>
      <x:c r="R163" s="156" t="str">
        <x:f>IFERROR(VLOOKUP(N163,'Configuracion'!$D$4:$H$15,4,FALSE),"")</x:f>
      </x:c>
      <x:c r="S163" s="153"/>
      <x:c r="T163" s="153"/>
      <x:c r="U163" s="156" t="str">
        <x:f>IF(OR(S163="",T163=""),"",MOD(T163-S163,1)*24)</x:f>
      </x:c>
      <x:c r="V163" s="154"/>
      <x:c r="W163" s="154"/>
      <x:c r="X163" s="151" t="str">
        <x:f>IFERROR(VLOOKUP(N163,'Configuracion'!$D$4:$H$15,5,FALSE),"")</x:f>
      </x:c>
      <x:c r="Y163" s="151" t="str">
        <x:f>IFERROR(VLOOKUP(V163,'Cuadrillas'!$A$5:$J$14,2,FALSE),"")</x:f>
      </x:c>
      <x:c r="Z163" s="154"/>
      <x:c r="AA163" s="154"/>
      <x:c r="AB163" s="154"/>
      <x:c r="AC163" s="153"/>
      <x:c r="AD163" s="153"/>
      <x:c r="AE163" s="156" t="str">
        <x:f>IF(OR(AC163="",AD163=""),"",MOD(AD163-AC163,1)*24)</x:f>
      </x:c>
      <x:c r="AF163" s="154"/>
      <x:c r="AG163" s="156" t="str">
        <x:f>IF(AE163="","",MAX(0,AE163-IF(AF163="",0,AF163/60)))</x:f>
      </x:c>
      <x:c r="AH163" s="155"/>
      <x:c r="AI163" s="154"/>
      <x:c r="AJ163" s="154"/>
      <x:c r="AK163" s="156" t="n">
        <x:f>IFERROR(U163*W163,"")</x:f>
        <x:v>0</x:v>
      </x:c>
      <x:c r="AL163" s="156" t="n">
        <x:f>IFERROR(AE163*AI163,"")</x:f>
        <x:v>0</x:v>
      </x:c>
      <x:c r="AM163" s="157" t="str">
        <x:f>IFERROR(AH163/Q163,"")</x:f>
      </x:c>
      <x:c r="AN163" s="156" t="str">
        <x:f>IFERROR(AH163/AG163,"")</x:f>
      </x:c>
      <x:c r="AO163" s="156" t="str">
        <x:f>IFERROR(AL163/AH163,"")</x:f>
      </x:c>
      <x:c r="AP163" s="157" t="str">
        <x:f>IFERROR(AG163/AE163,"")</x:f>
      </x:c>
      <x:c r="AQ163" s="157" t="str">
        <x:f>IFERROR(AN163/(R163/'Configuracion'!$B$13),"")</x:f>
      </x:c>
      <x:c r="AR163" s="156" t="n">
        <x:f>IFERROR(AE163-U163,"")</x:f>
        <x:v>0</x:v>
      </x:c>
      <x:c r="AS163" s="154"/>
      <x:c r="AT163" s="154"/>
      <x:c r="AU163" s="154"/>
      <x:c r="AV163" s="154"/>
      <x:c r="AW163" s="152"/>
      <x:c r="AX163" s="154"/>
      <x:c r="AY163" s="154"/>
      <x:c r="AZ163" s="151"/>
      <x:c r="BA163" s="151"/>
    </x:row>
    <x:row r="164">
      <x:c r="A164" s="151" t="str">
        <x:f>IF(B164="","",TEXT(B164,"yyyymmdd")&amp;"-"&amp;TEXT(COUNTIF($B$5:B164,B164),"000"))</x:f>
      </x:c>
      <x:c r="B164" s="152"/>
      <x:c r="C164" s="153"/>
      <x:c r="D164" s="151" t="str">
        <x:f>IF(B164="","",'Configuracion'!$B$4)</x:f>
      </x:c>
      <x:c r="E164" s="154"/>
      <x:c r="F164" s="154"/>
      <x:c r="G164" s="151" t="str">
        <x:f>IFERROR(VLOOKUP(F164,'Base Sectores'!$A$5:$J$47,2,FALSE),"")</x:f>
      </x:c>
      <x:c r="H164" s="151" t="str">
        <x:f>IFERROR(VLOOKUP(F164,'Base Sectores'!$A$5:$J$47,3,FALSE),"")</x:f>
      </x:c>
      <x:c r="I164" s="151" t="str">
        <x:f>IFERROR(VLOOKUP(F164,'Base Sectores'!$A$5:$J$47,4,FALSE),"")</x:f>
      </x:c>
      <x:c r="J164" s="151" t="str">
        <x:f>IFERROR(VLOOKUP(F164,'Base Sectores'!$A$5:$J$47,5,FALSE),"")</x:f>
      </x:c>
      <x:c r="K164" s="151" t="str">
        <x:f>IFERROR(VLOOKUP(F164,'Base Sectores'!$A$5:$J$47,6,FALSE),"")</x:f>
      </x:c>
      <x:c r="L164" s="151" t="str">
        <x:f>IFERROR(VLOOKUP(F164,'Base Sectores'!$A$5:$J$47,7,FALSE),"")</x:f>
      </x:c>
      <x:c r="M164" s="151" t="str">
        <x:f>IFERROR(VLOOKUP(F164,'Base Sectores'!$A$5:$J$47,9,FALSE),"")</x:f>
      </x:c>
      <x:c r="N164" s="154"/>
      <x:c r="O164" s="151" t="str">
        <x:f>IFERROR(VLOOKUP(N164,'Configuracion'!$D$4:$H$15,2,FALSE),"")</x:f>
      </x:c>
      <x:c r="P164" s="151" t="str">
        <x:f>IFERROR(VLOOKUP(N164,'Configuracion'!$D$4:$H$15,3,FALSE),"")</x:f>
      </x:c>
      <x:c r="Q164" s="155"/>
      <x:c r="R164" s="156" t="str">
        <x:f>IFERROR(VLOOKUP(N164,'Configuracion'!$D$4:$H$15,4,FALSE),"")</x:f>
      </x:c>
      <x:c r="S164" s="153"/>
      <x:c r="T164" s="153"/>
      <x:c r="U164" s="156" t="str">
        <x:f>IF(OR(S164="",T164=""),"",MOD(T164-S164,1)*24)</x:f>
      </x:c>
      <x:c r="V164" s="154"/>
      <x:c r="W164" s="154"/>
      <x:c r="X164" s="151" t="str">
        <x:f>IFERROR(VLOOKUP(N164,'Configuracion'!$D$4:$H$15,5,FALSE),"")</x:f>
      </x:c>
      <x:c r="Y164" s="151" t="str">
        <x:f>IFERROR(VLOOKUP(V164,'Cuadrillas'!$A$5:$J$14,2,FALSE),"")</x:f>
      </x:c>
      <x:c r="Z164" s="154"/>
      <x:c r="AA164" s="154"/>
      <x:c r="AB164" s="154"/>
      <x:c r="AC164" s="153"/>
      <x:c r="AD164" s="153"/>
      <x:c r="AE164" s="156" t="str">
        <x:f>IF(OR(AC164="",AD164=""),"",MOD(AD164-AC164,1)*24)</x:f>
      </x:c>
      <x:c r="AF164" s="154"/>
      <x:c r="AG164" s="156" t="str">
        <x:f>IF(AE164="","",MAX(0,AE164-IF(AF164="",0,AF164/60)))</x:f>
      </x:c>
      <x:c r="AH164" s="155"/>
      <x:c r="AI164" s="154"/>
      <x:c r="AJ164" s="154"/>
      <x:c r="AK164" s="156" t="n">
        <x:f>IFERROR(U164*W164,"")</x:f>
        <x:v>0</x:v>
      </x:c>
      <x:c r="AL164" s="156" t="n">
        <x:f>IFERROR(AE164*AI164,"")</x:f>
        <x:v>0</x:v>
      </x:c>
      <x:c r="AM164" s="157" t="str">
        <x:f>IFERROR(AH164/Q164,"")</x:f>
      </x:c>
      <x:c r="AN164" s="156" t="str">
        <x:f>IFERROR(AH164/AG164,"")</x:f>
      </x:c>
      <x:c r="AO164" s="156" t="str">
        <x:f>IFERROR(AL164/AH164,"")</x:f>
      </x:c>
      <x:c r="AP164" s="157" t="str">
        <x:f>IFERROR(AG164/AE164,"")</x:f>
      </x:c>
      <x:c r="AQ164" s="157" t="str">
        <x:f>IFERROR(AN164/(R164/'Configuracion'!$B$13),"")</x:f>
      </x:c>
      <x:c r="AR164" s="156" t="n">
        <x:f>IFERROR(AE164-U164,"")</x:f>
        <x:v>0</x:v>
      </x:c>
      <x:c r="AS164" s="154"/>
      <x:c r="AT164" s="154"/>
      <x:c r="AU164" s="154"/>
      <x:c r="AV164" s="154"/>
      <x:c r="AW164" s="152"/>
      <x:c r="AX164" s="154"/>
      <x:c r="AY164" s="154"/>
      <x:c r="AZ164" s="151"/>
      <x:c r="BA164" s="151"/>
    </x:row>
    <x:row r="165">
      <x:c r="A165" s="151" t="str">
        <x:f>IF(B165="","",TEXT(B165,"yyyymmdd")&amp;"-"&amp;TEXT(COUNTIF($B$5:B165,B165),"000"))</x:f>
      </x:c>
      <x:c r="B165" s="152"/>
      <x:c r="C165" s="153"/>
      <x:c r="D165" s="151" t="str">
        <x:f>IF(B165="","",'Configuracion'!$B$4)</x:f>
      </x:c>
      <x:c r="E165" s="154"/>
      <x:c r="F165" s="154"/>
      <x:c r="G165" s="151" t="str">
        <x:f>IFERROR(VLOOKUP(F165,'Base Sectores'!$A$5:$J$47,2,FALSE),"")</x:f>
      </x:c>
      <x:c r="H165" s="151" t="str">
        <x:f>IFERROR(VLOOKUP(F165,'Base Sectores'!$A$5:$J$47,3,FALSE),"")</x:f>
      </x:c>
      <x:c r="I165" s="151" t="str">
        <x:f>IFERROR(VLOOKUP(F165,'Base Sectores'!$A$5:$J$47,4,FALSE),"")</x:f>
      </x:c>
      <x:c r="J165" s="151" t="str">
        <x:f>IFERROR(VLOOKUP(F165,'Base Sectores'!$A$5:$J$47,5,FALSE),"")</x:f>
      </x:c>
      <x:c r="K165" s="151" t="str">
        <x:f>IFERROR(VLOOKUP(F165,'Base Sectores'!$A$5:$J$47,6,FALSE),"")</x:f>
      </x:c>
      <x:c r="L165" s="151" t="str">
        <x:f>IFERROR(VLOOKUP(F165,'Base Sectores'!$A$5:$J$47,7,FALSE),"")</x:f>
      </x:c>
      <x:c r="M165" s="151" t="str">
        <x:f>IFERROR(VLOOKUP(F165,'Base Sectores'!$A$5:$J$47,9,FALSE),"")</x:f>
      </x:c>
      <x:c r="N165" s="154"/>
      <x:c r="O165" s="151" t="str">
        <x:f>IFERROR(VLOOKUP(N165,'Configuracion'!$D$4:$H$15,2,FALSE),"")</x:f>
      </x:c>
      <x:c r="P165" s="151" t="str">
        <x:f>IFERROR(VLOOKUP(N165,'Configuracion'!$D$4:$H$15,3,FALSE),"")</x:f>
      </x:c>
      <x:c r="Q165" s="155"/>
      <x:c r="R165" s="156" t="str">
        <x:f>IFERROR(VLOOKUP(N165,'Configuracion'!$D$4:$H$15,4,FALSE),"")</x:f>
      </x:c>
      <x:c r="S165" s="153"/>
      <x:c r="T165" s="153"/>
      <x:c r="U165" s="156" t="str">
        <x:f>IF(OR(S165="",T165=""),"",MOD(T165-S165,1)*24)</x:f>
      </x:c>
      <x:c r="V165" s="154"/>
      <x:c r="W165" s="154"/>
      <x:c r="X165" s="151" t="str">
        <x:f>IFERROR(VLOOKUP(N165,'Configuracion'!$D$4:$H$15,5,FALSE),"")</x:f>
      </x:c>
      <x:c r="Y165" s="151" t="str">
        <x:f>IFERROR(VLOOKUP(V165,'Cuadrillas'!$A$5:$J$14,2,FALSE),"")</x:f>
      </x:c>
      <x:c r="Z165" s="154"/>
      <x:c r="AA165" s="154"/>
      <x:c r="AB165" s="154"/>
      <x:c r="AC165" s="153"/>
      <x:c r="AD165" s="153"/>
      <x:c r="AE165" s="156" t="str">
        <x:f>IF(OR(AC165="",AD165=""),"",MOD(AD165-AC165,1)*24)</x:f>
      </x:c>
      <x:c r="AF165" s="154"/>
      <x:c r="AG165" s="156" t="str">
        <x:f>IF(AE165="","",MAX(0,AE165-IF(AF165="",0,AF165/60)))</x:f>
      </x:c>
      <x:c r="AH165" s="155"/>
      <x:c r="AI165" s="154"/>
      <x:c r="AJ165" s="154"/>
      <x:c r="AK165" s="156" t="n">
        <x:f>IFERROR(U165*W165,"")</x:f>
        <x:v>0</x:v>
      </x:c>
      <x:c r="AL165" s="156" t="n">
        <x:f>IFERROR(AE165*AI165,"")</x:f>
        <x:v>0</x:v>
      </x:c>
      <x:c r="AM165" s="157" t="str">
        <x:f>IFERROR(AH165/Q165,"")</x:f>
      </x:c>
      <x:c r="AN165" s="156" t="str">
        <x:f>IFERROR(AH165/AG165,"")</x:f>
      </x:c>
      <x:c r="AO165" s="156" t="str">
        <x:f>IFERROR(AL165/AH165,"")</x:f>
      </x:c>
      <x:c r="AP165" s="157" t="str">
        <x:f>IFERROR(AG165/AE165,"")</x:f>
      </x:c>
      <x:c r="AQ165" s="157" t="str">
        <x:f>IFERROR(AN165/(R165/'Configuracion'!$B$13),"")</x:f>
      </x:c>
      <x:c r="AR165" s="156" t="n">
        <x:f>IFERROR(AE165-U165,"")</x:f>
        <x:v>0</x:v>
      </x:c>
      <x:c r="AS165" s="154"/>
      <x:c r="AT165" s="154"/>
      <x:c r="AU165" s="154"/>
      <x:c r="AV165" s="154"/>
      <x:c r="AW165" s="152"/>
      <x:c r="AX165" s="154"/>
      <x:c r="AY165" s="154"/>
      <x:c r="AZ165" s="151"/>
      <x:c r="BA165" s="151"/>
    </x:row>
    <x:row r="166">
      <x:c r="A166" s="151" t="str">
        <x:f>IF(B166="","",TEXT(B166,"yyyymmdd")&amp;"-"&amp;TEXT(COUNTIF($B$5:B166,B166),"000"))</x:f>
      </x:c>
      <x:c r="B166" s="152"/>
      <x:c r="C166" s="153"/>
      <x:c r="D166" s="151" t="str">
        <x:f>IF(B166="","",'Configuracion'!$B$4)</x:f>
      </x:c>
      <x:c r="E166" s="154"/>
      <x:c r="F166" s="154"/>
      <x:c r="G166" s="151" t="str">
        <x:f>IFERROR(VLOOKUP(F166,'Base Sectores'!$A$5:$J$47,2,FALSE),"")</x:f>
      </x:c>
      <x:c r="H166" s="151" t="str">
        <x:f>IFERROR(VLOOKUP(F166,'Base Sectores'!$A$5:$J$47,3,FALSE),"")</x:f>
      </x:c>
      <x:c r="I166" s="151" t="str">
        <x:f>IFERROR(VLOOKUP(F166,'Base Sectores'!$A$5:$J$47,4,FALSE),"")</x:f>
      </x:c>
      <x:c r="J166" s="151" t="str">
        <x:f>IFERROR(VLOOKUP(F166,'Base Sectores'!$A$5:$J$47,5,FALSE),"")</x:f>
      </x:c>
      <x:c r="K166" s="151" t="str">
        <x:f>IFERROR(VLOOKUP(F166,'Base Sectores'!$A$5:$J$47,6,FALSE),"")</x:f>
      </x:c>
      <x:c r="L166" s="151" t="str">
        <x:f>IFERROR(VLOOKUP(F166,'Base Sectores'!$A$5:$J$47,7,FALSE),"")</x:f>
      </x:c>
      <x:c r="M166" s="151" t="str">
        <x:f>IFERROR(VLOOKUP(F166,'Base Sectores'!$A$5:$J$47,9,FALSE),"")</x:f>
      </x:c>
      <x:c r="N166" s="154"/>
      <x:c r="O166" s="151" t="str">
        <x:f>IFERROR(VLOOKUP(N166,'Configuracion'!$D$4:$H$15,2,FALSE),"")</x:f>
      </x:c>
      <x:c r="P166" s="151" t="str">
        <x:f>IFERROR(VLOOKUP(N166,'Configuracion'!$D$4:$H$15,3,FALSE),"")</x:f>
      </x:c>
      <x:c r="Q166" s="155"/>
      <x:c r="R166" s="156" t="str">
        <x:f>IFERROR(VLOOKUP(N166,'Configuracion'!$D$4:$H$15,4,FALSE),"")</x:f>
      </x:c>
      <x:c r="S166" s="153"/>
      <x:c r="T166" s="153"/>
      <x:c r="U166" s="156" t="str">
        <x:f>IF(OR(S166="",T166=""),"",MOD(T166-S166,1)*24)</x:f>
      </x:c>
      <x:c r="V166" s="154"/>
      <x:c r="W166" s="154"/>
      <x:c r="X166" s="151" t="str">
        <x:f>IFERROR(VLOOKUP(N166,'Configuracion'!$D$4:$H$15,5,FALSE),"")</x:f>
      </x:c>
      <x:c r="Y166" s="151" t="str">
        <x:f>IFERROR(VLOOKUP(V166,'Cuadrillas'!$A$5:$J$14,2,FALSE),"")</x:f>
      </x:c>
      <x:c r="Z166" s="154"/>
      <x:c r="AA166" s="154"/>
      <x:c r="AB166" s="154"/>
      <x:c r="AC166" s="153"/>
      <x:c r="AD166" s="153"/>
      <x:c r="AE166" s="156" t="str">
        <x:f>IF(OR(AC166="",AD166=""),"",MOD(AD166-AC166,1)*24)</x:f>
      </x:c>
      <x:c r="AF166" s="154"/>
      <x:c r="AG166" s="156" t="str">
        <x:f>IF(AE166="","",MAX(0,AE166-IF(AF166="",0,AF166/60)))</x:f>
      </x:c>
      <x:c r="AH166" s="155"/>
      <x:c r="AI166" s="154"/>
      <x:c r="AJ166" s="154"/>
      <x:c r="AK166" s="156" t="n">
        <x:f>IFERROR(U166*W166,"")</x:f>
        <x:v>0</x:v>
      </x:c>
      <x:c r="AL166" s="156" t="n">
        <x:f>IFERROR(AE166*AI166,"")</x:f>
        <x:v>0</x:v>
      </x:c>
      <x:c r="AM166" s="157" t="str">
        <x:f>IFERROR(AH166/Q166,"")</x:f>
      </x:c>
      <x:c r="AN166" s="156" t="str">
        <x:f>IFERROR(AH166/AG166,"")</x:f>
      </x:c>
      <x:c r="AO166" s="156" t="str">
        <x:f>IFERROR(AL166/AH166,"")</x:f>
      </x:c>
      <x:c r="AP166" s="157" t="str">
        <x:f>IFERROR(AG166/AE166,"")</x:f>
      </x:c>
      <x:c r="AQ166" s="157" t="str">
        <x:f>IFERROR(AN166/(R166/'Configuracion'!$B$13),"")</x:f>
      </x:c>
      <x:c r="AR166" s="156" t="n">
        <x:f>IFERROR(AE166-U166,"")</x:f>
        <x:v>0</x:v>
      </x:c>
      <x:c r="AS166" s="154"/>
      <x:c r="AT166" s="154"/>
      <x:c r="AU166" s="154"/>
      <x:c r="AV166" s="154"/>
      <x:c r="AW166" s="152"/>
      <x:c r="AX166" s="154"/>
      <x:c r="AY166" s="154"/>
      <x:c r="AZ166" s="151"/>
      <x:c r="BA166" s="151"/>
    </x:row>
    <x:row r="167">
      <x:c r="A167" s="151" t="str">
        <x:f>IF(B167="","",TEXT(B167,"yyyymmdd")&amp;"-"&amp;TEXT(COUNTIF($B$5:B167,B167),"000"))</x:f>
      </x:c>
      <x:c r="B167" s="152"/>
      <x:c r="C167" s="153"/>
      <x:c r="D167" s="151" t="str">
        <x:f>IF(B167="","",'Configuracion'!$B$4)</x:f>
      </x:c>
      <x:c r="E167" s="154"/>
      <x:c r="F167" s="154"/>
      <x:c r="G167" s="151" t="str">
        <x:f>IFERROR(VLOOKUP(F167,'Base Sectores'!$A$5:$J$47,2,FALSE),"")</x:f>
      </x:c>
      <x:c r="H167" s="151" t="str">
        <x:f>IFERROR(VLOOKUP(F167,'Base Sectores'!$A$5:$J$47,3,FALSE),"")</x:f>
      </x:c>
      <x:c r="I167" s="151" t="str">
        <x:f>IFERROR(VLOOKUP(F167,'Base Sectores'!$A$5:$J$47,4,FALSE),"")</x:f>
      </x:c>
      <x:c r="J167" s="151" t="str">
        <x:f>IFERROR(VLOOKUP(F167,'Base Sectores'!$A$5:$J$47,5,FALSE),"")</x:f>
      </x:c>
      <x:c r="K167" s="151" t="str">
        <x:f>IFERROR(VLOOKUP(F167,'Base Sectores'!$A$5:$J$47,6,FALSE),"")</x:f>
      </x:c>
      <x:c r="L167" s="151" t="str">
        <x:f>IFERROR(VLOOKUP(F167,'Base Sectores'!$A$5:$J$47,7,FALSE),"")</x:f>
      </x:c>
      <x:c r="M167" s="151" t="str">
        <x:f>IFERROR(VLOOKUP(F167,'Base Sectores'!$A$5:$J$47,9,FALSE),"")</x:f>
      </x:c>
      <x:c r="N167" s="154"/>
      <x:c r="O167" s="151" t="str">
        <x:f>IFERROR(VLOOKUP(N167,'Configuracion'!$D$4:$H$15,2,FALSE),"")</x:f>
      </x:c>
      <x:c r="P167" s="151" t="str">
        <x:f>IFERROR(VLOOKUP(N167,'Configuracion'!$D$4:$H$15,3,FALSE),"")</x:f>
      </x:c>
      <x:c r="Q167" s="155"/>
      <x:c r="R167" s="156" t="str">
        <x:f>IFERROR(VLOOKUP(N167,'Configuracion'!$D$4:$H$15,4,FALSE),"")</x:f>
      </x:c>
      <x:c r="S167" s="153"/>
      <x:c r="T167" s="153"/>
      <x:c r="U167" s="156" t="str">
        <x:f>IF(OR(S167="",T167=""),"",MOD(T167-S167,1)*24)</x:f>
      </x:c>
      <x:c r="V167" s="154"/>
      <x:c r="W167" s="154"/>
      <x:c r="X167" s="151" t="str">
        <x:f>IFERROR(VLOOKUP(N167,'Configuracion'!$D$4:$H$15,5,FALSE),"")</x:f>
      </x:c>
      <x:c r="Y167" s="151" t="str">
        <x:f>IFERROR(VLOOKUP(V167,'Cuadrillas'!$A$5:$J$14,2,FALSE),"")</x:f>
      </x:c>
      <x:c r="Z167" s="154"/>
      <x:c r="AA167" s="154"/>
      <x:c r="AB167" s="154"/>
      <x:c r="AC167" s="153"/>
      <x:c r="AD167" s="153"/>
      <x:c r="AE167" s="156" t="str">
        <x:f>IF(OR(AC167="",AD167=""),"",MOD(AD167-AC167,1)*24)</x:f>
      </x:c>
      <x:c r="AF167" s="154"/>
      <x:c r="AG167" s="156" t="str">
        <x:f>IF(AE167="","",MAX(0,AE167-IF(AF167="",0,AF167/60)))</x:f>
      </x:c>
      <x:c r="AH167" s="155"/>
      <x:c r="AI167" s="154"/>
      <x:c r="AJ167" s="154"/>
      <x:c r="AK167" s="156" t="n">
        <x:f>IFERROR(U167*W167,"")</x:f>
        <x:v>0</x:v>
      </x:c>
      <x:c r="AL167" s="156" t="n">
        <x:f>IFERROR(AE167*AI167,"")</x:f>
        <x:v>0</x:v>
      </x:c>
      <x:c r="AM167" s="157" t="str">
        <x:f>IFERROR(AH167/Q167,"")</x:f>
      </x:c>
      <x:c r="AN167" s="156" t="str">
        <x:f>IFERROR(AH167/AG167,"")</x:f>
      </x:c>
      <x:c r="AO167" s="156" t="str">
        <x:f>IFERROR(AL167/AH167,"")</x:f>
      </x:c>
      <x:c r="AP167" s="157" t="str">
        <x:f>IFERROR(AG167/AE167,"")</x:f>
      </x:c>
      <x:c r="AQ167" s="157" t="str">
        <x:f>IFERROR(AN167/(R167/'Configuracion'!$B$13),"")</x:f>
      </x:c>
      <x:c r="AR167" s="156" t="n">
        <x:f>IFERROR(AE167-U167,"")</x:f>
        <x:v>0</x:v>
      </x:c>
      <x:c r="AS167" s="154"/>
      <x:c r="AT167" s="154"/>
      <x:c r="AU167" s="154"/>
      <x:c r="AV167" s="154"/>
      <x:c r="AW167" s="152"/>
      <x:c r="AX167" s="154"/>
      <x:c r="AY167" s="154"/>
      <x:c r="AZ167" s="151"/>
      <x:c r="BA167" s="151"/>
    </x:row>
    <x:row r="168">
      <x:c r="A168" s="151" t="str">
        <x:f>IF(B168="","",TEXT(B168,"yyyymmdd")&amp;"-"&amp;TEXT(COUNTIF($B$5:B168,B168),"000"))</x:f>
      </x:c>
      <x:c r="B168" s="152"/>
      <x:c r="C168" s="153"/>
      <x:c r="D168" s="151" t="str">
        <x:f>IF(B168="","",'Configuracion'!$B$4)</x:f>
      </x:c>
      <x:c r="E168" s="154"/>
      <x:c r="F168" s="154"/>
      <x:c r="G168" s="151" t="str">
        <x:f>IFERROR(VLOOKUP(F168,'Base Sectores'!$A$5:$J$47,2,FALSE),"")</x:f>
      </x:c>
      <x:c r="H168" s="151" t="str">
        <x:f>IFERROR(VLOOKUP(F168,'Base Sectores'!$A$5:$J$47,3,FALSE),"")</x:f>
      </x:c>
      <x:c r="I168" s="151" t="str">
        <x:f>IFERROR(VLOOKUP(F168,'Base Sectores'!$A$5:$J$47,4,FALSE),"")</x:f>
      </x:c>
      <x:c r="J168" s="151" t="str">
        <x:f>IFERROR(VLOOKUP(F168,'Base Sectores'!$A$5:$J$47,5,FALSE),"")</x:f>
      </x:c>
      <x:c r="K168" s="151" t="str">
        <x:f>IFERROR(VLOOKUP(F168,'Base Sectores'!$A$5:$J$47,6,FALSE),"")</x:f>
      </x:c>
      <x:c r="L168" s="151" t="str">
        <x:f>IFERROR(VLOOKUP(F168,'Base Sectores'!$A$5:$J$47,7,FALSE),"")</x:f>
      </x:c>
      <x:c r="M168" s="151" t="str">
        <x:f>IFERROR(VLOOKUP(F168,'Base Sectores'!$A$5:$J$47,9,FALSE),"")</x:f>
      </x:c>
      <x:c r="N168" s="154"/>
      <x:c r="O168" s="151" t="str">
        <x:f>IFERROR(VLOOKUP(N168,'Configuracion'!$D$4:$H$15,2,FALSE),"")</x:f>
      </x:c>
      <x:c r="P168" s="151" t="str">
        <x:f>IFERROR(VLOOKUP(N168,'Configuracion'!$D$4:$H$15,3,FALSE),"")</x:f>
      </x:c>
      <x:c r="Q168" s="155"/>
      <x:c r="R168" s="156" t="str">
        <x:f>IFERROR(VLOOKUP(N168,'Configuracion'!$D$4:$H$15,4,FALSE),"")</x:f>
      </x:c>
      <x:c r="S168" s="153"/>
      <x:c r="T168" s="153"/>
      <x:c r="U168" s="156" t="str">
        <x:f>IF(OR(S168="",T168=""),"",MOD(T168-S168,1)*24)</x:f>
      </x:c>
      <x:c r="V168" s="154"/>
      <x:c r="W168" s="154"/>
      <x:c r="X168" s="151" t="str">
        <x:f>IFERROR(VLOOKUP(N168,'Configuracion'!$D$4:$H$15,5,FALSE),"")</x:f>
      </x:c>
      <x:c r="Y168" s="151" t="str">
        <x:f>IFERROR(VLOOKUP(V168,'Cuadrillas'!$A$5:$J$14,2,FALSE),"")</x:f>
      </x:c>
      <x:c r="Z168" s="154"/>
      <x:c r="AA168" s="154"/>
      <x:c r="AB168" s="154"/>
      <x:c r="AC168" s="153"/>
      <x:c r="AD168" s="153"/>
      <x:c r="AE168" s="156" t="str">
        <x:f>IF(OR(AC168="",AD168=""),"",MOD(AD168-AC168,1)*24)</x:f>
      </x:c>
      <x:c r="AF168" s="154"/>
      <x:c r="AG168" s="156" t="str">
        <x:f>IF(AE168="","",MAX(0,AE168-IF(AF168="",0,AF168/60)))</x:f>
      </x:c>
      <x:c r="AH168" s="155"/>
      <x:c r="AI168" s="154"/>
      <x:c r="AJ168" s="154"/>
      <x:c r="AK168" s="156" t="n">
        <x:f>IFERROR(U168*W168,"")</x:f>
        <x:v>0</x:v>
      </x:c>
      <x:c r="AL168" s="156" t="n">
        <x:f>IFERROR(AE168*AI168,"")</x:f>
        <x:v>0</x:v>
      </x:c>
      <x:c r="AM168" s="157" t="str">
        <x:f>IFERROR(AH168/Q168,"")</x:f>
      </x:c>
      <x:c r="AN168" s="156" t="str">
        <x:f>IFERROR(AH168/AG168,"")</x:f>
      </x:c>
      <x:c r="AO168" s="156" t="str">
        <x:f>IFERROR(AL168/AH168,"")</x:f>
      </x:c>
      <x:c r="AP168" s="157" t="str">
        <x:f>IFERROR(AG168/AE168,"")</x:f>
      </x:c>
      <x:c r="AQ168" s="157" t="str">
        <x:f>IFERROR(AN168/(R168/'Configuracion'!$B$13),"")</x:f>
      </x:c>
      <x:c r="AR168" s="156" t="n">
        <x:f>IFERROR(AE168-U168,"")</x:f>
        <x:v>0</x:v>
      </x:c>
      <x:c r="AS168" s="154"/>
      <x:c r="AT168" s="154"/>
      <x:c r="AU168" s="154"/>
      <x:c r="AV168" s="154"/>
      <x:c r="AW168" s="152"/>
      <x:c r="AX168" s="154"/>
      <x:c r="AY168" s="154"/>
      <x:c r="AZ168" s="151"/>
      <x:c r="BA168" s="151"/>
    </x:row>
    <x:row r="169">
      <x:c r="A169" s="151" t="str">
        <x:f>IF(B169="","",TEXT(B169,"yyyymmdd")&amp;"-"&amp;TEXT(COUNTIF($B$5:B169,B169),"000"))</x:f>
      </x:c>
      <x:c r="B169" s="152"/>
      <x:c r="C169" s="153"/>
      <x:c r="D169" s="151" t="str">
        <x:f>IF(B169="","",'Configuracion'!$B$4)</x:f>
      </x:c>
      <x:c r="E169" s="154"/>
      <x:c r="F169" s="154"/>
      <x:c r="G169" s="151" t="str">
        <x:f>IFERROR(VLOOKUP(F169,'Base Sectores'!$A$5:$J$47,2,FALSE),"")</x:f>
      </x:c>
      <x:c r="H169" s="151" t="str">
        <x:f>IFERROR(VLOOKUP(F169,'Base Sectores'!$A$5:$J$47,3,FALSE),"")</x:f>
      </x:c>
      <x:c r="I169" s="151" t="str">
        <x:f>IFERROR(VLOOKUP(F169,'Base Sectores'!$A$5:$J$47,4,FALSE),"")</x:f>
      </x:c>
      <x:c r="J169" s="151" t="str">
        <x:f>IFERROR(VLOOKUP(F169,'Base Sectores'!$A$5:$J$47,5,FALSE),"")</x:f>
      </x:c>
      <x:c r="K169" s="151" t="str">
        <x:f>IFERROR(VLOOKUP(F169,'Base Sectores'!$A$5:$J$47,6,FALSE),"")</x:f>
      </x:c>
      <x:c r="L169" s="151" t="str">
        <x:f>IFERROR(VLOOKUP(F169,'Base Sectores'!$A$5:$J$47,7,FALSE),"")</x:f>
      </x:c>
      <x:c r="M169" s="151" t="str">
        <x:f>IFERROR(VLOOKUP(F169,'Base Sectores'!$A$5:$J$47,9,FALSE),"")</x:f>
      </x:c>
      <x:c r="N169" s="154"/>
      <x:c r="O169" s="151" t="str">
        <x:f>IFERROR(VLOOKUP(N169,'Configuracion'!$D$4:$H$15,2,FALSE),"")</x:f>
      </x:c>
      <x:c r="P169" s="151" t="str">
        <x:f>IFERROR(VLOOKUP(N169,'Configuracion'!$D$4:$H$15,3,FALSE),"")</x:f>
      </x:c>
      <x:c r="Q169" s="155"/>
      <x:c r="R169" s="156" t="str">
        <x:f>IFERROR(VLOOKUP(N169,'Configuracion'!$D$4:$H$15,4,FALSE),"")</x:f>
      </x:c>
      <x:c r="S169" s="153"/>
      <x:c r="T169" s="153"/>
      <x:c r="U169" s="156" t="str">
        <x:f>IF(OR(S169="",T169=""),"",MOD(T169-S169,1)*24)</x:f>
      </x:c>
      <x:c r="V169" s="154"/>
      <x:c r="W169" s="154"/>
      <x:c r="X169" s="151" t="str">
        <x:f>IFERROR(VLOOKUP(N169,'Configuracion'!$D$4:$H$15,5,FALSE),"")</x:f>
      </x:c>
      <x:c r="Y169" s="151" t="str">
        <x:f>IFERROR(VLOOKUP(V169,'Cuadrillas'!$A$5:$J$14,2,FALSE),"")</x:f>
      </x:c>
      <x:c r="Z169" s="154"/>
      <x:c r="AA169" s="154"/>
      <x:c r="AB169" s="154"/>
      <x:c r="AC169" s="153"/>
      <x:c r="AD169" s="153"/>
      <x:c r="AE169" s="156" t="str">
        <x:f>IF(OR(AC169="",AD169=""),"",MOD(AD169-AC169,1)*24)</x:f>
      </x:c>
      <x:c r="AF169" s="154"/>
      <x:c r="AG169" s="156" t="str">
        <x:f>IF(AE169="","",MAX(0,AE169-IF(AF169="",0,AF169/60)))</x:f>
      </x:c>
      <x:c r="AH169" s="155"/>
      <x:c r="AI169" s="154"/>
      <x:c r="AJ169" s="154"/>
      <x:c r="AK169" s="156" t="n">
        <x:f>IFERROR(U169*W169,"")</x:f>
        <x:v>0</x:v>
      </x:c>
      <x:c r="AL169" s="156" t="n">
        <x:f>IFERROR(AE169*AI169,"")</x:f>
        <x:v>0</x:v>
      </x:c>
      <x:c r="AM169" s="157" t="str">
        <x:f>IFERROR(AH169/Q169,"")</x:f>
      </x:c>
      <x:c r="AN169" s="156" t="str">
        <x:f>IFERROR(AH169/AG169,"")</x:f>
      </x:c>
      <x:c r="AO169" s="156" t="str">
        <x:f>IFERROR(AL169/AH169,"")</x:f>
      </x:c>
      <x:c r="AP169" s="157" t="str">
        <x:f>IFERROR(AG169/AE169,"")</x:f>
      </x:c>
      <x:c r="AQ169" s="157" t="str">
        <x:f>IFERROR(AN169/(R169/'Configuracion'!$B$13),"")</x:f>
      </x:c>
      <x:c r="AR169" s="156" t="n">
        <x:f>IFERROR(AE169-U169,"")</x:f>
        <x:v>0</x:v>
      </x:c>
      <x:c r="AS169" s="154"/>
      <x:c r="AT169" s="154"/>
      <x:c r="AU169" s="154"/>
      <x:c r="AV169" s="154"/>
      <x:c r="AW169" s="152"/>
      <x:c r="AX169" s="154"/>
      <x:c r="AY169" s="154"/>
      <x:c r="AZ169" s="151"/>
      <x:c r="BA169" s="151"/>
    </x:row>
    <x:row r="170">
      <x:c r="A170" s="151" t="str">
        <x:f>IF(B170="","",TEXT(B170,"yyyymmdd")&amp;"-"&amp;TEXT(COUNTIF($B$5:B170,B170),"000"))</x:f>
      </x:c>
      <x:c r="B170" s="152"/>
      <x:c r="C170" s="153"/>
      <x:c r="D170" s="151" t="str">
        <x:f>IF(B170="","",'Configuracion'!$B$4)</x:f>
      </x:c>
      <x:c r="E170" s="154"/>
      <x:c r="F170" s="154"/>
      <x:c r="G170" s="151" t="str">
        <x:f>IFERROR(VLOOKUP(F170,'Base Sectores'!$A$5:$J$47,2,FALSE),"")</x:f>
      </x:c>
      <x:c r="H170" s="151" t="str">
        <x:f>IFERROR(VLOOKUP(F170,'Base Sectores'!$A$5:$J$47,3,FALSE),"")</x:f>
      </x:c>
      <x:c r="I170" s="151" t="str">
        <x:f>IFERROR(VLOOKUP(F170,'Base Sectores'!$A$5:$J$47,4,FALSE),"")</x:f>
      </x:c>
      <x:c r="J170" s="151" t="str">
        <x:f>IFERROR(VLOOKUP(F170,'Base Sectores'!$A$5:$J$47,5,FALSE),"")</x:f>
      </x:c>
      <x:c r="K170" s="151" t="str">
        <x:f>IFERROR(VLOOKUP(F170,'Base Sectores'!$A$5:$J$47,6,FALSE),"")</x:f>
      </x:c>
      <x:c r="L170" s="151" t="str">
        <x:f>IFERROR(VLOOKUP(F170,'Base Sectores'!$A$5:$J$47,7,FALSE),"")</x:f>
      </x:c>
      <x:c r="M170" s="151" t="str">
        <x:f>IFERROR(VLOOKUP(F170,'Base Sectores'!$A$5:$J$47,9,FALSE),"")</x:f>
      </x:c>
      <x:c r="N170" s="154"/>
      <x:c r="O170" s="151" t="str">
        <x:f>IFERROR(VLOOKUP(N170,'Configuracion'!$D$4:$H$15,2,FALSE),"")</x:f>
      </x:c>
      <x:c r="P170" s="151" t="str">
        <x:f>IFERROR(VLOOKUP(N170,'Configuracion'!$D$4:$H$15,3,FALSE),"")</x:f>
      </x:c>
      <x:c r="Q170" s="155"/>
      <x:c r="R170" s="156" t="str">
        <x:f>IFERROR(VLOOKUP(N170,'Configuracion'!$D$4:$H$15,4,FALSE),"")</x:f>
      </x:c>
      <x:c r="S170" s="153"/>
      <x:c r="T170" s="153"/>
      <x:c r="U170" s="156" t="str">
        <x:f>IF(OR(S170="",T170=""),"",MOD(T170-S170,1)*24)</x:f>
      </x:c>
      <x:c r="V170" s="154"/>
      <x:c r="W170" s="154"/>
      <x:c r="X170" s="151" t="str">
        <x:f>IFERROR(VLOOKUP(N170,'Configuracion'!$D$4:$H$15,5,FALSE),"")</x:f>
      </x:c>
      <x:c r="Y170" s="151" t="str">
        <x:f>IFERROR(VLOOKUP(V170,'Cuadrillas'!$A$5:$J$14,2,FALSE),"")</x:f>
      </x:c>
      <x:c r="Z170" s="154"/>
      <x:c r="AA170" s="154"/>
      <x:c r="AB170" s="154"/>
      <x:c r="AC170" s="153"/>
      <x:c r="AD170" s="153"/>
      <x:c r="AE170" s="156" t="str">
        <x:f>IF(OR(AC170="",AD170=""),"",MOD(AD170-AC170,1)*24)</x:f>
      </x:c>
      <x:c r="AF170" s="154"/>
      <x:c r="AG170" s="156" t="str">
        <x:f>IF(AE170="","",MAX(0,AE170-IF(AF170="",0,AF170/60)))</x:f>
      </x:c>
      <x:c r="AH170" s="155"/>
      <x:c r="AI170" s="154"/>
      <x:c r="AJ170" s="154"/>
      <x:c r="AK170" s="156" t="n">
        <x:f>IFERROR(U170*W170,"")</x:f>
        <x:v>0</x:v>
      </x:c>
      <x:c r="AL170" s="156" t="n">
        <x:f>IFERROR(AE170*AI170,"")</x:f>
        <x:v>0</x:v>
      </x:c>
      <x:c r="AM170" s="157" t="str">
        <x:f>IFERROR(AH170/Q170,"")</x:f>
      </x:c>
      <x:c r="AN170" s="156" t="str">
        <x:f>IFERROR(AH170/AG170,"")</x:f>
      </x:c>
      <x:c r="AO170" s="156" t="str">
        <x:f>IFERROR(AL170/AH170,"")</x:f>
      </x:c>
      <x:c r="AP170" s="157" t="str">
        <x:f>IFERROR(AG170/AE170,"")</x:f>
      </x:c>
      <x:c r="AQ170" s="157" t="str">
        <x:f>IFERROR(AN170/(R170/'Configuracion'!$B$13),"")</x:f>
      </x:c>
      <x:c r="AR170" s="156" t="n">
        <x:f>IFERROR(AE170-U170,"")</x:f>
        <x:v>0</x:v>
      </x:c>
      <x:c r="AS170" s="154"/>
      <x:c r="AT170" s="154"/>
      <x:c r="AU170" s="154"/>
      <x:c r="AV170" s="154"/>
      <x:c r="AW170" s="152"/>
      <x:c r="AX170" s="154"/>
      <x:c r="AY170" s="154"/>
      <x:c r="AZ170" s="151"/>
      <x:c r="BA170" s="151"/>
    </x:row>
    <x:row r="171">
      <x:c r="A171" s="151" t="str">
        <x:f>IF(B171="","",TEXT(B171,"yyyymmdd")&amp;"-"&amp;TEXT(COUNTIF($B$5:B171,B171),"000"))</x:f>
      </x:c>
      <x:c r="B171" s="152"/>
      <x:c r="C171" s="153"/>
      <x:c r="D171" s="151" t="str">
        <x:f>IF(B171="","",'Configuracion'!$B$4)</x:f>
      </x:c>
      <x:c r="E171" s="154"/>
      <x:c r="F171" s="154"/>
      <x:c r="G171" s="151" t="str">
        <x:f>IFERROR(VLOOKUP(F171,'Base Sectores'!$A$5:$J$47,2,FALSE),"")</x:f>
      </x:c>
      <x:c r="H171" s="151" t="str">
        <x:f>IFERROR(VLOOKUP(F171,'Base Sectores'!$A$5:$J$47,3,FALSE),"")</x:f>
      </x:c>
      <x:c r="I171" s="151" t="str">
        <x:f>IFERROR(VLOOKUP(F171,'Base Sectores'!$A$5:$J$47,4,FALSE),"")</x:f>
      </x:c>
      <x:c r="J171" s="151" t="str">
        <x:f>IFERROR(VLOOKUP(F171,'Base Sectores'!$A$5:$J$47,5,FALSE),"")</x:f>
      </x:c>
      <x:c r="K171" s="151" t="str">
        <x:f>IFERROR(VLOOKUP(F171,'Base Sectores'!$A$5:$J$47,6,FALSE),"")</x:f>
      </x:c>
      <x:c r="L171" s="151" t="str">
        <x:f>IFERROR(VLOOKUP(F171,'Base Sectores'!$A$5:$J$47,7,FALSE),"")</x:f>
      </x:c>
      <x:c r="M171" s="151" t="str">
        <x:f>IFERROR(VLOOKUP(F171,'Base Sectores'!$A$5:$J$47,9,FALSE),"")</x:f>
      </x:c>
      <x:c r="N171" s="154"/>
      <x:c r="O171" s="151" t="str">
        <x:f>IFERROR(VLOOKUP(N171,'Configuracion'!$D$4:$H$15,2,FALSE),"")</x:f>
      </x:c>
      <x:c r="P171" s="151" t="str">
        <x:f>IFERROR(VLOOKUP(N171,'Configuracion'!$D$4:$H$15,3,FALSE),"")</x:f>
      </x:c>
      <x:c r="Q171" s="155"/>
      <x:c r="R171" s="156" t="str">
        <x:f>IFERROR(VLOOKUP(N171,'Configuracion'!$D$4:$H$15,4,FALSE),"")</x:f>
      </x:c>
      <x:c r="S171" s="153"/>
      <x:c r="T171" s="153"/>
      <x:c r="U171" s="156" t="str">
        <x:f>IF(OR(S171="",T171=""),"",MOD(T171-S171,1)*24)</x:f>
      </x:c>
      <x:c r="V171" s="154"/>
      <x:c r="W171" s="154"/>
      <x:c r="X171" s="151" t="str">
        <x:f>IFERROR(VLOOKUP(N171,'Configuracion'!$D$4:$H$15,5,FALSE),"")</x:f>
      </x:c>
      <x:c r="Y171" s="151" t="str">
        <x:f>IFERROR(VLOOKUP(V171,'Cuadrillas'!$A$5:$J$14,2,FALSE),"")</x:f>
      </x:c>
      <x:c r="Z171" s="154"/>
      <x:c r="AA171" s="154"/>
      <x:c r="AB171" s="154"/>
      <x:c r="AC171" s="153"/>
      <x:c r="AD171" s="153"/>
      <x:c r="AE171" s="156" t="str">
        <x:f>IF(OR(AC171="",AD171=""),"",MOD(AD171-AC171,1)*24)</x:f>
      </x:c>
      <x:c r="AF171" s="154"/>
      <x:c r="AG171" s="156" t="str">
        <x:f>IF(AE171="","",MAX(0,AE171-IF(AF171="",0,AF171/60)))</x:f>
      </x:c>
      <x:c r="AH171" s="155"/>
      <x:c r="AI171" s="154"/>
      <x:c r="AJ171" s="154"/>
      <x:c r="AK171" s="156" t="n">
        <x:f>IFERROR(U171*W171,"")</x:f>
        <x:v>0</x:v>
      </x:c>
      <x:c r="AL171" s="156" t="n">
        <x:f>IFERROR(AE171*AI171,"")</x:f>
        <x:v>0</x:v>
      </x:c>
      <x:c r="AM171" s="157" t="str">
        <x:f>IFERROR(AH171/Q171,"")</x:f>
      </x:c>
      <x:c r="AN171" s="156" t="str">
        <x:f>IFERROR(AH171/AG171,"")</x:f>
      </x:c>
      <x:c r="AO171" s="156" t="str">
        <x:f>IFERROR(AL171/AH171,"")</x:f>
      </x:c>
      <x:c r="AP171" s="157" t="str">
        <x:f>IFERROR(AG171/AE171,"")</x:f>
      </x:c>
      <x:c r="AQ171" s="157" t="str">
        <x:f>IFERROR(AN171/(R171/'Configuracion'!$B$13),"")</x:f>
      </x:c>
      <x:c r="AR171" s="156" t="n">
        <x:f>IFERROR(AE171-U171,"")</x:f>
        <x:v>0</x:v>
      </x:c>
      <x:c r="AS171" s="154"/>
      <x:c r="AT171" s="154"/>
      <x:c r="AU171" s="154"/>
      <x:c r="AV171" s="154"/>
      <x:c r="AW171" s="152"/>
      <x:c r="AX171" s="154"/>
      <x:c r="AY171" s="154"/>
      <x:c r="AZ171" s="151"/>
      <x:c r="BA171" s="151"/>
    </x:row>
    <x:row r="172">
      <x:c r="A172" s="151" t="str">
        <x:f>IF(B172="","",TEXT(B172,"yyyymmdd")&amp;"-"&amp;TEXT(COUNTIF($B$5:B172,B172),"000"))</x:f>
      </x:c>
      <x:c r="B172" s="152"/>
      <x:c r="C172" s="153"/>
      <x:c r="D172" s="151" t="str">
        <x:f>IF(B172="","",'Configuracion'!$B$4)</x:f>
      </x:c>
      <x:c r="E172" s="154"/>
      <x:c r="F172" s="154"/>
      <x:c r="G172" s="151" t="str">
        <x:f>IFERROR(VLOOKUP(F172,'Base Sectores'!$A$5:$J$47,2,FALSE),"")</x:f>
      </x:c>
      <x:c r="H172" s="151" t="str">
        <x:f>IFERROR(VLOOKUP(F172,'Base Sectores'!$A$5:$J$47,3,FALSE),"")</x:f>
      </x:c>
      <x:c r="I172" s="151" t="str">
        <x:f>IFERROR(VLOOKUP(F172,'Base Sectores'!$A$5:$J$47,4,FALSE),"")</x:f>
      </x:c>
      <x:c r="J172" s="151" t="str">
        <x:f>IFERROR(VLOOKUP(F172,'Base Sectores'!$A$5:$J$47,5,FALSE),"")</x:f>
      </x:c>
      <x:c r="K172" s="151" t="str">
        <x:f>IFERROR(VLOOKUP(F172,'Base Sectores'!$A$5:$J$47,6,FALSE),"")</x:f>
      </x:c>
      <x:c r="L172" s="151" t="str">
        <x:f>IFERROR(VLOOKUP(F172,'Base Sectores'!$A$5:$J$47,7,FALSE),"")</x:f>
      </x:c>
      <x:c r="M172" s="151" t="str">
        <x:f>IFERROR(VLOOKUP(F172,'Base Sectores'!$A$5:$J$47,9,FALSE),"")</x:f>
      </x:c>
      <x:c r="N172" s="154"/>
      <x:c r="O172" s="151" t="str">
        <x:f>IFERROR(VLOOKUP(N172,'Configuracion'!$D$4:$H$15,2,FALSE),"")</x:f>
      </x:c>
      <x:c r="P172" s="151" t="str">
        <x:f>IFERROR(VLOOKUP(N172,'Configuracion'!$D$4:$H$15,3,FALSE),"")</x:f>
      </x:c>
      <x:c r="Q172" s="155"/>
      <x:c r="R172" s="156" t="str">
        <x:f>IFERROR(VLOOKUP(N172,'Configuracion'!$D$4:$H$15,4,FALSE),"")</x:f>
      </x:c>
      <x:c r="S172" s="153"/>
      <x:c r="T172" s="153"/>
      <x:c r="U172" s="156" t="str">
        <x:f>IF(OR(S172="",T172=""),"",MOD(T172-S172,1)*24)</x:f>
      </x:c>
      <x:c r="V172" s="154"/>
      <x:c r="W172" s="154"/>
      <x:c r="X172" s="151" t="str">
        <x:f>IFERROR(VLOOKUP(N172,'Configuracion'!$D$4:$H$15,5,FALSE),"")</x:f>
      </x:c>
      <x:c r="Y172" s="151" t="str">
        <x:f>IFERROR(VLOOKUP(V172,'Cuadrillas'!$A$5:$J$14,2,FALSE),"")</x:f>
      </x:c>
      <x:c r="Z172" s="154"/>
      <x:c r="AA172" s="154"/>
      <x:c r="AB172" s="154"/>
      <x:c r="AC172" s="153"/>
      <x:c r="AD172" s="153"/>
      <x:c r="AE172" s="156" t="str">
        <x:f>IF(OR(AC172="",AD172=""),"",MOD(AD172-AC172,1)*24)</x:f>
      </x:c>
      <x:c r="AF172" s="154"/>
      <x:c r="AG172" s="156" t="str">
        <x:f>IF(AE172="","",MAX(0,AE172-IF(AF172="",0,AF172/60)))</x:f>
      </x:c>
      <x:c r="AH172" s="155"/>
      <x:c r="AI172" s="154"/>
      <x:c r="AJ172" s="154"/>
      <x:c r="AK172" s="156" t="n">
        <x:f>IFERROR(U172*W172,"")</x:f>
        <x:v>0</x:v>
      </x:c>
      <x:c r="AL172" s="156" t="n">
        <x:f>IFERROR(AE172*AI172,"")</x:f>
        <x:v>0</x:v>
      </x:c>
      <x:c r="AM172" s="157" t="str">
        <x:f>IFERROR(AH172/Q172,"")</x:f>
      </x:c>
      <x:c r="AN172" s="156" t="str">
        <x:f>IFERROR(AH172/AG172,"")</x:f>
      </x:c>
      <x:c r="AO172" s="156" t="str">
        <x:f>IFERROR(AL172/AH172,"")</x:f>
      </x:c>
      <x:c r="AP172" s="157" t="str">
        <x:f>IFERROR(AG172/AE172,"")</x:f>
      </x:c>
      <x:c r="AQ172" s="157" t="str">
        <x:f>IFERROR(AN172/(R172/'Configuracion'!$B$13),"")</x:f>
      </x:c>
      <x:c r="AR172" s="156" t="n">
        <x:f>IFERROR(AE172-U172,"")</x:f>
        <x:v>0</x:v>
      </x:c>
      <x:c r="AS172" s="154"/>
      <x:c r="AT172" s="154"/>
      <x:c r="AU172" s="154"/>
      <x:c r="AV172" s="154"/>
      <x:c r="AW172" s="152"/>
      <x:c r="AX172" s="154"/>
      <x:c r="AY172" s="154"/>
      <x:c r="AZ172" s="151"/>
      <x:c r="BA172" s="151"/>
    </x:row>
    <x:row r="173">
      <x:c r="A173" s="151" t="str">
        <x:f>IF(B173="","",TEXT(B173,"yyyymmdd")&amp;"-"&amp;TEXT(COUNTIF($B$5:B173,B173),"000"))</x:f>
      </x:c>
      <x:c r="B173" s="152"/>
      <x:c r="C173" s="153"/>
      <x:c r="D173" s="151" t="str">
        <x:f>IF(B173="","",'Configuracion'!$B$4)</x:f>
      </x:c>
      <x:c r="E173" s="154"/>
      <x:c r="F173" s="154"/>
      <x:c r="G173" s="151" t="str">
        <x:f>IFERROR(VLOOKUP(F173,'Base Sectores'!$A$5:$J$47,2,FALSE),"")</x:f>
      </x:c>
      <x:c r="H173" s="151" t="str">
        <x:f>IFERROR(VLOOKUP(F173,'Base Sectores'!$A$5:$J$47,3,FALSE),"")</x:f>
      </x:c>
      <x:c r="I173" s="151" t="str">
        <x:f>IFERROR(VLOOKUP(F173,'Base Sectores'!$A$5:$J$47,4,FALSE),"")</x:f>
      </x:c>
      <x:c r="J173" s="151" t="str">
        <x:f>IFERROR(VLOOKUP(F173,'Base Sectores'!$A$5:$J$47,5,FALSE),"")</x:f>
      </x:c>
      <x:c r="K173" s="151" t="str">
        <x:f>IFERROR(VLOOKUP(F173,'Base Sectores'!$A$5:$J$47,6,FALSE),"")</x:f>
      </x:c>
      <x:c r="L173" s="151" t="str">
        <x:f>IFERROR(VLOOKUP(F173,'Base Sectores'!$A$5:$J$47,7,FALSE),"")</x:f>
      </x:c>
      <x:c r="M173" s="151" t="str">
        <x:f>IFERROR(VLOOKUP(F173,'Base Sectores'!$A$5:$J$47,9,FALSE),"")</x:f>
      </x:c>
      <x:c r="N173" s="154"/>
      <x:c r="O173" s="151" t="str">
        <x:f>IFERROR(VLOOKUP(N173,'Configuracion'!$D$4:$H$15,2,FALSE),"")</x:f>
      </x:c>
      <x:c r="P173" s="151" t="str">
        <x:f>IFERROR(VLOOKUP(N173,'Configuracion'!$D$4:$H$15,3,FALSE),"")</x:f>
      </x:c>
      <x:c r="Q173" s="155"/>
      <x:c r="R173" s="156" t="str">
        <x:f>IFERROR(VLOOKUP(N173,'Configuracion'!$D$4:$H$15,4,FALSE),"")</x:f>
      </x:c>
      <x:c r="S173" s="153"/>
      <x:c r="T173" s="153"/>
      <x:c r="U173" s="156" t="str">
        <x:f>IF(OR(S173="",T173=""),"",MOD(T173-S173,1)*24)</x:f>
      </x:c>
      <x:c r="V173" s="154"/>
      <x:c r="W173" s="154"/>
      <x:c r="X173" s="151" t="str">
        <x:f>IFERROR(VLOOKUP(N173,'Configuracion'!$D$4:$H$15,5,FALSE),"")</x:f>
      </x:c>
      <x:c r="Y173" s="151" t="str">
        <x:f>IFERROR(VLOOKUP(V173,'Cuadrillas'!$A$5:$J$14,2,FALSE),"")</x:f>
      </x:c>
      <x:c r="Z173" s="154"/>
      <x:c r="AA173" s="154"/>
      <x:c r="AB173" s="154"/>
      <x:c r="AC173" s="153"/>
      <x:c r="AD173" s="153"/>
      <x:c r="AE173" s="156" t="str">
        <x:f>IF(OR(AC173="",AD173=""),"",MOD(AD173-AC173,1)*24)</x:f>
      </x:c>
      <x:c r="AF173" s="154"/>
      <x:c r="AG173" s="156" t="str">
        <x:f>IF(AE173="","",MAX(0,AE173-IF(AF173="",0,AF173/60)))</x:f>
      </x:c>
      <x:c r="AH173" s="155"/>
      <x:c r="AI173" s="154"/>
      <x:c r="AJ173" s="154"/>
      <x:c r="AK173" s="156" t="n">
        <x:f>IFERROR(U173*W173,"")</x:f>
        <x:v>0</x:v>
      </x:c>
      <x:c r="AL173" s="156" t="n">
        <x:f>IFERROR(AE173*AI173,"")</x:f>
        <x:v>0</x:v>
      </x:c>
      <x:c r="AM173" s="157" t="str">
        <x:f>IFERROR(AH173/Q173,"")</x:f>
      </x:c>
      <x:c r="AN173" s="156" t="str">
        <x:f>IFERROR(AH173/AG173,"")</x:f>
      </x:c>
      <x:c r="AO173" s="156" t="str">
        <x:f>IFERROR(AL173/AH173,"")</x:f>
      </x:c>
      <x:c r="AP173" s="157" t="str">
        <x:f>IFERROR(AG173/AE173,"")</x:f>
      </x:c>
      <x:c r="AQ173" s="157" t="str">
        <x:f>IFERROR(AN173/(R173/'Configuracion'!$B$13),"")</x:f>
      </x:c>
      <x:c r="AR173" s="156" t="n">
        <x:f>IFERROR(AE173-U173,"")</x:f>
        <x:v>0</x:v>
      </x:c>
      <x:c r="AS173" s="154"/>
      <x:c r="AT173" s="154"/>
      <x:c r="AU173" s="154"/>
      <x:c r="AV173" s="154"/>
      <x:c r="AW173" s="152"/>
      <x:c r="AX173" s="154"/>
      <x:c r="AY173" s="154"/>
      <x:c r="AZ173" s="151"/>
      <x:c r="BA173" s="151"/>
    </x:row>
    <x:row r="174">
      <x:c r="A174" s="151" t="str">
        <x:f>IF(B174="","",TEXT(B174,"yyyymmdd")&amp;"-"&amp;TEXT(COUNTIF($B$5:B174,B174),"000"))</x:f>
      </x:c>
      <x:c r="B174" s="152"/>
      <x:c r="C174" s="153"/>
      <x:c r="D174" s="151" t="str">
        <x:f>IF(B174="","",'Configuracion'!$B$4)</x:f>
      </x:c>
      <x:c r="E174" s="154"/>
      <x:c r="F174" s="154"/>
      <x:c r="G174" s="151" t="str">
        <x:f>IFERROR(VLOOKUP(F174,'Base Sectores'!$A$5:$J$47,2,FALSE),"")</x:f>
      </x:c>
      <x:c r="H174" s="151" t="str">
        <x:f>IFERROR(VLOOKUP(F174,'Base Sectores'!$A$5:$J$47,3,FALSE),"")</x:f>
      </x:c>
      <x:c r="I174" s="151" t="str">
        <x:f>IFERROR(VLOOKUP(F174,'Base Sectores'!$A$5:$J$47,4,FALSE),"")</x:f>
      </x:c>
      <x:c r="J174" s="151" t="str">
        <x:f>IFERROR(VLOOKUP(F174,'Base Sectores'!$A$5:$J$47,5,FALSE),"")</x:f>
      </x:c>
      <x:c r="K174" s="151" t="str">
        <x:f>IFERROR(VLOOKUP(F174,'Base Sectores'!$A$5:$J$47,6,FALSE),"")</x:f>
      </x:c>
      <x:c r="L174" s="151" t="str">
        <x:f>IFERROR(VLOOKUP(F174,'Base Sectores'!$A$5:$J$47,7,FALSE),"")</x:f>
      </x:c>
      <x:c r="M174" s="151" t="str">
        <x:f>IFERROR(VLOOKUP(F174,'Base Sectores'!$A$5:$J$47,9,FALSE),"")</x:f>
      </x:c>
      <x:c r="N174" s="154"/>
      <x:c r="O174" s="151" t="str">
        <x:f>IFERROR(VLOOKUP(N174,'Configuracion'!$D$4:$H$15,2,FALSE),"")</x:f>
      </x:c>
      <x:c r="P174" s="151" t="str">
        <x:f>IFERROR(VLOOKUP(N174,'Configuracion'!$D$4:$H$15,3,FALSE),"")</x:f>
      </x:c>
      <x:c r="Q174" s="155"/>
      <x:c r="R174" s="156" t="str">
        <x:f>IFERROR(VLOOKUP(N174,'Configuracion'!$D$4:$H$15,4,FALSE),"")</x:f>
      </x:c>
      <x:c r="S174" s="153"/>
      <x:c r="T174" s="153"/>
      <x:c r="U174" s="156" t="str">
        <x:f>IF(OR(S174="",T174=""),"",MOD(T174-S174,1)*24)</x:f>
      </x:c>
      <x:c r="V174" s="154"/>
      <x:c r="W174" s="154"/>
      <x:c r="X174" s="151" t="str">
        <x:f>IFERROR(VLOOKUP(N174,'Configuracion'!$D$4:$H$15,5,FALSE),"")</x:f>
      </x:c>
      <x:c r="Y174" s="151" t="str">
        <x:f>IFERROR(VLOOKUP(V174,'Cuadrillas'!$A$5:$J$14,2,FALSE),"")</x:f>
      </x:c>
      <x:c r="Z174" s="154"/>
      <x:c r="AA174" s="154"/>
      <x:c r="AB174" s="154"/>
      <x:c r="AC174" s="153"/>
      <x:c r="AD174" s="153"/>
      <x:c r="AE174" s="156" t="str">
        <x:f>IF(OR(AC174="",AD174=""),"",MOD(AD174-AC174,1)*24)</x:f>
      </x:c>
      <x:c r="AF174" s="154"/>
      <x:c r="AG174" s="156" t="str">
        <x:f>IF(AE174="","",MAX(0,AE174-IF(AF174="",0,AF174/60)))</x:f>
      </x:c>
      <x:c r="AH174" s="155"/>
      <x:c r="AI174" s="154"/>
      <x:c r="AJ174" s="154"/>
      <x:c r="AK174" s="156" t="n">
        <x:f>IFERROR(U174*W174,"")</x:f>
        <x:v>0</x:v>
      </x:c>
      <x:c r="AL174" s="156" t="n">
        <x:f>IFERROR(AE174*AI174,"")</x:f>
        <x:v>0</x:v>
      </x:c>
      <x:c r="AM174" s="157" t="str">
        <x:f>IFERROR(AH174/Q174,"")</x:f>
      </x:c>
      <x:c r="AN174" s="156" t="str">
        <x:f>IFERROR(AH174/AG174,"")</x:f>
      </x:c>
      <x:c r="AO174" s="156" t="str">
        <x:f>IFERROR(AL174/AH174,"")</x:f>
      </x:c>
      <x:c r="AP174" s="157" t="str">
        <x:f>IFERROR(AG174/AE174,"")</x:f>
      </x:c>
      <x:c r="AQ174" s="157" t="str">
        <x:f>IFERROR(AN174/(R174/'Configuracion'!$B$13),"")</x:f>
      </x:c>
      <x:c r="AR174" s="156" t="n">
        <x:f>IFERROR(AE174-U174,"")</x:f>
        <x:v>0</x:v>
      </x:c>
      <x:c r="AS174" s="154"/>
      <x:c r="AT174" s="154"/>
      <x:c r="AU174" s="154"/>
      <x:c r="AV174" s="154"/>
      <x:c r="AW174" s="152"/>
      <x:c r="AX174" s="154"/>
      <x:c r="AY174" s="154"/>
      <x:c r="AZ174" s="151"/>
      <x:c r="BA174" s="151"/>
    </x:row>
    <x:row r="175">
      <x:c r="A175" s="151" t="str">
        <x:f>IF(B175="","",TEXT(B175,"yyyymmdd")&amp;"-"&amp;TEXT(COUNTIF($B$5:B175,B175),"000"))</x:f>
      </x:c>
      <x:c r="B175" s="152"/>
      <x:c r="C175" s="153"/>
      <x:c r="D175" s="151" t="str">
        <x:f>IF(B175="","",'Configuracion'!$B$4)</x:f>
      </x:c>
      <x:c r="E175" s="154"/>
      <x:c r="F175" s="154"/>
      <x:c r="G175" s="151" t="str">
        <x:f>IFERROR(VLOOKUP(F175,'Base Sectores'!$A$5:$J$47,2,FALSE),"")</x:f>
      </x:c>
      <x:c r="H175" s="151" t="str">
        <x:f>IFERROR(VLOOKUP(F175,'Base Sectores'!$A$5:$J$47,3,FALSE),"")</x:f>
      </x:c>
      <x:c r="I175" s="151" t="str">
        <x:f>IFERROR(VLOOKUP(F175,'Base Sectores'!$A$5:$J$47,4,FALSE),"")</x:f>
      </x:c>
      <x:c r="J175" s="151" t="str">
        <x:f>IFERROR(VLOOKUP(F175,'Base Sectores'!$A$5:$J$47,5,FALSE),"")</x:f>
      </x:c>
      <x:c r="K175" s="151" t="str">
        <x:f>IFERROR(VLOOKUP(F175,'Base Sectores'!$A$5:$J$47,6,FALSE),"")</x:f>
      </x:c>
      <x:c r="L175" s="151" t="str">
        <x:f>IFERROR(VLOOKUP(F175,'Base Sectores'!$A$5:$J$47,7,FALSE),"")</x:f>
      </x:c>
      <x:c r="M175" s="151" t="str">
        <x:f>IFERROR(VLOOKUP(F175,'Base Sectores'!$A$5:$J$47,9,FALSE),"")</x:f>
      </x:c>
      <x:c r="N175" s="154"/>
      <x:c r="O175" s="151" t="str">
        <x:f>IFERROR(VLOOKUP(N175,'Configuracion'!$D$4:$H$15,2,FALSE),"")</x:f>
      </x:c>
      <x:c r="P175" s="151" t="str">
        <x:f>IFERROR(VLOOKUP(N175,'Configuracion'!$D$4:$H$15,3,FALSE),"")</x:f>
      </x:c>
      <x:c r="Q175" s="155"/>
      <x:c r="R175" s="156" t="str">
        <x:f>IFERROR(VLOOKUP(N175,'Configuracion'!$D$4:$H$15,4,FALSE),"")</x:f>
      </x:c>
      <x:c r="S175" s="153"/>
      <x:c r="T175" s="153"/>
      <x:c r="U175" s="156" t="str">
        <x:f>IF(OR(S175="",T175=""),"",MOD(T175-S175,1)*24)</x:f>
      </x:c>
      <x:c r="V175" s="154"/>
      <x:c r="W175" s="154"/>
      <x:c r="X175" s="151" t="str">
        <x:f>IFERROR(VLOOKUP(N175,'Configuracion'!$D$4:$H$15,5,FALSE),"")</x:f>
      </x:c>
      <x:c r="Y175" s="151" t="str">
        <x:f>IFERROR(VLOOKUP(V175,'Cuadrillas'!$A$5:$J$14,2,FALSE),"")</x:f>
      </x:c>
      <x:c r="Z175" s="154"/>
      <x:c r="AA175" s="154"/>
      <x:c r="AB175" s="154"/>
      <x:c r="AC175" s="153"/>
      <x:c r="AD175" s="153"/>
      <x:c r="AE175" s="156" t="str">
        <x:f>IF(OR(AC175="",AD175=""),"",MOD(AD175-AC175,1)*24)</x:f>
      </x:c>
      <x:c r="AF175" s="154"/>
      <x:c r="AG175" s="156" t="str">
        <x:f>IF(AE175="","",MAX(0,AE175-IF(AF175="",0,AF175/60)))</x:f>
      </x:c>
      <x:c r="AH175" s="155"/>
      <x:c r="AI175" s="154"/>
      <x:c r="AJ175" s="154"/>
      <x:c r="AK175" s="156" t="n">
        <x:f>IFERROR(U175*W175,"")</x:f>
        <x:v>0</x:v>
      </x:c>
      <x:c r="AL175" s="156" t="n">
        <x:f>IFERROR(AE175*AI175,"")</x:f>
        <x:v>0</x:v>
      </x:c>
      <x:c r="AM175" s="157" t="str">
        <x:f>IFERROR(AH175/Q175,"")</x:f>
      </x:c>
      <x:c r="AN175" s="156" t="str">
        <x:f>IFERROR(AH175/AG175,"")</x:f>
      </x:c>
      <x:c r="AO175" s="156" t="str">
        <x:f>IFERROR(AL175/AH175,"")</x:f>
      </x:c>
      <x:c r="AP175" s="157" t="str">
        <x:f>IFERROR(AG175/AE175,"")</x:f>
      </x:c>
      <x:c r="AQ175" s="157" t="str">
        <x:f>IFERROR(AN175/(R175/'Configuracion'!$B$13),"")</x:f>
      </x:c>
      <x:c r="AR175" s="156" t="n">
        <x:f>IFERROR(AE175-U175,"")</x:f>
        <x:v>0</x:v>
      </x:c>
      <x:c r="AS175" s="154"/>
      <x:c r="AT175" s="154"/>
      <x:c r="AU175" s="154"/>
      <x:c r="AV175" s="154"/>
      <x:c r="AW175" s="152"/>
      <x:c r="AX175" s="154"/>
      <x:c r="AY175" s="154"/>
      <x:c r="AZ175" s="151"/>
      <x:c r="BA175" s="151"/>
    </x:row>
    <x:row r="176">
      <x:c r="A176" s="151" t="str">
        <x:f>IF(B176="","",TEXT(B176,"yyyymmdd")&amp;"-"&amp;TEXT(COUNTIF($B$5:B176,B176),"000"))</x:f>
      </x:c>
      <x:c r="B176" s="152"/>
      <x:c r="C176" s="153"/>
      <x:c r="D176" s="151" t="str">
        <x:f>IF(B176="","",'Configuracion'!$B$4)</x:f>
      </x:c>
      <x:c r="E176" s="154"/>
      <x:c r="F176" s="154"/>
      <x:c r="G176" s="151" t="str">
        <x:f>IFERROR(VLOOKUP(F176,'Base Sectores'!$A$5:$J$47,2,FALSE),"")</x:f>
      </x:c>
      <x:c r="H176" s="151" t="str">
        <x:f>IFERROR(VLOOKUP(F176,'Base Sectores'!$A$5:$J$47,3,FALSE),"")</x:f>
      </x:c>
      <x:c r="I176" s="151" t="str">
        <x:f>IFERROR(VLOOKUP(F176,'Base Sectores'!$A$5:$J$47,4,FALSE),"")</x:f>
      </x:c>
      <x:c r="J176" s="151" t="str">
        <x:f>IFERROR(VLOOKUP(F176,'Base Sectores'!$A$5:$J$47,5,FALSE),"")</x:f>
      </x:c>
      <x:c r="K176" s="151" t="str">
        <x:f>IFERROR(VLOOKUP(F176,'Base Sectores'!$A$5:$J$47,6,FALSE),"")</x:f>
      </x:c>
      <x:c r="L176" s="151" t="str">
        <x:f>IFERROR(VLOOKUP(F176,'Base Sectores'!$A$5:$J$47,7,FALSE),"")</x:f>
      </x:c>
      <x:c r="M176" s="151" t="str">
        <x:f>IFERROR(VLOOKUP(F176,'Base Sectores'!$A$5:$J$47,9,FALSE),"")</x:f>
      </x:c>
      <x:c r="N176" s="154"/>
      <x:c r="O176" s="151" t="str">
        <x:f>IFERROR(VLOOKUP(N176,'Configuracion'!$D$4:$H$15,2,FALSE),"")</x:f>
      </x:c>
      <x:c r="P176" s="151" t="str">
        <x:f>IFERROR(VLOOKUP(N176,'Configuracion'!$D$4:$H$15,3,FALSE),"")</x:f>
      </x:c>
      <x:c r="Q176" s="155"/>
      <x:c r="R176" s="156" t="str">
        <x:f>IFERROR(VLOOKUP(N176,'Configuracion'!$D$4:$H$15,4,FALSE),"")</x:f>
      </x:c>
      <x:c r="S176" s="153"/>
      <x:c r="T176" s="153"/>
      <x:c r="U176" s="156" t="str">
        <x:f>IF(OR(S176="",T176=""),"",MOD(T176-S176,1)*24)</x:f>
      </x:c>
      <x:c r="V176" s="154"/>
      <x:c r="W176" s="154"/>
      <x:c r="X176" s="151" t="str">
        <x:f>IFERROR(VLOOKUP(N176,'Configuracion'!$D$4:$H$15,5,FALSE),"")</x:f>
      </x:c>
      <x:c r="Y176" s="151" t="str">
        <x:f>IFERROR(VLOOKUP(V176,'Cuadrillas'!$A$5:$J$14,2,FALSE),"")</x:f>
      </x:c>
      <x:c r="Z176" s="154"/>
      <x:c r="AA176" s="154"/>
      <x:c r="AB176" s="154"/>
      <x:c r="AC176" s="153"/>
      <x:c r="AD176" s="153"/>
      <x:c r="AE176" s="156" t="str">
        <x:f>IF(OR(AC176="",AD176=""),"",MOD(AD176-AC176,1)*24)</x:f>
      </x:c>
      <x:c r="AF176" s="154"/>
      <x:c r="AG176" s="156" t="str">
        <x:f>IF(AE176="","",MAX(0,AE176-IF(AF176="",0,AF176/60)))</x:f>
      </x:c>
      <x:c r="AH176" s="155"/>
      <x:c r="AI176" s="154"/>
      <x:c r="AJ176" s="154"/>
      <x:c r="AK176" s="156" t="n">
        <x:f>IFERROR(U176*W176,"")</x:f>
        <x:v>0</x:v>
      </x:c>
      <x:c r="AL176" s="156" t="n">
        <x:f>IFERROR(AE176*AI176,"")</x:f>
        <x:v>0</x:v>
      </x:c>
      <x:c r="AM176" s="157" t="str">
        <x:f>IFERROR(AH176/Q176,"")</x:f>
      </x:c>
      <x:c r="AN176" s="156" t="str">
        <x:f>IFERROR(AH176/AG176,"")</x:f>
      </x:c>
      <x:c r="AO176" s="156" t="str">
        <x:f>IFERROR(AL176/AH176,"")</x:f>
      </x:c>
      <x:c r="AP176" s="157" t="str">
        <x:f>IFERROR(AG176/AE176,"")</x:f>
      </x:c>
      <x:c r="AQ176" s="157" t="str">
        <x:f>IFERROR(AN176/(R176/'Configuracion'!$B$13),"")</x:f>
      </x:c>
      <x:c r="AR176" s="156" t="n">
        <x:f>IFERROR(AE176-U176,"")</x:f>
        <x:v>0</x:v>
      </x:c>
      <x:c r="AS176" s="154"/>
      <x:c r="AT176" s="154"/>
      <x:c r="AU176" s="154"/>
      <x:c r="AV176" s="154"/>
      <x:c r="AW176" s="152"/>
      <x:c r="AX176" s="154"/>
      <x:c r="AY176" s="154"/>
      <x:c r="AZ176" s="151"/>
      <x:c r="BA176" s="151"/>
    </x:row>
    <x:row r="177">
      <x:c r="A177" s="151" t="str">
        <x:f>IF(B177="","",TEXT(B177,"yyyymmdd")&amp;"-"&amp;TEXT(COUNTIF($B$5:B177,B177),"000"))</x:f>
      </x:c>
      <x:c r="B177" s="152"/>
      <x:c r="C177" s="153"/>
      <x:c r="D177" s="151" t="str">
        <x:f>IF(B177="","",'Configuracion'!$B$4)</x:f>
      </x:c>
      <x:c r="E177" s="154"/>
      <x:c r="F177" s="154"/>
      <x:c r="G177" s="151" t="str">
        <x:f>IFERROR(VLOOKUP(F177,'Base Sectores'!$A$5:$J$47,2,FALSE),"")</x:f>
      </x:c>
      <x:c r="H177" s="151" t="str">
        <x:f>IFERROR(VLOOKUP(F177,'Base Sectores'!$A$5:$J$47,3,FALSE),"")</x:f>
      </x:c>
      <x:c r="I177" s="151" t="str">
        <x:f>IFERROR(VLOOKUP(F177,'Base Sectores'!$A$5:$J$47,4,FALSE),"")</x:f>
      </x:c>
      <x:c r="J177" s="151" t="str">
        <x:f>IFERROR(VLOOKUP(F177,'Base Sectores'!$A$5:$J$47,5,FALSE),"")</x:f>
      </x:c>
      <x:c r="K177" s="151" t="str">
        <x:f>IFERROR(VLOOKUP(F177,'Base Sectores'!$A$5:$J$47,6,FALSE),"")</x:f>
      </x:c>
      <x:c r="L177" s="151" t="str">
        <x:f>IFERROR(VLOOKUP(F177,'Base Sectores'!$A$5:$J$47,7,FALSE),"")</x:f>
      </x:c>
      <x:c r="M177" s="151" t="str">
        <x:f>IFERROR(VLOOKUP(F177,'Base Sectores'!$A$5:$J$47,9,FALSE),"")</x:f>
      </x:c>
      <x:c r="N177" s="154"/>
      <x:c r="O177" s="151" t="str">
        <x:f>IFERROR(VLOOKUP(N177,'Configuracion'!$D$4:$H$15,2,FALSE),"")</x:f>
      </x:c>
      <x:c r="P177" s="151" t="str">
        <x:f>IFERROR(VLOOKUP(N177,'Configuracion'!$D$4:$H$15,3,FALSE),"")</x:f>
      </x:c>
      <x:c r="Q177" s="155"/>
      <x:c r="R177" s="156" t="str">
        <x:f>IFERROR(VLOOKUP(N177,'Configuracion'!$D$4:$H$15,4,FALSE),"")</x:f>
      </x:c>
      <x:c r="S177" s="153"/>
      <x:c r="T177" s="153"/>
      <x:c r="U177" s="156" t="str">
        <x:f>IF(OR(S177="",T177=""),"",MOD(T177-S177,1)*24)</x:f>
      </x:c>
      <x:c r="V177" s="154"/>
      <x:c r="W177" s="154"/>
      <x:c r="X177" s="151" t="str">
        <x:f>IFERROR(VLOOKUP(N177,'Configuracion'!$D$4:$H$15,5,FALSE),"")</x:f>
      </x:c>
      <x:c r="Y177" s="151" t="str">
        <x:f>IFERROR(VLOOKUP(V177,'Cuadrillas'!$A$5:$J$14,2,FALSE),"")</x:f>
      </x:c>
      <x:c r="Z177" s="154"/>
      <x:c r="AA177" s="154"/>
      <x:c r="AB177" s="154"/>
      <x:c r="AC177" s="153"/>
      <x:c r="AD177" s="153"/>
      <x:c r="AE177" s="156" t="str">
        <x:f>IF(OR(AC177="",AD177=""),"",MOD(AD177-AC177,1)*24)</x:f>
      </x:c>
      <x:c r="AF177" s="154"/>
      <x:c r="AG177" s="156" t="str">
        <x:f>IF(AE177="","",MAX(0,AE177-IF(AF177="",0,AF177/60)))</x:f>
      </x:c>
      <x:c r="AH177" s="155"/>
      <x:c r="AI177" s="154"/>
      <x:c r="AJ177" s="154"/>
      <x:c r="AK177" s="156" t="n">
        <x:f>IFERROR(U177*W177,"")</x:f>
        <x:v>0</x:v>
      </x:c>
      <x:c r="AL177" s="156" t="n">
        <x:f>IFERROR(AE177*AI177,"")</x:f>
        <x:v>0</x:v>
      </x:c>
      <x:c r="AM177" s="157" t="str">
        <x:f>IFERROR(AH177/Q177,"")</x:f>
      </x:c>
      <x:c r="AN177" s="156" t="str">
        <x:f>IFERROR(AH177/AG177,"")</x:f>
      </x:c>
      <x:c r="AO177" s="156" t="str">
        <x:f>IFERROR(AL177/AH177,"")</x:f>
      </x:c>
      <x:c r="AP177" s="157" t="str">
        <x:f>IFERROR(AG177/AE177,"")</x:f>
      </x:c>
      <x:c r="AQ177" s="157" t="str">
        <x:f>IFERROR(AN177/(R177/'Configuracion'!$B$13),"")</x:f>
      </x:c>
      <x:c r="AR177" s="156" t="n">
        <x:f>IFERROR(AE177-U177,"")</x:f>
        <x:v>0</x:v>
      </x:c>
      <x:c r="AS177" s="154"/>
      <x:c r="AT177" s="154"/>
      <x:c r="AU177" s="154"/>
      <x:c r="AV177" s="154"/>
      <x:c r="AW177" s="152"/>
      <x:c r="AX177" s="154"/>
      <x:c r="AY177" s="154"/>
      <x:c r="AZ177" s="151"/>
      <x:c r="BA177" s="151"/>
    </x:row>
    <x:row r="178">
      <x:c r="A178" s="151" t="str">
        <x:f>IF(B178="","",TEXT(B178,"yyyymmdd")&amp;"-"&amp;TEXT(COUNTIF($B$5:B178,B178),"000"))</x:f>
      </x:c>
      <x:c r="B178" s="152"/>
      <x:c r="C178" s="153"/>
      <x:c r="D178" s="151" t="str">
        <x:f>IF(B178="","",'Configuracion'!$B$4)</x:f>
      </x:c>
      <x:c r="E178" s="154"/>
      <x:c r="F178" s="154"/>
      <x:c r="G178" s="151" t="str">
        <x:f>IFERROR(VLOOKUP(F178,'Base Sectores'!$A$5:$J$47,2,FALSE),"")</x:f>
      </x:c>
      <x:c r="H178" s="151" t="str">
        <x:f>IFERROR(VLOOKUP(F178,'Base Sectores'!$A$5:$J$47,3,FALSE),"")</x:f>
      </x:c>
      <x:c r="I178" s="151" t="str">
        <x:f>IFERROR(VLOOKUP(F178,'Base Sectores'!$A$5:$J$47,4,FALSE),"")</x:f>
      </x:c>
      <x:c r="J178" s="151" t="str">
        <x:f>IFERROR(VLOOKUP(F178,'Base Sectores'!$A$5:$J$47,5,FALSE),"")</x:f>
      </x:c>
      <x:c r="K178" s="151" t="str">
        <x:f>IFERROR(VLOOKUP(F178,'Base Sectores'!$A$5:$J$47,6,FALSE),"")</x:f>
      </x:c>
      <x:c r="L178" s="151" t="str">
        <x:f>IFERROR(VLOOKUP(F178,'Base Sectores'!$A$5:$J$47,7,FALSE),"")</x:f>
      </x:c>
      <x:c r="M178" s="151" t="str">
        <x:f>IFERROR(VLOOKUP(F178,'Base Sectores'!$A$5:$J$47,9,FALSE),"")</x:f>
      </x:c>
      <x:c r="N178" s="154"/>
      <x:c r="O178" s="151" t="str">
        <x:f>IFERROR(VLOOKUP(N178,'Configuracion'!$D$4:$H$15,2,FALSE),"")</x:f>
      </x:c>
      <x:c r="P178" s="151" t="str">
        <x:f>IFERROR(VLOOKUP(N178,'Configuracion'!$D$4:$H$15,3,FALSE),"")</x:f>
      </x:c>
      <x:c r="Q178" s="155"/>
      <x:c r="R178" s="156" t="str">
        <x:f>IFERROR(VLOOKUP(N178,'Configuracion'!$D$4:$H$15,4,FALSE),"")</x:f>
      </x:c>
      <x:c r="S178" s="153"/>
      <x:c r="T178" s="153"/>
      <x:c r="U178" s="156" t="str">
        <x:f>IF(OR(S178="",T178=""),"",MOD(T178-S178,1)*24)</x:f>
      </x:c>
      <x:c r="V178" s="154"/>
      <x:c r="W178" s="154"/>
      <x:c r="X178" s="151" t="str">
        <x:f>IFERROR(VLOOKUP(N178,'Configuracion'!$D$4:$H$15,5,FALSE),"")</x:f>
      </x:c>
      <x:c r="Y178" s="151" t="str">
        <x:f>IFERROR(VLOOKUP(V178,'Cuadrillas'!$A$5:$J$14,2,FALSE),"")</x:f>
      </x:c>
      <x:c r="Z178" s="154"/>
      <x:c r="AA178" s="154"/>
      <x:c r="AB178" s="154"/>
      <x:c r="AC178" s="153"/>
      <x:c r="AD178" s="153"/>
      <x:c r="AE178" s="156" t="str">
        <x:f>IF(OR(AC178="",AD178=""),"",MOD(AD178-AC178,1)*24)</x:f>
      </x:c>
      <x:c r="AF178" s="154"/>
      <x:c r="AG178" s="156" t="str">
        <x:f>IF(AE178="","",MAX(0,AE178-IF(AF178="",0,AF178/60)))</x:f>
      </x:c>
      <x:c r="AH178" s="155"/>
      <x:c r="AI178" s="154"/>
      <x:c r="AJ178" s="154"/>
      <x:c r="AK178" s="156" t="n">
        <x:f>IFERROR(U178*W178,"")</x:f>
        <x:v>0</x:v>
      </x:c>
      <x:c r="AL178" s="156" t="n">
        <x:f>IFERROR(AE178*AI178,"")</x:f>
        <x:v>0</x:v>
      </x:c>
      <x:c r="AM178" s="157" t="str">
        <x:f>IFERROR(AH178/Q178,"")</x:f>
      </x:c>
      <x:c r="AN178" s="156" t="str">
        <x:f>IFERROR(AH178/AG178,"")</x:f>
      </x:c>
      <x:c r="AO178" s="156" t="str">
        <x:f>IFERROR(AL178/AH178,"")</x:f>
      </x:c>
      <x:c r="AP178" s="157" t="str">
        <x:f>IFERROR(AG178/AE178,"")</x:f>
      </x:c>
      <x:c r="AQ178" s="157" t="str">
        <x:f>IFERROR(AN178/(R178/'Configuracion'!$B$13),"")</x:f>
      </x:c>
      <x:c r="AR178" s="156" t="n">
        <x:f>IFERROR(AE178-U178,"")</x:f>
        <x:v>0</x:v>
      </x:c>
      <x:c r="AS178" s="154"/>
      <x:c r="AT178" s="154"/>
      <x:c r="AU178" s="154"/>
      <x:c r="AV178" s="154"/>
      <x:c r="AW178" s="152"/>
      <x:c r="AX178" s="154"/>
      <x:c r="AY178" s="154"/>
      <x:c r="AZ178" s="151"/>
      <x:c r="BA178" s="151"/>
    </x:row>
    <x:row r="179">
      <x:c r="A179" s="151" t="str">
        <x:f>IF(B179="","",TEXT(B179,"yyyymmdd")&amp;"-"&amp;TEXT(COUNTIF($B$5:B179,B179),"000"))</x:f>
      </x:c>
      <x:c r="B179" s="152"/>
      <x:c r="C179" s="153"/>
      <x:c r="D179" s="151" t="str">
        <x:f>IF(B179="","",'Configuracion'!$B$4)</x:f>
      </x:c>
      <x:c r="E179" s="154"/>
      <x:c r="F179" s="154"/>
      <x:c r="G179" s="151" t="str">
        <x:f>IFERROR(VLOOKUP(F179,'Base Sectores'!$A$5:$J$47,2,FALSE),"")</x:f>
      </x:c>
      <x:c r="H179" s="151" t="str">
        <x:f>IFERROR(VLOOKUP(F179,'Base Sectores'!$A$5:$J$47,3,FALSE),"")</x:f>
      </x:c>
      <x:c r="I179" s="151" t="str">
        <x:f>IFERROR(VLOOKUP(F179,'Base Sectores'!$A$5:$J$47,4,FALSE),"")</x:f>
      </x:c>
      <x:c r="J179" s="151" t="str">
        <x:f>IFERROR(VLOOKUP(F179,'Base Sectores'!$A$5:$J$47,5,FALSE),"")</x:f>
      </x:c>
      <x:c r="K179" s="151" t="str">
        <x:f>IFERROR(VLOOKUP(F179,'Base Sectores'!$A$5:$J$47,6,FALSE),"")</x:f>
      </x:c>
      <x:c r="L179" s="151" t="str">
        <x:f>IFERROR(VLOOKUP(F179,'Base Sectores'!$A$5:$J$47,7,FALSE),"")</x:f>
      </x:c>
      <x:c r="M179" s="151" t="str">
        <x:f>IFERROR(VLOOKUP(F179,'Base Sectores'!$A$5:$J$47,9,FALSE),"")</x:f>
      </x:c>
      <x:c r="N179" s="154"/>
      <x:c r="O179" s="151" t="str">
        <x:f>IFERROR(VLOOKUP(N179,'Configuracion'!$D$4:$H$15,2,FALSE),"")</x:f>
      </x:c>
      <x:c r="P179" s="151" t="str">
        <x:f>IFERROR(VLOOKUP(N179,'Configuracion'!$D$4:$H$15,3,FALSE),"")</x:f>
      </x:c>
      <x:c r="Q179" s="155"/>
      <x:c r="R179" s="156" t="str">
        <x:f>IFERROR(VLOOKUP(N179,'Configuracion'!$D$4:$H$15,4,FALSE),"")</x:f>
      </x:c>
      <x:c r="S179" s="153"/>
      <x:c r="T179" s="153"/>
      <x:c r="U179" s="156" t="str">
        <x:f>IF(OR(S179="",T179=""),"",MOD(T179-S179,1)*24)</x:f>
      </x:c>
      <x:c r="V179" s="154"/>
      <x:c r="W179" s="154"/>
      <x:c r="X179" s="151" t="str">
        <x:f>IFERROR(VLOOKUP(N179,'Configuracion'!$D$4:$H$15,5,FALSE),"")</x:f>
      </x:c>
      <x:c r="Y179" s="151" t="str">
        <x:f>IFERROR(VLOOKUP(V179,'Cuadrillas'!$A$5:$J$14,2,FALSE),"")</x:f>
      </x:c>
      <x:c r="Z179" s="154"/>
      <x:c r="AA179" s="154"/>
      <x:c r="AB179" s="154"/>
      <x:c r="AC179" s="153"/>
      <x:c r="AD179" s="153"/>
      <x:c r="AE179" s="156" t="str">
        <x:f>IF(OR(AC179="",AD179=""),"",MOD(AD179-AC179,1)*24)</x:f>
      </x:c>
      <x:c r="AF179" s="154"/>
      <x:c r="AG179" s="156" t="str">
        <x:f>IF(AE179="","",MAX(0,AE179-IF(AF179="",0,AF179/60)))</x:f>
      </x:c>
      <x:c r="AH179" s="155"/>
      <x:c r="AI179" s="154"/>
      <x:c r="AJ179" s="154"/>
      <x:c r="AK179" s="156" t="n">
        <x:f>IFERROR(U179*W179,"")</x:f>
        <x:v>0</x:v>
      </x:c>
      <x:c r="AL179" s="156" t="n">
        <x:f>IFERROR(AE179*AI179,"")</x:f>
        <x:v>0</x:v>
      </x:c>
      <x:c r="AM179" s="157" t="str">
        <x:f>IFERROR(AH179/Q179,"")</x:f>
      </x:c>
      <x:c r="AN179" s="156" t="str">
        <x:f>IFERROR(AH179/AG179,"")</x:f>
      </x:c>
      <x:c r="AO179" s="156" t="str">
        <x:f>IFERROR(AL179/AH179,"")</x:f>
      </x:c>
      <x:c r="AP179" s="157" t="str">
        <x:f>IFERROR(AG179/AE179,"")</x:f>
      </x:c>
      <x:c r="AQ179" s="157" t="str">
        <x:f>IFERROR(AN179/(R179/'Configuracion'!$B$13),"")</x:f>
      </x:c>
      <x:c r="AR179" s="156" t="n">
        <x:f>IFERROR(AE179-U179,"")</x:f>
        <x:v>0</x:v>
      </x:c>
      <x:c r="AS179" s="154"/>
      <x:c r="AT179" s="154"/>
      <x:c r="AU179" s="154"/>
      <x:c r="AV179" s="154"/>
      <x:c r="AW179" s="152"/>
      <x:c r="AX179" s="154"/>
      <x:c r="AY179" s="154"/>
      <x:c r="AZ179" s="151"/>
      <x:c r="BA179" s="151"/>
    </x:row>
    <x:row r="180">
      <x:c r="A180" s="151" t="str">
        <x:f>IF(B180="","",TEXT(B180,"yyyymmdd")&amp;"-"&amp;TEXT(COUNTIF($B$5:B180,B180),"000"))</x:f>
      </x:c>
      <x:c r="B180" s="152"/>
      <x:c r="C180" s="153"/>
      <x:c r="D180" s="151" t="str">
        <x:f>IF(B180="","",'Configuracion'!$B$4)</x:f>
      </x:c>
      <x:c r="E180" s="154"/>
      <x:c r="F180" s="154"/>
      <x:c r="G180" s="151" t="str">
        <x:f>IFERROR(VLOOKUP(F180,'Base Sectores'!$A$5:$J$47,2,FALSE),"")</x:f>
      </x:c>
      <x:c r="H180" s="151" t="str">
        <x:f>IFERROR(VLOOKUP(F180,'Base Sectores'!$A$5:$J$47,3,FALSE),"")</x:f>
      </x:c>
      <x:c r="I180" s="151" t="str">
        <x:f>IFERROR(VLOOKUP(F180,'Base Sectores'!$A$5:$J$47,4,FALSE),"")</x:f>
      </x:c>
      <x:c r="J180" s="151" t="str">
        <x:f>IFERROR(VLOOKUP(F180,'Base Sectores'!$A$5:$J$47,5,FALSE),"")</x:f>
      </x:c>
      <x:c r="K180" s="151" t="str">
        <x:f>IFERROR(VLOOKUP(F180,'Base Sectores'!$A$5:$J$47,6,FALSE),"")</x:f>
      </x:c>
      <x:c r="L180" s="151" t="str">
        <x:f>IFERROR(VLOOKUP(F180,'Base Sectores'!$A$5:$J$47,7,FALSE),"")</x:f>
      </x:c>
      <x:c r="M180" s="151" t="str">
        <x:f>IFERROR(VLOOKUP(F180,'Base Sectores'!$A$5:$J$47,9,FALSE),"")</x:f>
      </x:c>
      <x:c r="N180" s="154"/>
      <x:c r="O180" s="151" t="str">
        <x:f>IFERROR(VLOOKUP(N180,'Configuracion'!$D$4:$H$15,2,FALSE),"")</x:f>
      </x:c>
      <x:c r="P180" s="151" t="str">
        <x:f>IFERROR(VLOOKUP(N180,'Configuracion'!$D$4:$H$15,3,FALSE),"")</x:f>
      </x:c>
      <x:c r="Q180" s="155"/>
      <x:c r="R180" s="156" t="str">
        <x:f>IFERROR(VLOOKUP(N180,'Configuracion'!$D$4:$H$15,4,FALSE),"")</x:f>
      </x:c>
      <x:c r="S180" s="153"/>
      <x:c r="T180" s="153"/>
      <x:c r="U180" s="156" t="str">
        <x:f>IF(OR(S180="",T180=""),"",MOD(T180-S180,1)*24)</x:f>
      </x:c>
      <x:c r="V180" s="154"/>
      <x:c r="W180" s="154"/>
      <x:c r="X180" s="151" t="str">
        <x:f>IFERROR(VLOOKUP(N180,'Configuracion'!$D$4:$H$15,5,FALSE),"")</x:f>
      </x:c>
      <x:c r="Y180" s="151" t="str">
        <x:f>IFERROR(VLOOKUP(V180,'Cuadrillas'!$A$5:$J$14,2,FALSE),"")</x:f>
      </x:c>
      <x:c r="Z180" s="154"/>
      <x:c r="AA180" s="154"/>
      <x:c r="AB180" s="154"/>
      <x:c r="AC180" s="153"/>
      <x:c r="AD180" s="153"/>
      <x:c r="AE180" s="156" t="str">
        <x:f>IF(OR(AC180="",AD180=""),"",MOD(AD180-AC180,1)*24)</x:f>
      </x:c>
      <x:c r="AF180" s="154"/>
      <x:c r="AG180" s="156" t="str">
        <x:f>IF(AE180="","",MAX(0,AE180-IF(AF180="",0,AF180/60)))</x:f>
      </x:c>
      <x:c r="AH180" s="155"/>
      <x:c r="AI180" s="154"/>
      <x:c r="AJ180" s="154"/>
      <x:c r="AK180" s="156" t="n">
        <x:f>IFERROR(U180*W180,"")</x:f>
        <x:v>0</x:v>
      </x:c>
      <x:c r="AL180" s="156" t="n">
        <x:f>IFERROR(AE180*AI180,"")</x:f>
        <x:v>0</x:v>
      </x:c>
      <x:c r="AM180" s="157" t="str">
        <x:f>IFERROR(AH180/Q180,"")</x:f>
      </x:c>
      <x:c r="AN180" s="156" t="str">
        <x:f>IFERROR(AH180/AG180,"")</x:f>
      </x:c>
      <x:c r="AO180" s="156" t="str">
        <x:f>IFERROR(AL180/AH180,"")</x:f>
      </x:c>
      <x:c r="AP180" s="157" t="str">
        <x:f>IFERROR(AG180/AE180,"")</x:f>
      </x:c>
      <x:c r="AQ180" s="157" t="str">
        <x:f>IFERROR(AN180/(R180/'Configuracion'!$B$13),"")</x:f>
      </x:c>
      <x:c r="AR180" s="156" t="n">
        <x:f>IFERROR(AE180-U180,"")</x:f>
        <x:v>0</x:v>
      </x:c>
      <x:c r="AS180" s="154"/>
      <x:c r="AT180" s="154"/>
      <x:c r="AU180" s="154"/>
      <x:c r="AV180" s="154"/>
      <x:c r="AW180" s="152"/>
      <x:c r="AX180" s="154"/>
      <x:c r="AY180" s="154"/>
      <x:c r="AZ180" s="151"/>
      <x:c r="BA180" s="151"/>
    </x:row>
    <x:row r="181">
      <x:c r="A181" s="151" t="str">
        <x:f>IF(B181="","",TEXT(B181,"yyyymmdd")&amp;"-"&amp;TEXT(COUNTIF($B$5:B181,B181),"000"))</x:f>
      </x:c>
      <x:c r="B181" s="152"/>
      <x:c r="C181" s="153"/>
      <x:c r="D181" s="151" t="str">
        <x:f>IF(B181="","",'Configuracion'!$B$4)</x:f>
      </x:c>
      <x:c r="E181" s="154"/>
      <x:c r="F181" s="154"/>
      <x:c r="G181" s="151" t="str">
        <x:f>IFERROR(VLOOKUP(F181,'Base Sectores'!$A$5:$J$47,2,FALSE),"")</x:f>
      </x:c>
      <x:c r="H181" s="151" t="str">
        <x:f>IFERROR(VLOOKUP(F181,'Base Sectores'!$A$5:$J$47,3,FALSE),"")</x:f>
      </x:c>
      <x:c r="I181" s="151" t="str">
        <x:f>IFERROR(VLOOKUP(F181,'Base Sectores'!$A$5:$J$47,4,FALSE),"")</x:f>
      </x:c>
      <x:c r="J181" s="151" t="str">
        <x:f>IFERROR(VLOOKUP(F181,'Base Sectores'!$A$5:$J$47,5,FALSE),"")</x:f>
      </x:c>
      <x:c r="K181" s="151" t="str">
        <x:f>IFERROR(VLOOKUP(F181,'Base Sectores'!$A$5:$J$47,6,FALSE),"")</x:f>
      </x:c>
      <x:c r="L181" s="151" t="str">
        <x:f>IFERROR(VLOOKUP(F181,'Base Sectores'!$A$5:$J$47,7,FALSE),"")</x:f>
      </x:c>
      <x:c r="M181" s="151" t="str">
        <x:f>IFERROR(VLOOKUP(F181,'Base Sectores'!$A$5:$J$47,9,FALSE),"")</x:f>
      </x:c>
      <x:c r="N181" s="154"/>
      <x:c r="O181" s="151" t="str">
        <x:f>IFERROR(VLOOKUP(N181,'Configuracion'!$D$4:$H$15,2,FALSE),"")</x:f>
      </x:c>
      <x:c r="P181" s="151" t="str">
        <x:f>IFERROR(VLOOKUP(N181,'Configuracion'!$D$4:$H$15,3,FALSE),"")</x:f>
      </x:c>
      <x:c r="Q181" s="155"/>
      <x:c r="R181" s="156" t="str">
        <x:f>IFERROR(VLOOKUP(N181,'Configuracion'!$D$4:$H$15,4,FALSE),"")</x:f>
      </x:c>
      <x:c r="S181" s="153"/>
      <x:c r="T181" s="153"/>
      <x:c r="U181" s="156" t="str">
        <x:f>IF(OR(S181="",T181=""),"",MOD(T181-S181,1)*24)</x:f>
      </x:c>
      <x:c r="V181" s="154"/>
      <x:c r="W181" s="154"/>
      <x:c r="X181" s="151" t="str">
        <x:f>IFERROR(VLOOKUP(N181,'Configuracion'!$D$4:$H$15,5,FALSE),"")</x:f>
      </x:c>
      <x:c r="Y181" s="151" t="str">
        <x:f>IFERROR(VLOOKUP(V181,'Cuadrillas'!$A$5:$J$14,2,FALSE),"")</x:f>
      </x:c>
      <x:c r="Z181" s="154"/>
      <x:c r="AA181" s="154"/>
      <x:c r="AB181" s="154"/>
      <x:c r="AC181" s="153"/>
      <x:c r="AD181" s="153"/>
      <x:c r="AE181" s="156" t="str">
        <x:f>IF(OR(AC181="",AD181=""),"",MOD(AD181-AC181,1)*24)</x:f>
      </x:c>
      <x:c r="AF181" s="154"/>
      <x:c r="AG181" s="156" t="str">
        <x:f>IF(AE181="","",MAX(0,AE181-IF(AF181="",0,AF181/60)))</x:f>
      </x:c>
      <x:c r="AH181" s="155"/>
      <x:c r="AI181" s="154"/>
      <x:c r="AJ181" s="154"/>
      <x:c r="AK181" s="156" t="n">
        <x:f>IFERROR(U181*W181,"")</x:f>
        <x:v>0</x:v>
      </x:c>
      <x:c r="AL181" s="156" t="n">
        <x:f>IFERROR(AE181*AI181,"")</x:f>
        <x:v>0</x:v>
      </x:c>
      <x:c r="AM181" s="157" t="str">
        <x:f>IFERROR(AH181/Q181,"")</x:f>
      </x:c>
      <x:c r="AN181" s="156" t="str">
        <x:f>IFERROR(AH181/AG181,"")</x:f>
      </x:c>
      <x:c r="AO181" s="156" t="str">
        <x:f>IFERROR(AL181/AH181,"")</x:f>
      </x:c>
      <x:c r="AP181" s="157" t="str">
        <x:f>IFERROR(AG181/AE181,"")</x:f>
      </x:c>
      <x:c r="AQ181" s="157" t="str">
        <x:f>IFERROR(AN181/(R181/'Configuracion'!$B$13),"")</x:f>
      </x:c>
      <x:c r="AR181" s="156" t="n">
        <x:f>IFERROR(AE181-U181,"")</x:f>
        <x:v>0</x:v>
      </x:c>
      <x:c r="AS181" s="154"/>
      <x:c r="AT181" s="154"/>
      <x:c r="AU181" s="154"/>
      <x:c r="AV181" s="154"/>
      <x:c r="AW181" s="152"/>
      <x:c r="AX181" s="154"/>
      <x:c r="AY181" s="154"/>
      <x:c r="AZ181" s="151"/>
      <x:c r="BA181" s="151"/>
    </x:row>
    <x:row r="182">
      <x:c r="A182" s="151" t="str">
        <x:f>IF(B182="","",TEXT(B182,"yyyymmdd")&amp;"-"&amp;TEXT(COUNTIF($B$5:B182,B182),"000"))</x:f>
      </x:c>
      <x:c r="B182" s="152"/>
      <x:c r="C182" s="153"/>
      <x:c r="D182" s="151" t="str">
        <x:f>IF(B182="","",'Configuracion'!$B$4)</x:f>
      </x:c>
      <x:c r="E182" s="154"/>
      <x:c r="F182" s="154"/>
      <x:c r="G182" s="151" t="str">
        <x:f>IFERROR(VLOOKUP(F182,'Base Sectores'!$A$5:$J$47,2,FALSE),"")</x:f>
      </x:c>
      <x:c r="H182" s="151" t="str">
        <x:f>IFERROR(VLOOKUP(F182,'Base Sectores'!$A$5:$J$47,3,FALSE),"")</x:f>
      </x:c>
      <x:c r="I182" s="151" t="str">
        <x:f>IFERROR(VLOOKUP(F182,'Base Sectores'!$A$5:$J$47,4,FALSE),"")</x:f>
      </x:c>
      <x:c r="J182" s="151" t="str">
        <x:f>IFERROR(VLOOKUP(F182,'Base Sectores'!$A$5:$J$47,5,FALSE),"")</x:f>
      </x:c>
      <x:c r="K182" s="151" t="str">
        <x:f>IFERROR(VLOOKUP(F182,'Base Sectores'!$A$5:$J$47,6,FALSE),"")</x:f>
      </x:c>
      <x:c r="L182" s="151" t="str">
        <x:f>IFERROR(VLOOKUP(F182,'Base Sectores'!$A$5:$J$47,7,FALSE),"")</x:f>
      </x:c>
      <x:c r="M182" s="151" t="str">
        <x:f>IFERROR(VLOOKUP(F182,'Base Sectores'!$A$5:$J$47,9,FALSE),"")</x:f>
      </x:c>
      <x:c r="N182" s="154"/>
      <x:c r="O182" s="151" t="str">
        <x:f>IFERROR(VLOOKUP(N182,'Configuracion'!$D$4:$H$15,2,FALSE),"")</x:f>
      </x:c>
      <x:c r="P182" s="151" t="str">
        <x:f>IFERROR(VLOOKUP(N182,'Configuracion'!$D$4:$H$15,3,FALSE),"")</x:f>
      </x:c>
      <x:c r="Q182" s="155"/>
      <x:c r="R182" s="156" t="str">
        <x:f>IFERROR(VLOOKUP(N182,'Configuracion'!$D$4:$H$15,4,FALSE),"")</x:f>
      </x:c>
      <x:c r="S182" s="153"/>
      <x:c r="T182" s="153"/>
      <x:c r="U182" s="156" t="str">
        <x:f>IF(OR(S182="",T182=""),"",MOD(T182-S182,1)*24)</x:f>
      </x:c>
      <x:c r="V182" s="154"/>
      <x:c r="W182" s="154"/>
      <x:c r="X182" s="151" t="str">
        <x:f>IFERROR(VLOOKUP(N182,'Configuracion'!$D$4:$H$15,5,FALSE),"")</x:f>
      </x:c>
      <x:c r="Y182" s="151" t="str">
        <x:f>IFERROR(VLOOKUP(V182,'Cuadrillas'!$A$5:$J$14,2,FALSE),"")</x:f>
      </x:c>
      <x:c r="Z182" s="154"/>
      <x:c r="AA182" s="154"/>
      <x:c r="AB182" s="154"/>
      <x:c r="AC182" s="153"/>
      <x:c r="AD182" s="153"/>
      <x:c r="AE182" s="156" t="str">
        <x:f>IF(OR(AC182="",AD182=""),"",MOD(AD182-AC182,1)*24)</x:f>
      </x:c>
      <x:c r="AF182" s="154"/>
      <x:c r="AG182" s="156" t="str">
        <x:f>IF(AE182="","",MAX(0,AE182-IF(AF182="",0,AF182/60)))</x:f>
      </x:c>
      <x:c r="AH182" s="155"/>
      <x:c r="AI182" s="154"/>
      <x:c r="AJ182" s="154"/>
      <x:c r="AK182" s="156" t="n">
        <x:f>IFERROR(U182*W182,"")</x:f>
        <x:v>0</x:v>
      </x:c>
      <x:c r="AL182" s="156" t="n">
        <x:f>IFERROR(AE182*AI182,"")</x:f>
        <x:v>0</x:v>
      </x:c>
      <x:c r="AM182" s="157" t="str">
        <x:f>IFERROR(AH182/Q182,"")</x:f>
      </x:c>
      <x:c r="AN182" s="156" t="str">
        <x:f>IFERROR(AH182/AG182,"")</x:f>
      </x:c>
      <x:c r="AO182" s="156" t="str">
        <x:f>IFERROR(AL182/AH182,"")</x:f>
      </x:c>
      <x:c r="AP182" s="157" t="str">
        <x:f>IFERROR(AG182/AE182,"")</x:f>
      </x:c>
      <x:c r="AQ182" s="157" t="str">
        <x:f>IFERROR(AN182/(R182/'Configuracion'!$B$13),"")</x:f>
      </x:c>
      <x:c r="AR182" s="156" t="n">
        <x:f>IFERROR(AE182-U182,"")</x:f>
        <x:v>0</x:v>
      </x:c>
      <x:c r="AS182" s="154"/>
      <x:c r="AT182" s="154"/>
      <x:c r="AU182" s="154"/>
      <x:c r="AV182" s="154"/>
      <x:c r="AW182" s="152"/>
      <x:c r="AX182" s="154"/>
      <x:c r="AY182" s="154"/>
      <x:c r="AZ182" s="151"/>
      <x:c r="BA182" s="151"/>
    </x:row>
    <x:row r="183">
      <x:c r="A183" s="151" t="str">
        <x:f>IF(B183="","",TEXT(B183,"yyyymmdd")&amp;"-"&amp;TEXT(COUNTIF($B$5:B183,B183),"000"))</x:f>
      </x:c>
      <x:c r="B183" s="152"/>
      <x:c r="C183" s="153"/>
      <x:c r="D183" s="151" t="str">
        <x:f>IF(B183="","",'Configuracion'!$B$4)</x:f>
      </x:c>
      <x:c r="E183" s="154"/>
      <x:c r="F183" s="154"/>
      <x:c r="G183" s="151" t="str">
        <x:f>IFERROR(VLOOKUP(F183,'Base Sectores'!$A$5:$J$47,2,FALSE),"")</x:f>
      </x:c>
      <x:c r="H183" s="151" t="str">
        <x:f>IFERROR(VLOOKUP(F183,'Base Sectores'!$A$5:$J$47,3,FALSE),"")</x:f>
      </x:c>
      <x:c r="I183" s="151" t="str">
        <x:f>IFERROR(VLOOKUP(F183,'Base Sectores'!$A$5:$J$47,4,FALSE),"")</x:f>
      </x:c>
      <x:c r="J183" s="151" t="str">
        <x:f>IFERROR(VLOOKUP(F183,'Base Sectores'!$A$5:$J$47,5,FALSE),"")</x:f>
      </x:c>
      <x:c r="K183" s="151" t="str">
        <x:f>IFERROR(VLOOKUP(F183,'Base Sectores'!$A$5:$J$47,6,FALSE),"")</x:f>
      </x:c>
      <x:c r="L183" s="151" t="str">
        <x:f>IFERROR(VLOOKUP(F183,'Base Sectores'!$A$5:$J$47,7,FALSE),"")</x:f>
      </x:c>
      <x:c r="M183" s="151" t="str">
        <x:f>IFERROR(VLOOKUP(F183,'Base Sectores'!$A$5:$J$47,9,FALSE),"")</x:f>
      </x:c>
      <x:c r="N183" s="154"/>
      <x:c r="O183" s="151" t="str">
        <x:f>IFERROR(VLOOKUP(N183,'Configuracion'!$D$4:$H$15,2,FALSE),"")</x:f>
      </x:c>
      <x:c r="P183" s="151" t="str">
        <x:f>IFERROR(VLOOKUP(N183,'Configuracion'!$D$4:$H$15,3,FALSE),"")</x:f>
      </x:c>
      <x:c r="Q183" s="155"/>
      <x:c r="R183" s="156" t="str">
        <x:f>IFERROR(VLOOKUP(N183,'Configuracion'!$D$4:$H$15,4,FALSE),"")</x:f>
      </x:c>
      <x:c r="S183" s="153"/>
      <x:c r="T183" s="153"/>
      <x:c r="U183" s="156" t="str">
        <x:f>IF(OR(S183="",T183=""),"",MOD(T183-S183,1)*24)</x:f>
      </x:c>
      <x:c r="V183" s="154"/>
      <x:c r="W183" s="154"/>
      <x:c r="X183" s="151" t="str">
        <x:f>IFERROR(VLOOKUP(N183,'Configuracion'!$D$4:$H$15,5,FALSE),"")</x:f>
      </x:c>
      <x:c r="Y183" s="151" t="str">
        <x:f>IFERROR(VLOOKUP(V183,'Cuadrillas'!$A$5:$J$14,2,FALSE),"")</x:f>
      </x:c>
      <x:c r="Z183" s="154"/>
      <x:c r="AA183" s="154"/>
      <x:c r="AB183" s="154"/>
      <x:c r="AC183" s="153"/>
      <x:c r="AD183" s="153"/>
      <x:c r="AE183" s="156" t="str">
        <x:f>IF(OR(AC183="",AD183=""),"",MOD(AD183-AC183,1)*24)</x:f>
      </x:c>
      <x:c r="AF183" s="154"/>
      <x:c r="AG183" s="156" t="str">
        <x:f>IF(AE183="","",MAX(0,AE183-IF(AF183="",0,AF183/60)))</x:f>
      </x:c>
      <x:c r="AH183" s="155"/>
      <x:c r="AI183" s="154"/>
      <x:c r="AJ183" s="154"/>
      <x:c r="AK183" s="156" t="n">
        <x:f>IFERROR(U183*W183,"")</x:f>
        <x:v>0</x:v>
      </x:c>
      <x:c r="AL183" s="156" t="n">
        <x:f>IFERROR(AE183*AI183,"")</x:f>
        <x:v>0</x:v>
      </x:c>
      <x:c r="AM183" s="157" t="str">
        <x:f>IFERROR(AH183/Q183,"")</x:f>
      </x:c>
      <x:c r="AN183" s="156" t="str">
        <x:f>IFERROR(AH183/AG183,"")</x:f>
      </x:c>
      <x:c r="AO183" s="156" t="str">
        <x:f>IFERROR(AL183/AH183,"")</x:f>
      </x:c>
      <x:c r="AP183" s="157" t="str">
        <x:f>IFERROR(AG183/AE183,"")</x:f>
      </x:c>
      <x:c r="AQ183" s="157" t="str">
        <x:f>IFERROR(AN183/(R183/'Configuracion'!$B$13),"")</x:f>
      </x:c>
      <x:c r="AR183" s="156" t="n">
        <x:f>IFERROR(AE183-U183,"")</x:f>
        <x:v>0</x:v>
      </x:c>
      <x:c r="AS183" s="154"/>
      <x:c r="AT183" s="154"/>
      <x:c r="AU183" s="154"/>
      <x:c r="AV183" s="154"/>
      <x:c r="AW183" s="152"/>
      <x:c r="AX183" s="154"/>
      <x:c r="AY183" s="154"/>
      <x:c r="AZ183" s="151"/>
      <x:c r="BA183" s="151"/>
    </x:row>
    <x:row r="184">
      <x:c r="A184" s="151" t="str">
        <x:f>IF(B184="","",TEXT(B184,"yyyymmdd")&amp;"-"&amp;TEXT(COUNTIF($B$5:B184,B184),"000"))</x:f>
      </x:c>
      <x:c r="B184" s="152"/>
      <x:c r="C184" s="153"/>
      <x:c r="D184" s="151" t="str">
        <x:f>IF(B184="","",'Configuracion'!$B$4)</x:f>
      </x:c>
      <x:c r="E184" s="154"/>
      <x:c r="F184" s="154"/>
      <x:c r="G184" s="151" t="str">
        <x:f>IFERROR(VLOOKUP(F184,'Base Sectores'!$A$5:$J$47,2,FALSE),"")</x:f>
      </x:c>
      <x:c r="H184" s="151" t="str">
        <x:f>IFERROR(VLOOKUP(F184,'Base Sectores'!$A$5:$J$47,3,FALSE),"")</x:f>
      </x:c>
      <x:c r="I184" s="151" t="str">
        <x:f>IFERROR(VLOOKUP(F184,'Base Sectores'!$A$5:$J$47,4,FALSE),"")</x:f>
      </x:c>
      <x:c r="J184" s="151" t="str">
        <x:f>IFERROR(VLOOKUP(F184,'Base Sectores'!$A$5:$J$47,5,FALSE),"")</x:f>
      </x:c>
      <x:c r="K184" s="151" t="str">
        <x:f>IFERROR(VLOOKUP(F184,'Base Sectores'!$A$5:$J$47,6,FALSE),"")</x:f>
      </x:c>
      <x:c r="L184" s="151" t="str">
        <x:f>IFERROR(VLOOKUP(F184,'Base Sectores'!$A$5:$J$47,7,FALSE),"")</x:f>
      </x:c>
      <x:c r="M184" s="151" t="str">
        <x:f>IFERROR(VLOOKUP(F184,'Base Sectores'!$A$5:$J$47,9,FALSE),"")</x:f>
      </x:c>
      <x:c r="N184" s="154"/>
      <x:c r="O184" s="151" t="str">
        <x:f>IFERROR(VLOOKUP(N184,'Configuracion'!$D$4:$H$15,2,FALSE),"")</x:f>
      </x:c>
      <x:c r="P184" s="151" t="str">
        <x:f>IFERROR(VLOOKUP(N184,'Configuracion'!$D$4:$H$15,3,FALSE),"")</x:f>
      </x:c>
      <x:c r="Q184" s="155"/>
      <x:c r="R184" s="156" t="str">
        <x:f>IFERROR(VLOOKUP(N184,'Configuracion'!$D$4:$H$15,4,FALSE),"")</x:f>
      </x:c>
      <x:c r="S184" s="153"/>
      <x:c r="T184" s="153"/>
      <x:c r="U184" s="156" t="str">
        <x:f>IF(OR(S184="",T184=""),"",MOD(T184-S184,1)*24)</x:f>
      </x:c>
      <x:c r="V184" s="154"/>
      <x:c r="W184" s="154"/>
      <x:c r="X184" s="151" t="str">
        <x:f>IFERROR(VLOOKUP(N184,'Configuracion'!$D$4:$H$15,5,FALSE),"")</x:f>
      </x:c>
      <x:c r="Y184" s="151" t="str">
        <x:f>IFERROR(VLOOKUP(V184,'Cuadrillas'!$A$5:$J$14,2,FALSE),"")</x:f>
      </x:c>
      <x:c r="Z184" s="154"/>
      <x:c r="AA184" s="154"/>
      <x:c r="AB184" s="154"/>
      <x:c r="AC184" s="153"/>
      <x:c r="AD184" s="153"/>
      <x:c r="AE184" s="156" t="str">
        <x:f>IF(OR(AC184="",AD184=""),"",MOD(AD184-AC184,1)*24)</x:f>
      </x:c>
      <x:c r="AF184" s="154"/>
      <x:c r="AG184" s="156" t="str">
        <x:f>IF(AE184="","",MAX(0,AE184-IF(AF184="",0,AF184/60)))</x:f>
      </x:c>
      <x:c r="AH184" s="155"/>
      <x:c r="AI184" s="154"/>
      <x:c r="AJ184" s="154"/>
      <x:c r="AK184" s="156" t="n">
        <x:f>IFERROR(U184*W184,"")</x:f>
        <x:v>0</x:v>
      </x:c>
      <x:c r="AL184" s="156" t="n">
        <x:f>IFERROR(AE184*AI184,"")</x:f>
        <x:v>0</x:v>
      </x:c>
      <x:c r="AM184" s="157" t="str">
        <x:f>IFERROR(AH184/Q184,"")</x:f>
      </x:c>
      <x:c r="AN184" s="156" t="str">
        <x:f>IFERROR(AH184/AG184,"")</x:f>
      </x:c>
      <x:c r="AO184" s="156" t="str">
        <x:f>IFERROR(AL184/AH184,"")</x:f>
      </x:c>
      <x:c r="AP184" s="157" t="str">
        <x:f>IFERROR(AG184/AE184,"")</x:f>
      </x:c>
      <x:c r="AQ184" s="157" t="str">
        <x:f>IFERROR(AN184/(R184/'Configuracion'!$B$13),"")</x:f>
      </x:c>
      <x:c r="AR184" s="156" t="n">
        <x:f>IFERROR(AE184-U184,"")</x:f>
        <x:v>0</x:v>
      </x:c>
      <x:c r="AS184" s="154"/>
      <x:c r="AT184" s="154"/>
      <x:c r="AU184" s="154"/>
      <x:c r="AV184" s="154"/>
      <x:c r="AW184" s="152"/>
      <x:c r="AX184" s="154"/>
      <x:c r="AY184" s="154"/>
      <x:c r="AZ184" s="151"/>
      <x:c r="BA184" s="151"/>
    </x:row>
    <x:row r="185">
      <x:c r="A185" s="151" t="str">
        <x:f>IF(B185="","",TEXT(B185,"yyyymmdd")&amp;"-"&amp;TEXT(COUNTIF($B$5:B185,B185),"000"))</x:f>
      </x:c>
      <x:c r="B185" s="152"/>
      <x:c r="C185" s="153"/>
      <x:c r="D185" s="151" t="str">
        <x:f>IF(B185="","",'Configuracion'!$B$4)</x:f>
      </x:c>
      <x:c r="E185" s="154"/>
      <x:c r="F185" s="154"/>
      <x:c r="G185" s="151" t="str">
        <x:f>IFERROR(VLOOKUP(F185,'Base Sectores'!$A$5:$J$47,2,FALSE),"")</x:f>
      </x:c>
      <x:c r="H185" s="151" t="str">
        <x:f>IFERROR(VLOOKUP(F185,'Base Sectores'!$A$5:$J$47,3,FALSE),"")</x:f>
      </x:c>
      <x:c r="I185" s="151" t="str">
        <x:f>IFERROR(VLOOKUP(F185,'Base Sectores'!$A$5:$J$47,4,FALSE),"")</x:f>
      </x:c>
      <x:c r="J185" s="151" t="str">
        <x:f>IFERROR(VLOOKUP(F185,'Base Sectores'!$A$5:$J$47,5,FALSE),"")</x:f>
      </x:c>
      <x:c r="K185" s="151" t="str">
        <x:f>IFERROR(VLOOKUP(F185,'Base Sectores'!$A$5:$J$47,6,FALSE),"")</x:f>
      </x:c>
      <x:c r="L185" s="151" t="str">
        <x:f>IFERROR(VLOOKUP(F185,'Base Sectores'!$A$5:$J$47,7,FALSE),"")</x:f>
      </x:c>
      <x:c r="M185" s="151" t="str">
        <x:f>IFERROR(VLOOKUP(F185,'Base Sectores'!$A$5:$J$47,9,FALSE),"")</x:f>
      </x:c>
      <x:c r="N185" s="154"/>
      <x:c r="O185" s="151" t="str">
        <x:f>IFERROR(VLOOKUP(N185,'Configuracion'!$D$4:$H$15,2,FALSE),"")</x:f>
      </x:c>
      <x:c r="P185" s="151" t="str">
        <x:f>IFERROR(VLOOKUP(N185,'Configuracion'!$D$4:$H$15,3,FALSE),"")</x:f>
      </x:c>
      <x:c r="Q185" s="155"/>
      <x:c r="R185" s="156" t="str">
        <x:f>IFERROR(VLOOKUP(N185,'Configuracion'!$D$4:$H$15,4,FALSE),"")</x:f>
      </x:c>
      <x:c r="S185" s="153"/>
      <x:c r="T185" s="153"/>
      <x:c r="U185" s="156" t="str">
        <x:f>IF(OR(S185="",T185=""),"",MOD(T185-S185,1)*24)</x:f>
      </x:c>
      <x:c r="V185" s="154"/>
      <x:c r="W185" s="154"/>
      <x:c r="X185" s="151" t="str">
        <x:f>IFERROR(VLOOKUP(N185,'Configuracion'!$D$4:$H$15,5,FALSE),"")</x:f>
      </x:c>
      <x:c r="Y185" s="151" t="str">
        <x:f>IFERROR(VLOOKUP(V185,'Cuadrillas'!$A$5:$J$14,2,FALSE),"")</x:f>
      </x:c>
      <x:c r="Z185" s="154"/>
      <x:c r="AA185" s="154"/>
      <x:c r="AB185" s="154"/>
      <x:c r="AC185" s="153"/>
      <x:c r="AD185" s="153"/>
      <x:c r="AE185" s="156" t="str">
        <x:f>IF(OR(AC185="",AD185=""),"",MOD(AD185-AC185,1)*24)</x:f>
      </x:c>
      <x:c r="AF185" s="154"/>
      <x:c r="AG185" s="156" t="str">
        <x:f>IF(AE185="","",MAX(0,AE185-IF(AF185="",0,AF185/60)))</x:f>
      </x:c>
      <x:c r="AH185" s="155"/>
      <x:c r="AI185" s="154"/>
      <x:c r="AJ185" s="154"/>
      <x:c r="AK185" s="156" t="n">
        <x:f>IFERROR(U185*W185,"")</x:f>
        <x:v>0</x:v>
      </x:c>
      <x:c r="AL185" s="156" t="n">
        <x:f>IFERROR(AE185*AI185,"")</x:f>
        <x:v>0</x:v>
      </x:c>
      <x:c r="AM185" s="157" t="str">
        <x:f>IFERROR(AH185/Q185,"")</x:f>
      </x:c>
      <x:c r="AN185" s="156" t="str">
        <x:f>IFERROR(AH185/AG185,"")</x:f>
      </x:c>
      <x:c r="AO185" s="156" t="str">
        <x:f>IFERROR(AL185/AH185,"")</x:f>
      </x:c>
      <x:c r="AP185" s="157" t="str">
        <x:f>IFERROR(AG185/AE185,"")</x:f>
      </x:c>
      <x:c r="AQ185" s="157" t="str">
        <x:f>IFERROR(AN185/(R185/'Configuracion'!$B$13),"")</x:f>
      </x:c>
      <x:c r="AR185" s="156" t="n">
        <x:f>IFERROR(AE185-U185,"")</x:f>
        <x:v>0</x:v>
      </x:c>
      <x:c r="AS185" s="154"/>
      <x:c r="AT185" s="154"/>
      <x:c r="AU185" s="154"/>
      <x:c r="AV185" s="154"/>
      <x:c r="AW185" s="152"/>
      <x:c r="AX185" s="154"/>
      <x:c r="AY185" s="154"/>
      <x:c r="AZ185" s="151"/>
      <x:c r="BA185" s="151"/>
    </x:row>
    <x:row r="186">
      <x:c r="A186" s="151" t="str">
        <x:f>IF(B186="","",TEXT(B186,"yyyymmdd")&amp;"-"&amp;TEXT(COUNTIF($B$5:B186,B186),"000"))</x:f>
      </x:c>
      <x:c r="B186" s="152"/>
      <x:c r="C186" s="153"/>
      <x:c r="D186" s="151" t="str">
        <x:f>IF(B186="","",'Configuracion'!$B$4)</x:f>
      </x:c>
      <x:c r="E186" s="154"/>
      <x:c r="F186" s="154"/>
      <x:c r="G186" s="151" t="str">
        <x:f>IFERROR(VLOOKUP(F186,'Base Sectores'!$A$5:$J$47,2,FALSE),"")</x:f>
      </x:c>
      <x:c r="H186" s="151" t="str">
        <x:f>IFERROR(VLOOKUP(F186,'Base Sectores'!$A$5:$J$47,3,FALSE),"")</x:f>
      </x:c>
      <x:c r="I186" s="151" t="str">
        <x:f>IFERROR(VLOOKUP(F186,'Base Sectores'!$A$5:$J$47,4,FALSE),"")</x:f>
      </x:c>
      <x:c r="J186" s="151" t="str">
        <x:f>IFERROR(VLOOKUP(F186,'Base Sectores'!$A$5:$J$47,5,FALSE),"")</x:f>
      </x:c>
      <x:c r="K186" s="151" t="str">
        <x:f>IFERROR(VLOOKUP(F186,'Base Sectores'!$A$5:$J$47,6,FALSE),"")</x:f>
      </x:c>
      <x:c r="L186" s="151" t="str">
        <x:f>IFERROR(VLOOKUP(F186,'Base Sectores'!$A$5:$J$47,7,FALSE),"")</x:f>
      </x:c>
      <x:c r="M186" s="151" t="str">
        <x:f>IFERROR(VLOOKUP(F186,'Base Sectores'!$A$5:$J$47,9,FALSE),"")</x:f>
      </x:c>
      <x:c r="N186" s="154"/>
      <x:c r="O186" s="151" t="str">
        <x:f>IFERROR(VLOOKUP(N186,'Configuracion'!$D$4:$H$15,2,FALSE),"")</x:f>
      </x:c>
      <x:c r="P186" s="151" t="str">
        <x:f>IFERROR(VLOOKUP(N186,'Configuracion'!$D$4:$H$15,3,FALSE),"")</x:f>
      </x:c>
      <x:c r="Q186" s="155"/>
      <x:c r="R186" s="156" t="str">
        <x:f>IFERROR(VLOOKUP(N186,'Configuracion'!$D$4:$H$15,4,FALSE),"")</x:f>
      </x:c>
      <x:c r="S186" s="153"/>
      <x:c r="T186" s="153"/>
      <x:c r="U186" s="156" t="str">
        <x:f>IF(OR(S186="",T186=""),"",MOD(T186-S186,1)*24)</x:f>
      </x:c>
      <x:c r="V186" s="154"/>
      <x:c r="W186" s="154"/>
      <x:c r="X186" s="151" t="str">
        <x:f>IFERROR(VLOOKUP(N186,'Configuracion'!$D$4:$H$15,5,FALSE),"")</x:f>
      </x:c>
      <x:c r="Y186" s="151" t="str">
        <x:f>IFERROR(VLOOKUP(V186,'Cuadrillas'!$A$5:$J$14,2,FALSE),"")</x:f>
      </x:c>
      <x:c r="Z186" s="154"/>
      <x:c r="AA186" s="154"/>
      <x:c r="AB186" s="154"/>
      <x:c r="AC186" s="153"/>
      <x:c r="AD186" s="153"/>
      <x:c r="AE186" s="156" t="str">
        <x:f>IF(OR(AC186="",AD186=""),"",MOD(AD186-AC186,1)*24)</x:f>
      </x:c>
      <x:c r="AF186" s="154"/>
      <x:c r="AG186" s="156" t="str">
        <x:f>IF(AE186="","",MAX(0,AE186-IF(AF186="",0,AF186/60)))</x:f>
      </x:c>
      <x:c r="AH186" s="155"/>
      <x:c r="AI186" s="154"/>
      <x:c r="AJ186" s="154"/>
      <x:c r="AK186" s="156" t="n">
        <x:f>IFERROR(U186*W186,"")</x:f>
        <x:v>0</x:v>
      </x:c>
      <x:c r="AL186" s="156" t="n">
        <x:f>IFERROR(AE186*AI186,"")</x:f>
        <x:v>0</x:v>
      </x:c>
      <x:c r="AM186" s="157" t="str">
        <x:f>IFERROR(AH186/Q186,"")</x:f>
      </x:c>
      <x:c r="AN186" s="156" t="str">
        <x:f>IFERROR(AH186/AG186,"")</x:f>
      </x:c>
      <x:c r="AO186" s="156" t="str">
        <x:f>IFERROR(AL186/AH186,"")</x:f>
      </x:c>
      <x:c r="AP186" s="157" t="str">
        <x:f>IFERROR(AG186/AE186,"")</x:f>
      </x:c>
      <x:c r="AQ186" s="157" t="str">
        <x:f>IFERROR(AN186/(R186/'Configuracion'!$B$13),"")</x:f>
      </x:c>
      <x:c r="AR186" s="156" t="n">
        <x:f>IFERROR(AE186-U186,"")</x:f>
        <x:v>0</x:v>
      </x:c>
      <x:c r="AS186" s="154"/>
      <x:c r="AT186" s="154"/>
      <x:c r="AU186" s="154"/>
      <x:c r="AV186" s="154"/>
      <x:c r="AW186" s="152"/>
      <x:c r="AX186" s="154"/>
      <x:c r="AY186" s="154"/>
      <x:c r="AZ186" s="151"/>
      <x:c r="BA186" s="151"/>
    </x:row>
    <x:row r="187">
      <x:c r="A187" s="151" t="str">
        <x:f>IF(B187="","",TEXT(B187,"yyyymmdd")&amp;"-"&amp;TEXT(COUNTIF($B$5:B187,B187),"000"))</x:f>
      </x:c>
      <x:c r="B187" s="152"/>
      <x:c r="C187" s="153"/>
      <x:c r="D187" s="151" t="str">
        <x:f>IF(B187="","",'Configuracion'!$B$4)</x:f>
      </x:c>
      <x:c r="E187" s="154"/>
      <x:c r="F187" s="154"/>
      <x:c r="G187" s="151" t="str">
        <x:f>IFERROR(VLOOKUP(F187,'Base Sectores'!$A$5:$J$47,2,FALSE),"")</x:f>
      </x:c>
      <x:c r="H187" s="151" t="str">
        <x:f>IFERROR(VLOOKUP(F187,'Base Sectores'!$A$5:$J$47,3,FALSE),"")</x:f>
      </x:c>
      <x:c r="I187" s="151" t="str">
        <x:f>IFERROR(VLOOKUP(F187,'Base Sectores'!$A$5:$J$47,4,FALSE),"")</x:f>
      </x:c>
      <x:c r="J187" s="151" t="str">
        <x:f>IFERROR(VLOOKUP(F187,'Base Sectores'!$A$5:$J$47,5,FALSE),"")</x:f>
      </x:c>
      <x:c r="K187" s="151" t="str">
        <x:f>IFERROR(VLOOKUP(F187,'Base Sectores'!$A$5:$J$47,6,FALSE),"")</x:f>
      </x:c>
      <x:c r="L187" s="151" t="str">
        <x:f>IFERROR(VLOOKUP(F187,'Base Sectores'!$A$5:$J$47,7,FALSE),"")</x:f>
      </x:c>
      <x:c r="M187" s="151" t="str">
        <x:f>IFERROR(VLOOKUP(F187,'Base Sectores'!$A$5:$J$47,9,FALSE),"")</x:f>
      </x:c>
      <x:c r="N187" s="154"/>
      <x:c r="O187" s="151" t="str">
        <x:f>IFERROR(VLOOKUP(N187,'Configuracion'!$D$4:$H$15,2,FALSE),"")</x:f>
      </x:c>
      <x:c r="P187" s="151" t="str">
        <x:f>IFERROR(VLOOKUP(N187,'Configuracion'!$D$4:$H$15,3,FALSE),"")</x:f>
      </x:c>
      <x:c r="Q187" s="155"/>
      <x:c r="R187" s="156" t="str">
        <x:f>IFERROR(VLOOKUP(N187,'Configuracion'!$D$4:$H$15,4,FALSE),"")</x:f>
      </x:c>
      <x:c r="S187" s="153"/>
      <x:c r="T187" s="153"/>
      <x:c r="U187" s="156" t="str">
        <x:f>IF(OR(S187="",T187=""),"",MOD(T187-S187,1)*24)</x:f>
      </x:c>
      <x:c r="V187" s="154"/>
      <x:c r="W187" s="154"/>
      <x:c r="X187" s="151" t="str">
        <x:f>IFERROR(VLOOKUP(N187,'Configuracion'!$D$4:$H$15,5,FALSE),"")</x:f>
      </x:c>
      <x:c r="Y187" s="151" t="str">
        <x:f>IFERROR(VLOOKUP(V187,'Cuadrillas'!$A$5:$J$14,2,FALSE),"")</x:f>
      </x:c>
      <x:c r="Z187" s="154"/>
      <x:c r="AA187" s="154"/>
      <x:c r="AB187" s="154"/>
      <x:c r="AC187" s="153"/>
      <x:c r="AD187" s="153"/>
      <x:c r="AE187" s="156" t="str">
        <x:f>IF(OR(AC187="",AD187=""),"",MOD(AD187-AC187,1)*24)</x:f>
      </x:c>
      <x:c r="AF187" s="154"/>
      <x:c r="AG187" s="156" t="str">
        <x:f>IF(AE187="","",MAX(0,AE187-IF(AF187="",0,AF187/60)))</x:f>
      </x:c>
      <x:c r="AH187" s="155"/>
      <x:c r="AI187" s="154"/>
      <x:c r="AJ187" s="154"/>
      <x:c r="AK187" s="156" t="n">
        <x:f>IFERROR(U187*W187,"")</x:f>
        <x:v>0</x:v>
      </x:c>
      <x:c r="AL187" s="156" t="n">
        <x:f>IFERROR(AE187*AI187,"")</x:f>
        <x:v>0</x:v>
      </x:c>
      <x:c r="AM187" s="157" t="str">
        <x:f>IFERROR(AH187/Q187,"")</x:f>
      </x:c>
      <x:c r="AN187" s="156" t="str">
        <x:f>IFERROR(AH187/AG187,"")</x:f>
      </x:c>
      <x:c r="AO187" s="156" t="str">
        <x:f>IFERROR(AL187/AH187,"")</x:f>
      </x:c>
      <x:c r="AP187" s="157" t="str">
        <x:f>IFERROR(AG187/AE187,"")</x:f>
      </x:c>
      <x:c r="AQ187" s="157" t="str">
        <x:f>IFERROR(AN187/(R187/'Configuracion'!$B$13),"")</x:f>
      </x:c>
      <x:c r="AR187" s="156" t="n">
        <x:f>IFERROR(AE187-U187,"")</x:f>
        <x:v>0</x:v>
      </x:c>
      <x:c r="AS187" s="154"/>
      <x:c r="AT187" s="154"/>
      <x:c r="AU187" s="154"/>
      <x:c r="AV187" s="154"/>
      <x:c r="AW187" s="152"/>
      <x:c r="AX187" s="154"/>
      <x:c r="AY187" s="154"/>
      <x:c r="AZ187" s="151"/>
      <x:c r="BA187" s="151"/>
    </x:row>
    <x:row r="188">
      <x:c r="A188" s="151" t="str">
        <x:f>IF(B188="","",TEXT(B188,"yyyymmdd")&amp;"-"&amp;TEXT(COUNTIF($B$5:B188,B188),"000"))</x:f>
      </x:c>
      <x:c r="B188" s="152"/>
      <x:c r="C188" s="153"/>
      <x:c r="D188" s="151" t="str">
        <x:f>IF(B188="","",'Configuracion'!$B$4)</x:f>
      </x:c>
      <x:c r="E188" s="154"/>
      <x:c r="F188" s="154"/>
      <x:c r="G188" s="151" t="str">
        <x:f>IFERROR(VLOOKUP(F188,'Base Sectores'!$A$5:$J$47,2,FALSE),"")</x:f>
      </x:c>
      <x:c r="H188" s="151" t="str">
        <x:f>IFERROR(VLOOKUP(F188,'Base Sectores'!$A$5:$J$47,3,FALSE),"")</x:f>
      </x:c>
      <x:c r="I188" s="151" t="str">
        <x:f>IFERROR(VLOOKUP(F188,'Base Sectores'!$A$5:$J$47,4,FALSE),"")</x:f>
      </x:c>
      <x:c r="J188" s="151" t="str">
        <x:f>IFERROR(VLOOKUP(F188,'Base Sectores'!$A$5:$J$47,5,FALSE),"")</x:f>
      </x:c>
      <x:c r="K188" s="151" t="str">
        <x:f>IFERROR(VLOOKUP(F188,'Base Sectores'!$A$5:$J$47,6,FALSE),"")</x:f>
      </x:c>
      <x:c r="L188" s="151" t="str">
        <x:f>IFERROR(VLOOKUP(F188,'Base Sectores'!$A$5:$J$47,7,FALSE),"")</x:f>
      </x:c>
      <x:c r="M188" s="151" t="str">
        <x:f>IFERROR(VLOOKUP(F188,'Base Sectores'!$A$5:$J$47,9,FALSE),"")</x:f>
      </x:c>
      <x:c r="N188" s="154"/>
      <x:c r="O188" s="151" t="str">
        <x:f>IFERROR(VLOOKUP(N188,'Configuracion'!$D$4:$H$15,2,FALSE),"")</x:f>
      </x:c>
      <x:c r="P188" s="151" t="str">
        <x:f>IFERROR(VLOOKUP(N188,'Configuracion'!$D$4:$H$15,3,FALSE),"")</x:f>
      </x:c>
      <x:c r="Q188" s="155"/>
      <x:c r="R188" s="156" t="str">
        <x:f>IFERROR(VLOOKUP(N188,'Configuracion'!$D$4:$H$15,4,FALSE),"")</x:f>
      </x:c>
      <x:c r="S188" s="153"/>
      <x:c r="T188" s="153"/>
      <x:c r="U188" s="156" t="str">
        <x:f>IF(OR(S188="",T188=""),"",MOD(T188-S188,1)*24)</x:f>
      </x:c>
      <x:c r="V188" s="154"/>
      <x:c r="W188" s="154"/>
      <x:c r="X188" s="151" t="str">
        <x:f>IFERROR(VLOOKUP(N188,'Configuracion'!$D$4:$H$15,5,FALSE),"")</x:f>
      </x:c>
      <x:c r="Y188" s="151" t="str">
        <x:f>IFERROR(VLOOKUP(V188,'Cuadrillas'!$A$5:$J$14,2,FALSE),"")</x:f>
      </x:c>
      <x:c r="Z188" s="154"/>
      <x:c r="AA188" s="154"/>
      <x:c r="AB188" s="154"/>
      <x:c r="AC188" s="153"/>
      <x:c r="AD188" s="153"/>
      <x:c r="AE188" s="156" t="str">
        <x:f>IF(OR(AC188="",AD188=""),"",MOD(AD188-AC188,1)*24)</x:f>
      </x:c>
      <x:c r="AF188" s="154"/>
      <x:c r="AG188" s="156" t="str">
        <x:f>IF(AE188="","",MAX(0,AE188-IF(AF188="",0,AF188/60)))</x:f>
      </x:c>
      <x:c r="AH188" s="155"/>
      <x:c r="AI188" s="154"/>
      <x:c r="AJ188" s="154"/>
      <x:c r="AK188" s="156" t="n">
        <x:f>IFERROR(U188*W188,"")</x:f>
        <x:v>0</x:v>
      </x:c>
      <x:c r="AL188" s="156" t="n">
        <x:f>IFERROR(AE188*AI188,"")</x:f>
        <x:v>0</x:v>
      </x:c>
      <x:c r="AM188" s="157" t="str">
        <x:f>IFERROR(AH188/Q188,"")</x:f>
      </x:c>
      <x:c r="AN188" s="156" t="str">
        <x:f>IFERROR(AH188/AG188,"")</x:f>
      </x:c>
      <x:c r="AO188" s="156" t="str">
        <x:f>IFERROR(AL188/AH188,"")</x:f>
      </x:c>
      <x:c r="AP188" s="157" t="str">
        <x:f>IFERROR(AG188/AE188,"")</x:f>
      </x:c>
      <x:c r="AQ188" s="157" t="str">
        <x:f>IFERROR(AN188/(R188/'Configuracion'!$B$13),"")</x:f>
      </x:c>
      <x:c r="AR188" s="156" t="n">
        <x:f>IFERROR(AE188-U188,"")</x:f>
        <x:v>0</x:v>
      </x:c>
      <x:c r="AS188" s="154"/>
      <x:c r="AT188" s="154"/>
      <x:c r="AU188" s="154"/>
      <x:c r="AV188" s="154"/>
      <x:c r="AW188" s="152"/>
      <x:c r="AX188" s="154"/>
      <x:c r="AY188" s="154"/>
      <x:c r="AZ188" s="151"/>
      <x:c r="BA188" s="151"/>
    </x:row>
    <x:row r="189">
      <x:c r="A189" s="151" t="str">
        <x:f>IF(B189="","",TEXT(B189,"yyyymmdd")&amp;"-"&amp;TEXT(COUNTIF($B$5:B189,B189),"000"))</x:f>
      </x:c>
      <x:c r="B189" s="152"/>
      <x:c r="C189" s="153"/>
      <x:c r="D189" s="151" t="str">
        <x:f>IF(B189="","",'Configuracion'!$B$4)</x:f>
      </x:c>
      <x:c r="E189" s="154"/>
      <x:c r="F189" s="154"/>
      <x:c r="G189" s="151" t="str">
        <x:f>IFERROR(VLOOKUP(F189,'Base Sectores'!$A$5:$J$47,2,FALSE),"")</x:f>
      </x:c>
      <x:c r="H189" s="151" t="str">
        <x:f>IFERROR(VLOOKUP(F189,'Base Sectores'!$A$5:$J$47,3,FALSE),"")</x:f>
      </x:c>
      <x:c r="I189" s="151" t="str">
        <x:f>IFERROR(VLOOKUP(F189,'Base Sectores'!$A$5:$J$47,4,FALSE),"")</x:f>
      </x:c>
      <x:c r="J189" s="151" t="str">
        <x:f>IFERROR(VLOOKUP(F189,'Base Sectores'!$A$5:$J$47,5,FALSE),"")</x:f>
      </x:c>
      <x:c r="K189" s="151" t="str">
        <x:f>IFERROR(VLOOKUP(F189,'Base Sectores'!$A$5:$J$47,6,FALSE),"")</x:f>
      </x:c>
      <x:c r="L189" s="151" t="str">
        <x:f>IFERROR(VLOOKUP(F189,'Base Sectores'!$A$5:$J$47,7,FALSE),"")</x:f>
      </x:c>
      <x:c r="M189" s="151" t="str">
        <x:f>IFERROR(VLOOKUP(F189,'Base Sectores'!$A$5:$J$47,9,FALSE),"")</x:f>
      </x:c>
      <x:c r="N189" s="154"/>
      <x:c r="O189" s="151" t="str">
        <x:f>IFERROR(VLOOKUP(N189,'Configuracion'!$D$4:$H$15,2,FALSE),"")</x:f>
      </x:c>
      <x:c r="P189" s="151" t="str">
        <x:f>IFERROR(VLOOKUP(N189,'Configuracion'!$D$4:$H$15,3,FALSE),"")</x:f>
      </x:c>
      <x:c r="Q189" s="155"/>
      <x:c r="R189" s="156" t="str">
        <x:f>IFERROR(VLOOKUP(N189,'Configuracion'!$D$4:$H$15,4,FALSE),"")</x:f>
      </x:c>
      <x:c r="S189" s="153"/>
      <x:c r="T189" s="153"/>
      <x:c r="U189" s="156" t="str">
        <x:f>IF(OR(S189="",T189=""),"",MOD(T189-S189,1)*24)</x:f>
      </x:c>
      <x:c r="V189" s="154"/>
      <x:c r="W189" s="154"/>
      <x:c r="X189" s="151" t="str">
        <x:f>IFERROR(VLOOKUP(N189,'Configuracion'!$D$4:$H$15,5,FALSE),"")</x:f>
      </x:c>
      <x:c r="Y189" s="151" t="str">
        <x:f>IFERROR(VLOOKUP(V189,'Cuadrillas'!$A$5:$J$14,2,FALSE),"")</x:f>
      </x:c>
      <x:c r="Z189" s="154"/>
      <x:c r="AA189" s="154"/>
      <x:c r="AB189" s="154"/>
      <x:c r="AC189" s="153"/>
      <x:c r="AD189" s="153"/>
      <x:c r="AE189" s="156" t="str">
        <x:f>IF(OR(AC189="",AD189=""),"",MOD(AD189-AC189,1)*24)</x:f>
      </x:c>
      <x:c r="AF189" s="154"/>
      <x:c r="AG189" s="156" t="str">
        <x:f>IF(AE189="","",MAX(0,AE189-IF(AF189="",0,AF189/60)))</x:f>
      </x:c>
      <x:c r="AH189" s="155"/>
      <x:c r="AI189" s="154"/>
      <x:c r="AJ189" s="154"/>
      <x:c r="AK189" s="156" t="n">
        <x:f>IFERROR(U189*W189,"")</x:f>
        <x:v>0</x:v>
      </x:c>
      <x:c r="AL189" s="156" t="n">
        <x:f>IFERROR(AE189*AI189,"")</x:f>
        <x:v>0</x:v>
      </x:c>
      <x:c r="AM189" s="157" t="str">
        <x:f>IFERROR(AH189/Q189,"")</x:f>
      </x:c>
      <x:c r="AN189" s="156" t="str">
        <x:f>IFERROR(AH189/AG189,"")</x:f>
      </x:c>
      <x:c r="AO189" s="156" t="str">
        <x:f>IFERROR(AL189/AH189,"")</x:f>
      </x:c>
      <x:c r="AP189" s="157" t="str">
        <x:f>IFERROR(AG189/AE189,"")</x:f>
      </x:c>
      <x:c r="AQ189" s="157" t="str">
        <x:f>IFERROR(AN189/(R189/'Configuracion'!$B$13),"")</x:f>
      </x:c>
      <x:c r="AR189" s="156" t="n">
        <x:f>IFERROR(AE189-U189,"")</x:f>
        <x:v>0</x:v>
      </x:c>
      <x:c r="AS189" s="154"/>
      <x:c r="AT189" s="154"/>
      <x:c r="AU189" s="154"/>
      <x:c r="AV189" s="154"/>
      <x:c r="AW189" s="152"/>
      <x:c r="AX189" s="154"/>
      <x:c r="AY189" s="154"/>
      <x:c r="AZ189" s="151"/>
      <x:c r="BA189" s="151"/>
    </x:row>
    <x:row r="190">
      <x:c r="A190" s="151" t="str">
        <x:f>IF(B190="","",TEXT(B190,"yyyymmdd")&amp;"-"&amp;TEXT(COUNTIF($B$5:B190,B190),"000"))</x:f>
      </x:c>
      <x:c r="B190" s="152"/>
      <x:c r="C190" s="153"/>
      <x:c r="D190" s="151" t="str">
        <x:f>IF(B190="","",'Configuracion'!$B$4)</x:f>
      </x:c>
      <x:c r="E190" s="154"/>
      <x:c r="F190" s="154"/>
      <x:c r="G190" s="151" t="str">
        <x:f>IFERROR(VLOOKUP(F190,'Base Sectores'!$A$5:$J$47,2,FALSE),"")</x:f>
      </x:c>
      <x:c r="H190" s="151" t="str">
        <x:f>IFERROR(VLOOKUP(F190,'Base Sectores'!$A$5:$J$47,3,FALSE),"")</x:f>
      </x:c>
      <x:c r="I190" s="151" t="str">
        <x:f>IFERROR(VLOOKUP(F190,'Base Sectores'!$A$5:$J$47,4,FALSE),"")</x:f>
      </x:c>
      <x:c r="J190" s="151" t="str">
        <x:f>IFERROR(VLOOKUP(F190,'Base Sectores'!$A$5:$J$47,5,FALSE),"")</x:f>
      </x:c>
      <x:c r="K190" s="151" t="str">
        <x:f>IFERROR(VLOOKUP(F190,'Base Sectores'!$A$5:$J$47,6,FALSE),"")</x:f>
      </x:c>
      <x:c r="L190" s="151" t="str">
        <x:f>IFERROR(VLOOKUP(F190,'Base Sectores'!$A$5:$J$47,7,FALSE),"")</x:f>
      </x:c>
      <x:c r="M190" s="151" t="str">
        <x:f>IFERROR(VLOOKUP(F190,'Base Sectores'!$A$5:$J$47,9,FALSE),"")</x:f>
      </x:c>
      <x:c r="N190" s="154"/>
      <x:c r="O190" s="151" t="str">
        <x:f>IFERROR(VLOOKUP(N190,'Configuracion'!$D$4:$H$15,2,FALSE),"")</x:f>
      </x:c>
      <x:c r="P190" s="151" t="str">
        <x:f>IFERROR(VLOOKUP(N190,'Configuracion'!$D$4:$H$15,3,FALSE),"")</x:f>
      </x:c>
      <x:c r="Q190" s="155"/>
      <x:c r="R190" s="156" t="str">
        <x:f>IFERROR(VLOOKUP(N190,'Configuracion'!$D$4:$H$15,4,FALSE),"")</x:f>
      </x:c>
      <x:c r="S190" s="153"/>
      <x:c r="T190" s="153"/>
      <x:c r="U190" s="156" t="str">
        <x:f>IF(OR(S190="",T190=""),"",MOD(T190-S190,1)*24)</x:f>
      </x:c>
      <x:c r="V190" s="154"/>
      <x:c r="W190" s="154"/>
      <x:c r="X190" s="151" t="str">
        <x:f>IFERROR(VLOOKUP(N190,'Configuracion'!$D$4:$H$15,5,FALSE),"")</x:f>
      </x:c>
      <x:c r="Y190" s="151" t="str">
        <x:f>IFERROR(VLOOKUP(V190,'Cuadrillas'!$A$5:$J$14,2,FALSE),"")</x:f>
      </x:c>
      <x:c r="Z190" s="154"/>
      <x:c r="AA190" s="154"/>
      <x:c r="AB190" s="154"/>
      <x:c r="AC190" s="153"/>
      <x:c r="AD190" s="153"/>
      <x:c r="AE190" s="156" t="str">
        <x:f>IF(OR(AC190="",AD190=""),"",MOD(AD190-AC190,1)*24)</x:f>
      </x:c>
      <x:c r="AF190" s="154"/>
      <x:c r="AG190" s="156" t="str">
        <x:f>IF(AE190="","",MAX(0,AE190-IF(AF190="",0,AF190/60)))</x:f>
      </x:c>
      <x:c r="AH190" s="155"/>
      <x:c r="AI190" s="154"/>
      <x:c r="AJ190" s="154"/>
      <x:c r="AK190" s="156" t="n">
        <x:f>IFERROR(U190*W190,"")</x:f>
        <x:v>0</x:v>
      </x:c>
      <x:c r="AL190" s="156" t="n">
        <x:f>IFERROR(AE190*AI190,"")</x:f>
        <x:v>0</x:v>
      </x:c>
      <x:c r="AM190" s="157" t="str">
        <x:f>IFERROR(AH190/Q190,"")</x:f>
      </x:c>
      <x:c r="AN190" s="156" t="str">
        <x:f>IFERROR(AH190/AG190,"")</x:f>
      </x:c>
      <x:c r="AO190" s="156" t="str">
        <x:f>IFERROR(AL190/AH190,"")</x:f>
      </x:c>
      <x:c r="AP190" s="157" t="str">
        <x:f>IFERROR(AG190/AE190,"")</x:f>
      </x:c>
      <x:c r="AQ190" s="157" t="str">
        <x:f>IFERROR(AN190/(R190/'Configuracion'!$B$13),"")</x:f>
      </x:c>
      <x:c r="AR190" s="156" t="n">
        <x:f>IFERROR(AE190-U190,"")</x:f>
        <x:v>0</x:v>
      </x:c>
      <x:c r="AS190" s="154"/>
      <x:c r="AT190" s="154"/>
      <x:c r="AU190" s="154"/>
      <x:c r="AV190" s="154"/>
      <x:c r="AW190" s="152"/>
      <x:c r="AX190" s="154"/>
      <x:c r="AY190" s="154"/>
      <x:c r="AZ190" s="151"/>
      <x:c r="BA190" s="151"/>
    </x:row>
    <x:row r="191">
      <x:c r="A191" s="151" t="str">
        <x:f>IF(B191="","",TEXT(B191,"yyyymmdd")&amp;"-"&amp;TEXT(COUNTIF($B$5:B191,B191),"000"))</x:f>
      </x:c>
      <x:c r="B191" s="152"/>
      <x:c r="C191" s="153"/>
      <x:c r="D191" s="151" t="str">
        <x:f>IF(B191="","",'Configuracion'!$B$4)</x:f>
      </x:c>
      <x:c r="E191" s="154"/>
      <x:c r="F191" s="154"/>
      <x:c r="G191" s="151" t="str">
        <x:f>IFERROR(VLOOKUP(F191,'Base Sectores'!$A$5:$J$47,2,FALSE),"")</x:f>
      </x:c>
      <x:c r="H191" s="151" t="str">
        <x:f>IFERROR(VLOOKUP(F191,'Base Sectores'!$A$5:$J$47,3,FALSE),"")</x:f>
      </x:c>
      <x:c r="I191" s="151" t="str">
        <x:f>IFERROR(VLOOKUP(F191,'Base Sectores'!$A$5:$J$47,4,FALSE),"")</x:f>
      </x:c>
      <x:c r="J191" s="151" t="str">
        <x:f>IFERROR(VLOOKUP(F191,'Base Sectores'!$A$5:$J$47,5,FALSE),"")</x:f>
      </x:c>
      <x:c r="K191" s="151" t="str">
        <x:f>IFERROR(VLOOKUP(F191,'Base Sectores'!$A$5:$J$47,6,FALSE),"")</x:f>
      </x:c>
      <x:c r="L191" s="151" t="str">
        <x:f>IFERROR(VLOOKUP(F191,'Base Sectores'!$A$5:$J$47,7,FALSE),"")</x:f>
      </x:c>
      <x:c r="M191" s="151" t="str">
        <x:f>IFERROR(VLOOKUP(F191,'Base Sectores'!$A$5:$J$47,9,FALSE),"")</x:f>
      </x:c>
      <x:c r="N191" s="154"/>
      <x:c r="O191" s="151" t="str">
        <x:f>IFERROR(VLOOKUP(N191,'Configuracion'!$D$4:$H$15,2,FALSE),"")</x:f>
      </x:c>
      <x:c r="P191" s="151" t="str">
        <x:f>IFERROR(VLOOKUP(N191,'Configuracion'!$D$4:$H$15,3,FALSE),"")</x:f>
      </x:c>
      <x:c r="Q191" s="155"/>
      <x:c r="R191" s="156" t="str">
        <x:f>IFERROR(VLOOKUP(N191,'Configuracion'!$D$4:$H$15,4,FALSE),"")</x:f>
      </x:c>
      <x:c r="S191" s="153"/>
      <x:c r="T191" s="153"/>
      <x:c r="U191" s="156" t="str">
        <x:f>IF(OR(S191="",T191=""),"",MOD(T191-S191,1)*24)</x:f>
      </x:c>
      <x:c r="V191" s="154"/>
      <x:c r="W191" s="154"/>
      <x:c r="X191" s="151" t="str">
        <x:f>IFERROR(VLOOKUP(N191,'Configuracion'!$D$4:$H$15,5,FALSE),"")</x:f>
      </x:c>
      <x:c r="Y191" s="151" t="str">
        <x:f>IFERROR(VLOOKUP(V191,'Cuadrillas'!$A$5:$J$14,2,FALSE),"")</x:f>
      </x:c>
      <x:c r="Z191" s="154"/>
      <x:c r="AA191" s="154"/>
      <x:c r="AB191" s="154"/>
      <x:c r="AC191" s="153"/>
      <x:c r="AD191" s="153"/>
      <x:c r="AE191" s="156" t="str">
        <x:f>IF(OR(AC191="",AD191=""),"",MOD(AD191-AC191,1)*24)</x:f>
      </x:c>
      <x:c r="AF191" s="154"/>
      <x:c r="AG191" s="156" t="str">
        <x:f>IF(AE191="","",MAX(0,AE191-IF(AF191="",0,AF191/60)))</x:f>
      </x:c>
      <x:c r="AH191" s="155"/>
      <x:c r="AI191" s="154"/>
      <x:c r="AJ191" s="154"/>
      <x:c r="AK191" s="156" t="n">
        <x:f>IFERROR(U191*W191,"")</x:f>
        <x:v>0</x:v>
      </x:c>
      <x:c r="AL191" s="156" t="n">
        <x:f>IFERROR(AE191*AI191,"")</x:f>
        <x:v>0</x:v>
      </x:c>
      <x:c r="AM191" s="157" t="str">
        <x:f>IFERROR(AH191/Q191,"")</x:f>
      </x:c>
      <x:c r="AN191" s="156" t="str">
        <x:f>IFERROR(AH191/AG191,"")</x:f>
      </x:c>
      <x:c r="AO191" s="156" t="str">
        <x:f>IFERROR(AL191/AH191,"")</x:f>
      </x:c>
      <x:c r="AP191" s="157" t="str">
        <x:f>IFERROR(AG191/AE191,"")</x:f>
      </x:c>
      <x:c r="AQ191" s="157" t="str">
        <x:f>IFERROR(AN191/(R191/'Configuracion'!$B$13),"")</x:f>
      </x:c>
      <x:c r="AR191" s="156" t="n">
        <x:f>IFERROR(AE191-U191,"")</x:f>
        <x:v>0</x:v>
      </x:c>
      <x:c r="AS191" s="154"/>
      <x:c r="AT191" s="154"/>
      <x:c r="AU191" s="154"/>
      <x:c r="AV191" s="154"/>
      <x:c r="AW191" s="152"/>
      <x:c r="AX191" s="154"/>
      <x:c r="AY191" s="154"/>
      <x:c r="AZ191" s="151"/>
      <x:c r="BA191" s="151"/>
    </x:row>
    <x:row r="192">
      <x:c r="A192" s="151" t="str">
        <x:f>IF(B192="","",TEXT(B192,"yyyymmdd")&amp;"-"&amp;TEXT(COUNTIF($B$5:B192,B192),"000"))</x:f>
      </x:c>
      <x:c r="B192" s="152"/>
      <x:c r="C192" s="153"/>
      <x:c r="D192" s="151" t="str">
        <x:f>IF(B192="","",'Configuracion'!$B$4)</x:f>
      </x:c>
      <x:c r="E192" s="154"/>
      <x:c r="F192" s="154"/>
      <x:c r="G192" s="151" t="str">
        <x:f>IFERROR(VLOOKUP(F192,'Base Sectores'!$A$5:$J$47,2,FALSE),"")</x:f>
      </x:c>
      <x:c r="H192" s="151" t="str">
        <x:f>IFERROR(VLOOKUP(F192,'Base Sectores'!$A$5:$J$47,3,FALSE),"")</x:f>
      </x:c>
      <x:c r="I192" s="151" t="str">
        <x:f>IFERROR(VLOOKUP(F192,'Base Sectores'!$A$5:$J$47,4,FALSE),"")</x:f>
      </x:c>
      <x:c r="J192" s="151" t="str">
        <x:f>IFERROR(VLOOKUP(F192,'Base Sectores'!$A$5:$J$47,5,FALSE),"")</x:f>
      </x:c>
      <x:c r="K192" s="151" t="str">
        <x:f>IFERROR(VLOOKUP(F192,'Base Sectores'!$A$5:$J$47,6,FALSE),"")</x:f>
      </x:c>
      <x:c r="L192" s="151" t="str">
        <x:f>IFERROR(VLOOKUP(F192,'Base Sectores'!$A$5:$J$47,7,FALSE),"")</x:f>
      </x:c>
      <x:c r="M192" s="151" t="str">
        <x:f>IFERROR(VLOOKUP(F192,'Base Sectores'!$A$5:$J$47,9,FALSE),"")</x:f>
      </x:c>
      <x:c r="N192" s="154"/>
      <x:c r="O192" s="151" t="str">
        <x:f>IFERROR(VLOOKUP(N192,'Configuracion'!$D$4:$H$15,2,FALSE),"")</x:f>
      </x:c>
      <x:c r="P192" s="151" t="str">
        <x:f>IFERROR(VLOOKUP(N192,'Configuracion'!$D$4:$H$15,3,FALSE),"")</x:f>
      </x:c>
      <x:c r="Q192" s="155"/>
      <x:c r="R192" s="156" t="str">
        <x:f>IFERROR(VLOOKUP(N192,'Configuracion'!$D$4:$H$15,4,FALSE),"")</x:f>
      </x:c>
      <x:c r="S192" s="153"/>
      <x:c r="T192" s="153"/>
      <x:c r="U192" s="156" t="str">
        <x:f>IF(OR(S192="",T192=""),"",MOD(T192-S192,1)*24)</x:f>
      </x:c>
      <x:c r="V192" s="154"/>
      <x:c r="W192" s="154"/>
      <x:c r="X192" s="151" t="str">
        <x:f>IFERROR(VLOOKUP(N192,'Configuracion'!$D$4:$H$15,5,FALSE),"")</x:f>
      </x:c>
      <x:c r="Y192" s="151" t="str">
        <x:f>IFERROR(VLOOKUP(V192,'Cuadrillas'!$A$5:$J$14,2,FALSE),"")</x:f>
      </x:c>
      <x:c r="Z192" s="154"/>
      <x:c r="AA192" s="154"/>
      <x:c r="AB192" s="154"/>
      <x:c r="AC192" s="153"/>
      <x:c r="AD192" s="153"/>
      <x:c r="AE192" s="156" t="str">
        <x:f>IF(OR(AC192="",AD192=""),"",MOD(AD192-AC192,1)*24)</x:f>
      </x:c>
      <x:c r="AF192" s="154"/>
      <x:c r="AG192" s="156" t="str">
        <x:f>IF(AE192="","",MAX(0,AE192-IF(AF192="",0,AF192/60)))</x:f>
      </x:c>
      <x:c r="AH192" s="155"/>
      <x:c r="AI192" s="154"/>
      <x:c r="AJ192" s="154"/>
      <x:c r="AK192" s="156" t="n">
        <x:f>IFERROR(U192*W192,"")</x:f>
        <x:v>0</x:v>
      </x:c>
      <x:c r="AL192" s="156" t="n">
        <x:f>IFERROR(AE192*AI192,"")</x:f>
        <x:v>0</x:v>
      </x:c>
      <x:c r="AM192" s="157" t="str">
        <x:f>IFERROR(AH192/Q192,"")</x:f>
      </x:c>
      <x:c r="AN192" s="156" t="str">
        <x:f>IFERROR(AH192/AG192,"")</x:f>
      </x:c>
      <x:c r="AO192" s="156" t="str">
        <x:f>IFERROR(AL192/AH192,"")</x:f>
      </x:c>
      <x:c r="AP192" s="157" t="str">
        <x:f>IFERROR(AG192/AE192,"")</x:f>
      </x:c>
      <x:c r="AQ192" s="157" t="str">
        <x:f>IFERROR(AN192/(R192/'Configuracion'!$B$13),"")</x:f>
      </x:c>
      <x:c r="AR192" s="156" t="n">
        <x:f>IFERROR(AE192-U192,"")</x:f>
        <x:v>0</x:v>
      </x:c>
      <x:c r="AS192" s="154"/>
      <x:c r="AT192" s="154"/>
      <x:c r="AU192" s="154"/>
      <x:c r="AV192" s="154"/>
      <x:c r="AW192" s="152"/>
      <x:c r="AX192" s="154"/>
      <x:c r="AY192" s="154"/>
      <x:c r="AZ192" s="151"/>
      <x:c r="BA192" s="151"/>
    </x:row>
    <x:row r="193">
      <x:c r="A193" s="151" t="str">
        <x:f>IF(B193="","",TEXT(B193,"yyyymmdd")&amp;"-"&amp;TEXT(COUNTIF($B$5:B193,B193),"000"))</x:f>
      </x:c>
      <x:c r="B193" s="152"/>
      <x:c r="C193" s="153"/>
      <x:c r="D193" s="151" t="str">
        <x:f>IF(B193="","",'Configuracion'!$B$4)</x:f>
      </x:c>
      <x:c r="E193" s="154"/>
      <x:c r="F193" s="154"/>
      <x:c r="G193" s="151" t="str">
        <x:f>IFERROR(VLOOKUP(F193,'Base Sectores'!$A$5:$J$47,2,FALSE),"")</x:f>
      </x:c>
      <x:c r="H193" s="151" t="str">
        <x:f>IFERROR(VLOOKUP(F193,'Base Sectores'!$A$5:$J$47,3,FALSE),"")</x:f>
      </x:c>
      <x:c r="I193" s="151" t="str">
        <x:f>IFERROR(VLOOKUP(F193,'Base Sectores'!$A$5:$J$47,4,FALSE),"")</x:f>
      </x:c>
      <x:c r="J193" s="151" t="str">
        <x:f>IFERROR(VLOOKUP(F193,'Base Sectores'!$A$5:$J$47,5,FALSE),"")</x:f>
      </x:c>
      <x:c r="K193" s="151" t="str">
        <x:f>IFERROR(VLOOKUP(F193,'Base Sectores'!$A$5:$J$47,6,FALSE),"")</x:f>
      </x:c>
      <x:c r="L193" s="151" t="str">
        <x:f>IFERROR(VLOOKUP(F193,'Base Sectores'!$A$5:$J$47,7,FALSE),"")</x:f>
      </x:c>
      <x:c r="M193" s="151" t="str">
        <x:f>IFERROR(VLOOKUP(F193,'Base Sectores'!$A$5:$J$47,9,FALSE),"")</x:f>
      </x:c>
      <x:c r="N193" s="154"/>
      <x:c r="O193" s="151" t="str">
        <x:f>IFERROR(VLOOKUP(N193,'Configuracion'!$D$4:$H$15,2,FALSE),"")</x:f>
      </x:c>
      <x:c r="P193" s="151" t="str">
        <x:f>IFERROR(VLOOKUP(N193,'Configuracion'!$D$4:$H$15,3,FALSE),"")</x:f>
      </x:c>
      <x:c r="Q193" s="155"/>
      <x:c r="R193" s="156" t="str">
        <x:f>IFERROR(VLOOKUP(N193,'Configuracion'!$D$4:$H$15,4,FALSE),"")</x:f>
      </x:c>
      <x:c r="S193" s="153"/>
      <x:c r="T193" s="153"/>
      <x:c r="U193" s="156" t="str">
        <x:f>IF(OR(S193="",T193=""),"",MOD(T193-S193,1)*24)</x:f>
      </x:c>
      <x:c r="V193" s="154"/>
      <x:c r="W193" s="154"/>
      <x:c r="X193" s="151" t="str">
        <x:f>IFERROR(VLOOKUP(N193,'Configuracion'!$D$4:$H$15,5,FALSE),"")</x:f>
      </x:c>
      <x:c r="Y193" s="151" t="str">
        <x:f>IFERROR(VLOOKUP(V193,'Cuadrillas'!$A$5:$J$14,2,FALSE),"")</x:f>
      </x:c>
      <x:c r="Z193" s="154"/>
      <x:c r="AA193" s="154"/>
      <x:c r="AB193" s="154"/>
      <x:c r="AC193" s="153"/>
      <x:c r="AD193" s="153"/>
      <x:c r="AE193" s="156" t="str">
        <x:f>IF(OR(AC193="",AD193=""),"",MOD(AD193-AC193,1)*24)</x:f>
      </x:c>
      <x:c r="AF193" s="154"/>
      <x:c r="AG193" s="156" t="str">
        <x:f>IF(AE193="","",MAX(0,AE193-IF(AF193="",0,AF193/60)))</x:f>
      </x:c>
      <x:c r="AH193" s="155"/>
      <x:c r="AI193" s="154"/>
      <x:c r="AJ193" s="154"/>
      <x:c r="AK193" s="156" t="n">
        <x:f>IFERROR(U193*W193,"")</x:f>
        <x:v>0</x:v>
      </x:c>
      <x:c r="AL193" s="156" t="n">
        <x:f>IFERROR(AE193*AI193,"")</x:f>
        <x:v>0</x:v>
      </x:c>
      <x:c r="AM193" s="157" t="str">
        <x:f>IFERROR(AH193/Q193,"")</x:f>
      </x:c>
      <x:c r="AN193" s="156" t="str">
        <x:f>IFERROR(AH193/AG193,"")</x:f>
      </x:c>
      <x:c r="AO193" s="156" t="str">
        <x:f>IFERROR(AL193/AH193,"")</x:f>
      </x:c>
      <x:c r="AP193" s="157" t="str">
        <x:f>IFERROR(AG193/AE193,"")</x:f>
      </x:c>
      <x:c r="AQ193" s="157" t="str">
        <x:f>IFERROR(AN193/(R193/'Configuracion'!$B$13),"")</x:f>
      </x:c>
      <x:c r="AR193" s="156" t="n">
        <x:f>IFERROR(AE193-U193,"")</x:f>
        <x:v>0</x:v>
      </x:c>
      <x:c r="AS193" s="154"/>
      <x:c r="AT193" s="154"/>
      <x:c r="AU193" s="154"/>
      <x:c r="AV193" s="154"/>
      <x:c r="AW193" s="152"/>
      <x:c r="AX193" s="154"/>
      <x:c r="AY193" s="154"/>
      <x:c r="AZ193" s="151"/>
      <x:c r="BA193" s="151"/>
    </x:row>
    <x:row r="194">
      <x:c r="A194" s="151" t="str">
        <x:f>IF(B194="","",TEXT(B194,"yyyymmdd")&amp;"-"&amp;TEXT(COUNTIF($B$5:B194,B194),"000"))</x:f>
      </x:c>
      <x:c r="B194" s="152"/>
      <x:c r="C194" s="153"/>
      <x:c r="D194" s="151" t="str">
        <x:f>IF(B194="","",'Configuracion'!$B$4)</x:f>
      </x:c>
      <x:c r="E194" s="154"/>
      <x:c r="F194" s="154"/>
      <x:c r="G194" s="151" t="str">
        <x:f>IFERROR(VLOOKUP(F194,'Base Sectores'!$A$5:$J$47,2,FALSE),"")</x:f>
      </x:c>
      <x:c r="H194" s="151" t="str">
        <x:f>IFERROR(VLOOKUP(F194,'Base Sectores'!$A$5:$J$47,3,FALSE),"")</x:f>
      </x:c>
      <x:c r="I194" s="151" t="str">
        <x:f>IFERROR(VLOOKUP(F194,'Base Sectores'!$A$5:$J$47,4,FALSE),"")</x:f>
      </x:c>
      <x:c r="J194" s="151" t="str">
        <x:f>IFERROR(VLOOKUP(F194,'Base Sectores'!$A$5:$J$47,5,FALSE),"")</x:f>
      </x:c>
      <x:c r="K194" s="151" t="str">
        <x:f>IFERROR(VLOOKUP(F194,'Base Sectores'!$A$5:$J$47,6,FALSE),"")</x:f>
      </x:c>
      <x:c r="L194" s="151" t="str">
        <x:f>IFERROR(VLOOKUP(F194,'Base Sectores'!$A$5:$J$47,7,FALSE),"")</x:f>
      </x:c>
      <x:c r="M194" s="151" t="str">
        <x:f>IFERROR(VLOOKUP(F194,'Base Sectores'!$A$5:$J$47,9,FALSE),"")</x:f>
      </x:c>
      <x:c r="N194" s="154"/>
      <x:c r="O194" s="151" t="str">
        <x:f>IFERROR(VLOOKUP(N194,'Configuracion'!$D$4:$H$15,2,FALSE),"")</x:f>
      </x:c>
      <x:c r="P194" s="151" t="str">
        <x:f>IFERROR(VLOOKUP(N194,'Configuracion'!$D$4:$H$15,3,FALSE),"")</x:f>
      </x:c>
      <x:c r="Q194" s="155"/>
      <x:c r="R194" s="156" t="str">
        <x:f>IFERROR(VLOOKUP(N194,'Configuracion'!$D$4:$H$15,4,FALSE),"")</x:f>
      </x:c>
      <x:c r="S194" s="153"/>
      <x:c r="T194" s="153"/>
      <x:c r="U194" s="156" t="str">
        <x:f>IF(OR(S194="",T194=""),"",MOD(T194-S194,1)*24)</x:f>
      </x:c>
      <x:c r="V194" s="154"/>
      <x:c r="W194" s="154"/>
      <x:c r="X194" s="151" t="str">
        <x:f>IFERROR(VLOOKUP(N194,'Configuracion'!$D$4:$H$15,5,FALSE),"")</x:f>
      </x:c>
      <x:c r="Y194" s="151" t="str">
        <x:f>IFERROR(VLOOKUP(V194,'Cuadrillas'!$A$5:$J$14,2,FALSE),"")</x:f>
      </x:c>
      <x:c r="Z194" s="154"/>
      <x:c r="AA194" s="154"/>
      <x:c r="AB194" s="154"/>
      <x:c r="AC194" s="153"/>
      <x:c r="AD194" s="153"/>
      <x:c r="AE194" s="156" t="str">
        <x:f>IF(OR(AC194="",AD194=""),"",MOD(AD194-AC194,1)*24)</x:f>
      </x:c>
      <x:c r="AF194" s="154"/>
      <x:c r="AG194" s="156" t="str">
        <x:f>IF(AE194="","",MAX(0,AE194-IF(AF194="",0,AF194/60)))</x:f>
      </x:c>
      <x:c r="AH194" s="155"/>
      <x:c r="AI194" s="154"/>
      <x:c r="AJ194" s="154"/>
      <x:c r="AK194" s="156" t="n">
        <x:f>IFERROR(U194*W194,"")</x:f>
        <x:v>0</x:v>
      </x:c>
      <x:c r="AL194" s="156" t="n">
        <x:f>IFERROR(AE194*AI194,"")</x:f>
        <x:v>0</x:v>
      </x:c>
      <x:c r="AM194" s="157" t="str">
        <x:f>IFERROR(AH194/Q194,"")</x:f>
      </x:c>
      <x:c r="AN194" s="156" t="str">
        <x:f>IFERROR(AH194/AG194,"")</x:f>
      </x:c>
      <x:c r="AO194" s="156" t="str">
        <x:f>IFERROR(AL194/AH194,"")</x:f>
      </x:c>
      <x:c r="AP194" s="157" t="str">
        <x:f>IFERROR(AG194/AE194,"")</x:f>
      </x:c>
      <x:c r="AQ194" s="157" t="str">
        <x:f>IFERROR(AN194/(R194/'Configuracion'!$B$13),"")</x:f>
      </x:c>
      <x:c r="AR194" s="156" t="n">
        <x:f>IFERROR(AE194-U194,"")</x:f>
        <x:v>0</x:v>
      </x:c>
      <x:c r="AS194" s="154"/>
      <x:c r="AT194" s="154"/>
      <x:c r="AU194" s="154"/>
      <x:c r="AV194" s="154"/>
      <x:c r="AW194" s="152"/>
      <x:c r="AX194" s="154"/>
      <x:c r="AY194" s="154"/>
      <x:c r="AZ194" s="151"/>
      <x:c r="BA194" s="151"/>
    </x:row>
    <x:row r="195">
      <x:c r="A195" s="151" t="str">
        <x:f>IF(B195="","",TEXT(B195,"yyyymmdd")&amp;"-"&amp;TEXT(COUNTIF($B$5:B195,B195),"000"))</x:f>
      </x:c>
      <x:c r="B195" s="152"/>
      <x:c r="C195" s="153"/>
      <x:c r="D195" s="151" t="str">
        <x:f>IF(B195="","",'Configuracion'!$B$4)</x:f>
      </x:c>
      <x:c r="E195" s="154"/>
      <x:c r="F195" s="154"/>
      <x:c r="G195" s="151" t="str">
        <x:f>IFERROR(VLOOKUP(F195,'Base Sectores'!$A$5:$J$47,2,FALSE),"")</x:f>
      </x:c>
      <x:c r="H195" s="151" t="str">
        <x:f>IFERROR(VLOOKUP(F195,'Base Sectores'!$A$5:$J$47,3,FALSE),"")</x:f>
      </x:c>
      <x:c r="I195" s="151" t="str">
        <x:f>IFERROR(VLOOKUP(F195,'Base Sectores'!$A$5:$J$47,4,FALSE),"")</x:f>
      </x:c>
      <x:c r="J195" s="151" t="str">
        <x:f>IFERROR(VLOOKUP(F195,'Base Sectores'!$A$5:$J$47,5,FALSE),"")</x:f>
      </x:c>
      <x:c r="K195" s="151" t="str">
        <x:f>IFERROR(VLOOKUP(F195,'Base Sectores'!$A$5:$J$47,6,FALSE),"")</x:f>
      </x:c>
      <x:c r="L195" s="151" t="str">
        <x:f>IFERROR(VLOOKUP(F195,'Base Sectores'!$A$5:$J$47,7,FALSE),"")</x:f>
      </x:c>
      <x:c r="M195" s="151" t="str">
        <x:f>IFERROR(VLOOKUP(F195,'Base Sectores'!$A$5:$J$47,9,FALSE),"")</x:f>
      </x:c>
      <x:c r="N195" s="154"/>
      <x:c r="O195" s="151" t="str">
        <x:f>IFERROR(VLOOKUP(N195,'Configuracion'!$D$4:$H$15,2,FALSE),"")</x:f>
      </x:c>
      <x:c r="P195" s="151" t="str">
        <x:f>IFERROR(VLOOKUP(N195,'Configuracion'!$D$4:$H$15,3,FALSE),"")</x:f>
      </x:c>
      <x:c r="Q195" s="155"/>
      <x:c r="R195" s="156" t="str">
        <x:f>IFERROR(VLOOKUP(N195,'Configuracion'!$D$4:$H$15,4,FALSE),"")</x:f>
      </x:c>
      <x:c r="S195" s="153"/>
      <x:c r="T195" s="153"/>
      <x:c r="U195" s="156" t="str">
        <x:f>IF(OR(S195="",T195=""),"",MOD(T195-S195,1)*24)</x:f>
      </x:c>
      <x:c r="V195" s="154"/>
      <x:c r="W195" s="154"/>
      <x:c r="X195" s="151" t="str">
        <x:f>IFERROR(VLOOKUP(N195,'Configuracion'!$D$4:$H$15,5,FALSE),"")</x:f>
      </x:c>
      <x:c r="Y195" s="151" t="str">
        <x:f>IFERROR(VLOOKUP(V195,'Cuadrillas'!$A$5:$J$14,2,FALSE),"")</x:f>
      </x:c>
      <x:c r="Z195" s="154"/>
      <x:c r="AA195" s="154"/>
      <x:c r="AB195" s="154"/>
      <x:c r="AC195" s="153"/>
      <x:c r="AD195" s="153"/>
      <x:c r="AE195" s="156" t="str">
        <x:f>IF(OR(AC195="",AD195=""),"",MOD(AD195-AC195,1)*24)</x:f>
      </x:c>
      <x:c r="AF195" s="154"/>
      <x:c r="AG195" s="156" t="str">
        <x:f>IF(AE195="","",MAX(0,AE195-IF(AF195="",0,AF195/60)))</x:f>
      </x:c>
      <x:c r="AH195" s="155"/>
      <x:c r="AI195" s="154"/>
      <x:c r="AJ195" s="154"/>
      <x:c r="AK195" s="156" t="n">
        <x:f>IFERROR(U195*W195,"")</x:f>
        <x:v>0</x:v>
      </x:c>
      <x:c r="AL195" s="156" t="n">
        <x:f>IFERROR(AE195*AI195,"")</x:f>
        <x:v>0</x:v>
      </x:c>
      <x:c r="AM195" s="157" t="str">
        <x:f>IFERROR(AH195/Q195,"")</x:f>
      </x:c>
      <x:c r="AN195" s="156" t="str">
        <x:f>IFERROR(AH195/AG195,"")</x:f>
      </x:c>
      <x:c r="AO195" s="156" t="str">
        <x:f>IFERROR(AL195/AH195,"")</x:f>
      </x:c>
      <x:c r="AP195" s="157" t="str">
        <x:f>IFERROR(AG195/AE195,"")</x:f>
      </x:c>
      <x:c r="AQ195" s="157" t="str">
        <x:f>IFERROR(AN195/(R195/'Configuracion'!$B$13),"")</x:f>
      </x:c>
      <x:c r="AR195" s="156" t="n">
        <x:f>IFERROR(AE195-U195,"")</x:f>
        <x:v>0</x:v>
      </x:c>
      <x:c r="AS195" s="154"/>
      <x:c r="AT195" s="154"/>
      <x:c r="AU195" s="154"/>
      <x:c r="AV195" s="154"/>
      <x:c r="AW195" s="152"/>
      <x:c r="AX195" s="154"/>
      <x:c r="AY195" s="154"/>
      <x:c r="AZ195" s="151"/>
      <x:c r="BA195" s="151"/>
    </x:row>
    <x:row r="196">
      <x:c r="A196" s="151" t="str">
        <x:f>IF(B196="","",TEXT(B196,"yyyymmdd")&amp;"-"&amp;TEXT(COUNTIF($B$5:B196,B196),"000"))</x:f>
      </x:c>
      <x:c r="B196" s="152"/>
      <x:c r="C196" s="153"/>
      <x:c r="D196" s="151" t="str">
        <x:f>IF(B196="","",'Configuracion'!$B$4)</x:f>
      </x:c>
      <x:c r="E196" s="154"/>
      <x:c r="F196" s="154"/>
      <x:c r="G196" s="151" t="str">
        <x:f>IFERROR(VLOOKUP(F196,'Base Sectores'!$A$5:$J$47,2,FALSE),"")</x:f>
      </x:c>
      <x:c r="H196" s="151" t="str">
        <x:f>IFERROR(VLOOKUP(F196,'Base Sectores'!$A$5:$J$47,3,FALSE),"")</x:f>
      </x:c>
      <x:c r="I196" s="151" t="str">
        <x:f>IFERROR(VLOOKUP(F196,'Base Sectores'!$A$5:$J$47,4,FALSE),"")</x:f>
      </x:c>
      <x:c r="J196" s="151" t="str">
        <x:f>IFERROR(VLOOKUP(F196,'Base Sectores'!$A$5:$J$47,5,FALSE),"")</x:f>
      </x:c>
      <x:c r="K196" s="151" t="str">
        <x:f>IFERROR(VLOOKUP(F196,'Base Sectores'!$A$5:$J$47,6,FALSE),"")</x:f>
      </x:c>
      <x:c r="L196" s="151" t="str">
        <x:f>IFERROR(VLOOKUP(F196,'Base Sectores'!$A$5:$J$47,7,FALSE),"")</x:f>
      </x:c>
      <x:c r="M196" s="151" t="str">
        <x:f>IFERROR(VLOOKUP(F196,'Base Sectores'!$A$5:$J$47,9,FALSE),"")</x:f>
      </x:c>
      <x:c r="N196" s="154"/>
      <x:c r="O196" s="151" t="str">
        <x:f>IFERROR(VLOOKUP(N196,'Configuracion'!$D$4:$H$15,2,FALSE),"")</x:f>
      </x:c>
      <x:c r="P196" s="151" t="str">
        <x:f>IFERROR(VLOOKUP(N196,'Configuracion'!$D$4:$H$15,3,FALSE),"")</x:f>
      </x:c>
      <x:c r="Q196" s="155"/>
      <x:c r="R196" s="156" t="str">
        <x:f>IFERROR(VLOOKUP(N196,'Configuracion'!$D$4:$H$15,4,FALSE),"")</x:f>
      </x:c>
      <x:c r="S196" s="153"/>
      <x:c r="T196" s="153"/>
      <x:c r="U196" s="156" t="str">
        <x:f>IF(OR(S196="",T196=""),"",MOD(T196-S196,1)*24)</x:f>
      </x:c>
      <x:c r="V196" s="154"/>
      <x:c r="W196" s="154"/>
      <x:c r="X196" s="151" t="str">
        <x:f>IFERROR(VLOOKUP(N196,'Configuracion'!$D$4:$H$15,5,FALSE),"")</x:f>
      </x:c>
      <x:c r="Y196" s="151" t="str">
        <x:f>IFERROR(VLOOKUP(V196,'Cuadrillas'!$A$5:$J$14,2,FALSE),"")</x:f>
      </x:c>
      <x:c r="Z196" s="154"/>
      <x:c r="AA196" s="154"/>
      <x:c r="AB196" s="154"/>
      <x:c r="AC196" s="153"/>
      <x:c r="AD196" s="153"/>
      <x:c r="AE196" s="156" t="str">
        <x:f>IF(OR(AC196="",AD196=""),"",MOD(AD196-AC196,1)*24)</x:f>
      </x:c>
      <x:c r="AF196" s="154"/>
      <x:c r="AG196" s="156" t="str">
        <x:f>IF(AE196="","",MAX(0,AE196-IF(AF196="",0,AF196/60)))</x:f>
      </x:c>
      <x:c r="AH196" s="155"/>
      <x:c r="AI196" s="154"/>
      <x:c r="AJ196" s="154"/>
      <x:c r="AK196" s="156" t="n">
        <x:f>IFERROR(U196*W196,"")</x:f>
        <x:v>0</x:v>
      </x:c>
      <x:c r="AL196" s="156" t="n">
        <x:f>IFERROR(AE196*AI196,"")</x:f>
        <x:v>0</x:v>
      </x:c>
      <x:c r="AM196" s="157" t="str">
        <x:f>IFERROR(AH196/Q196,"")</x:f>
      </x:c>
      <x:c r="AN196" s="156" t="str">
        <x:f>IFERROR(AH196/AG196,"")</x:f>
      </x:c>
      <x:c r="AO196" s="156" t="str">
        <x:f>IFERROR(AL196/AH196,"")</x:f>
      </x:c>
      <x:c r="AP196" s="157" t="str">
        <x:f>IFERROR(AG196/AE196,"")</x:f>
      </x:c>
      <x:c r="AQ196" s="157" t="str">
        <x:f>IFERROR(AN196/(R196/'Configuracion'!$B$13),"")</x:f>
      </x:c>
      <x:c r="AR196" s="156" t="n">
        <x:f>IFERROR(AE196-U196,"")</x:f>
        <x:v>0</x:v>
      </x:c>
      <x:c r="AS196" s="154"/>
      <x:c r="AT196" s="154"/>
      <x:c r="AU196" s="154"/>
      <x:c r="AV196" s="154"/>
      <x:c r="AW196" s="152"/>
      <x:c r="AX196" s="154"/>
      <x:c r="AY196" s="154"/>
      <x:c r="AZ196" s="151"/>
      <x:c r="BA196" s="151"/>
    </x:row>
    <x:row r="197">
      <x:c r="A197" s="151" t="str">
        <x:f>IF(B197="","",TEXT(B197,"yyyymmdd")&amp;"-"&amp;TEXT(COUNTIF($B$5:B197,B197),"000"))</x:f>
      </x:c>
      <x:c r="B197" s="152"/>
      <x:c r="C197" s="153"/>
      <x:c r="D197" s="151" t="str">
        <x:f>IF(B197="","",'Configuracion'!$B$4)</x:f>
      </x:c>
      <x:c r="E197" s="154"/>
      <x:c r="F197" s="154"/>
      <x:c r="G197" s="151" t="str">
        <x:f>IFERROR(VLOOKUP(F197,'Base Sectores'!$A$5:$J$47,2,FALSE),"")</x:f>
      </x:c>
      <x:c r="H197" s="151" t="str">
        <x:f>IFERROR(VLOOKUP(F197,'Base Sectores'!$A$5:$J$47,3,FALSE),"")</x:f>
      </x:c>
      <x:c r="I197" s="151" t="str">
        <x:f>IFERROR(VLOOKUP(F197,'Base Sectores'!$A$5:$J$47,4,FALSE),"")</x:f>
      </x:c>
      <x:c r="J197" s="151" t="str">
        <x:f>IFERROR(VLOOKUP(F197,'Base Sectores'!$A$5:$J$47,5,FALSE),"")</x:f>
      </x:c>
      <x:c r="K197" s="151" t="str">
        <x:f>IFERROR(VLOOKUP(F197,'Base Sectores'!$A$5:$J$47,6,FALSE),"")</x:f>
      </x:c>
      <x:c r="L197" s="151" t="str">
        <x:f>IFERROR(VLOOKUP(F197,'Base Sectores'!$A$5:$J$47,7,FALSE),"")</x:f>
      </x:c>
      <x:c r="M197" s="151" t="str">
        <x:f>IFERROR(VLOOKUP(F197,'Base Sectores'!$A$5:$J$47,9,FALSE),"")</x:f>
      </x:c>
      <x:c r="N197" s="154"/>
      <x:c r="O197" s="151" t="str">
        <x:f>IFERROR(VLOOKUP(N197,'Configuracion'!$D$4:$H$15,2,FALSE),"")</x:f>
      </x:c>
      <x:c r="P197" s="151" t="str">
        <x:f>IFERROR(VLOOKUP(N197,'Configuracion'!$D$4:$H$15,3,FALSE),"")</x:f>
      </x:c>
      <x:c r="Q197" s="155"/>
      <x:c r="R197" s="156" t="str">
        <x:f>IFERROR(VLOOKUP(N197,'Configuracion'!$D$4:$H$15,4,FALSE),"")</x:f>
      </x:c>
      <x:c r="S197" s="153"/>
      <x:c r="T197" s="153"/>
      <x:c r="U197" s="156" t="str">
        <x:f>IF(OR(S197="",T197=""),"",MOD(T197-S197,1)*24)</x:f>
      </x:c>
      <x:c r="V197" s="154"/>
      <x:c r="W197" s="154"/>
      <x:c r="X197" s="151" t="str">
        <x:f>IFERROR(VLOOKUP(N197,'Configuracion'!$D$4:$H$15,5,FALSE),"")</x:f>
      </x:c>
      <x:c r="Y197" s="151" t="str">
        <x:f>IFERROR(VLOOKUP(V197,'Cuadrillas'!$A$5:$J$14,2,FALSE),"")</x:f>
      </x:c>
      <x:c r="Z197" s="154"/>
      <x:c r="AA197" s="154"/>
      <x:c r="AB197" s="154"/>
      <x:c r="AC197" s="153"/>
      <x:c r="AD197" s="153"/>
      <x:c r="AE197" s="156" t="str">
        <x:f>IF(OR(AC197="",AD197=""),"",MOD(AD197-AC197,1)*24)</x:f>
      </x:c>
      <x:c r="AF197" s="154"/>
      <x:c r="AG197" s="156" t="str">
        <x:f>IF(AE197="","",MAX(0,AE197-IF(AF197="",0,AF197/60)))</x:f>
      </x:c>
      <x:c r="AH197" s="155"/>
      <x:c r="AI197" s="154"/>
      <x:c r="AJ197" s="154"/>
      <x:c r="AK197" s="156" t="n">
        <x:f>IFERROR(U197*W197,"")</x:f>
        <x:v>0</x:v>
      </x:c>
      <x:c r="AL197" s="156" t="n">
        <x:f>IFERROR(AE197*AI197,"")</x:f>
        <x:v>0</x:v>
      </x:c>
      <x:c r="AM197" s="157" t="str">
        <x:f>IFERROR(AH197/Q197,"")</x:f>
      </x:c>
      <x:c r="AN197" s="156" t="str">
        <x:f>IFERROR(AH197/AG197,"")</x:f>
      </x:c>
      <x:c r="AO197" s="156" t="str">
        <x:f>IFERROR(AL197/AH197,"")</x:f>
      </x:c>
      <x:c r="AP197" s="157" t="str">
        <x:f>IFERROR(AG197/AE197,"")</x:f>
      </x:c>
      <x:c r="AQ197" s="157" t="str">
        <x:f>IFERROR(AN197/(R197/'Configuracion'!$B$13),"")</x:f>
      </x:c>
      <x:c r="AR197" s="156" t="n">
        <x:f>IFERROR(AE197-U197,"")</x:f>
        <x:v>0</x:v>
      </x:c>
      <x:c r="AS197" s="154"/>
      <x:c r="AT197" s="154"/>
      <x:c r="AU197" s="154"/>
      <x:c r="AV197" s="154"/>
      <x:c r="AW197" s="152"/>
      <x:c r="AX197" s="154"/>
      <x:c r="AY197" s="154"/>
      <x:c r="AZ197" s="151"/>
      <x:c r="BA197" s="151"/>
    </x:row>
    <x:row r="198">
      <x:c r="A198" s="151" t="str">
        <x:f>IF(B198="","",TEXT(B198,"yyyymmdd")&amp;"-"&amp;TEXT(COUNTIF($B$5:B198,B198),"000"))</x:f>
      </x:c>
      <x:c r="B198" s="152"/>
      <x:c r="C198" s="153"/>
      <x:c r="D198" s="151" t="str">
        <x:f>IF(B198="","",'Configuracion'!$B$4)</x:f>
      </x:c>
      <x:c r="E198" s="154"/>
      <x:c r="F198" s="154"/>
      <x:c r="G198" s="151" t="str">
        <x:f>IFERROR(VLOOKUP(F198,'Base Sectores'!$A$5:$J$47,2,FALSE),"")</x:f>
      </x:c>
      <x:c r="H198" s="151" t="str">
        <x:f>IFERROR(VLOOKUP(F198,'Base Sectores'!$A$5:$J$47,3,FALSE),"")</x:f>
      </x:c>
      <x:c r="I198" s="151" t="str">
        <x:f>IFERROR(VLOOKUP(F198,'Base Sectores'!$A$5:$J$47,4,FALSE),"")</x:f>
      </x:c>
      <x:c r="J198" s="151" t="str">
        <x:f>IFERROR(VLOOKUP(F198,'Base Sectores'!$A$5:$J$47,5,FALSE),"")</x:f>
      </x:c>
      <x:c r="K198" s="151" t="str">
        <x:f>IFERROR(VLOOKUP(F198,'Base Sectores'!$A$5:$J$47,6,FALSE),"")</x:f>
      </x:c>
      <x:c r="L198" s="151" t="str">
        <x:f>IFERROR(VLOOKUP(F198,'Base Sectores'!$A$5:$J$47,7,FALSE),"")</x:f>
      </x:c>
      <x:c r="M198" s="151" t="str">
        <x:f>IFERROR(VLOOKUP(F198,'Base Sectores'!$A$5:$J$47,9,FALSE),"")</x:f>
      </x:c>
      <x:c r="N198" s="154"/>
      <x:c r="O198" s="151" t="str">
        <x:f>IFERROR(VLOOKUP(N198,'Configuracion'!$D$4:$H$15,2,FALSE),"")</x:f>
      </x:c>
      <x:c r="P198" s="151" t="str">
        <x:f>IFERROR(VLOOKUP(N198,'Configuracion'!$D$4:$H$15,3,FALSE),"")</x:f>
      </x:c>
      <x:c r="Q198" s="155"/>
      <x:c r="R198" s="156" t="str">
        <x:f>IFERROR(VLOOKUP(N198,'Configuracion'!$D$4:$H$15,4,FALSE),"")</x:f>
      </x:c>
      <x:c r="S198" s="153"/>
      <x:c r="T198" s="153"/>
      <x:c r="U198" s="156" t="str">
        <x:f>IF(OR(S198="",T198=""),"",MOD(T198-S198,1)*24)</x:f>
      </x:c>
      <x:c r="V198" s="154"/>
      <x:c r="W198" s="154"/>
      <x:c r="X198" s="151" t="str">
        <x:f>IFERROR(VLOOKUP(N198,'Configuracion'!$D$4:$H$15,5,FALSE),"")</x:f>
      </x:c>
      <x:c r="Y198" s="151" t="str">
        <x:f>IFERROR(VLOOKUP(V198,'Cuadrillas'!$A$5:$J$14,2,FALSE),"")</x:f>
      </x:c>
      <x:c r="Z198" s="154"/>
      <x:c r="AA198" s="154"/>
      <x:c r="AB198" s="154"/>
      <x:c r="AC198" s="153"/>
      <x:c r="AD198" s="153"/>
      <x:c r="AE198" s="156" t="str">
        <x:f>IF(OR(AC198="",AD198=""),"",MOD(AD198-AC198,1)*24)</x:f>
      </x:c>
      <x:c r="AF198" s="154"/>
      <x:c r="AG198" s="156" t="str">
        <x:f>IF(AE198="","",MAX(0,AE198-IF(AF198="",0,AF198/60)))</x:f>
      </x:c>
      <x:c r="AH198" s="155"/>
      <x:c r="AI198" s="154"/>
      <x:c r="AJ198" s="154"/>
      <x:c r="AK198" s="156" t="n">
        <x:f>IFERROR(U198*W198,"")</x:f>
        <x:v>0</x:v>
      </x:c>
      <x:c r="AL198" s="156" t="n">
        <x:f>IFERROR(AE198*AI198,"")</x:f>
        <x:v>0</x:v>
      </x:c>
      <x:c r="AM198" s="157" t="str">
        <x:f>IFERROR(AH198/Q198,"")</x:f>
      </x:c>
      <x:c r="AN198" s="156" t="str">
        <x:f>IFERROR(AH198/AG198,"")</x:f>
      </x:c>
      <x:c r="AO198" s="156" t="str">
        <x:f>IFERROR(AL198/AH198,"")</x:f>
      </x:c>
      <x:c r="AP198" s="157" t="str">
        <x:f>IFERROR(AG198/AE198,"")</x:f>
      </x:c>
      <x:c r="AQ198" s="157" t="str">
        <x:f>IFERROR(AN198/(R198/'Configuracion'!$B$13),"")</x:f>
      </x:c>
      <x:c r="AR198" s="156" t="n">
        <x:f>IFERROR(AE198-U198,"")</x:f>
        <x:v>0</x:v>
      </x:c>
      <x:c r="AS198" s="154"/>
      <x:c r="AT198" s="154"/>
      <x:c r="AU198" s="154"/>
      <x:c r="AV198" s="154"/>
      <x:c r="AW198" s="152"/>
      <x:c r="AX198" s="154"/>
      <x:c r="AY198" s="154"/>
      <x:c r="AZ198" s="151"/>
      <x:c r="BA198" s="151"/>
    </x:row>
    <x:row r="199">
      <x:c r="A199" s="151" t="str">
        <x:f>IF(B199="","",TEXT(B199,"yyyymmdd")&amp;"-"&amp;TEXT(COUNTIF($B$5:B199,B199),"000"))</x:f>
      </x:c>
      <x:c r="B199" s="152"/>
      <x:c r="C199" s="153"/>
      <x:c r="D199" s="151" t="str">
        <x:f>IF(B199="","",'Configuracion'!$B$4)</x:f>
      </x:c>
      <x:c r="E199" s="154"/>
      <x:c r="F199" s="154"/>
      <x:c r="G199" s="151" t="str">
        <x:f>IFERROR(VLOOKUP(F199,'Base Sectores'!$A$5:$J$47,2,FALSE),"")</x:f>
      </x:c>
      <x:c r="H199" s="151" t="str">
        <x:f>IFERROR(VLOOKUP(F199,'Base Sectores'!$A$5:$J$47,3,FALSE),"")</x:f>
      </x:c>
      <x:c r="I199" s="151" t="str">
        <x:f>IFERROR(VLOOKUP(F199,'Base Sectores'!$A$5:$J$47,4,FALSE),"")</x:f>
      </x:c>
      <x:c r="J199" s="151" t="str">
        <x:f>IFERROR(VLOOKUP(F199,'Base Sectores'!$A$5:$J$47,5,FALSE),"")</x:f>
      </x:c>
      <x:c r="K199" s="151" t="str">
        <x:f>IFERROR(VLOOKUP(F199,'Base Sectores'!$A$5:$J$47,6,FALSE),"")</x:f>
      </x:c>
      <x:c r="L199" s="151" t="str">
        <x:f>IFERROR(VLOOKUP(F199,'Base Sectores'!$A$5:$J$47,7,FALSE),"")</x:f>
      </x:c>
      <x:c r="M199" s="151" t="str">
        <x:f>IFERROR(VLOOKUP(F199,'Base Sectores'!$A$5:$J$47,9,FALSE),"")</x:f>
      </x:c>
      <x:c r="N199" s="154"/>
      <x:c r="O199" s="151" t="str">
        <x:f>IFERROR(VLOOKUP(N199,'Configuracion'!$D$4:$H$15,2,FALSE),"")</x:f>
      </x:c>
      <x:c r="P199" s="151" t="str">
        <x:f>IFERROR(VLOOKUP(N199,'Configuracion'!$D$4:$H$15,3,FALSE),"")</x:f>
      </x:c>
      <x:c r="Q199" s="155"/>
      <x:c r="R199" s="156" t="str">
        <x:f>IFERROR(VLOOKUP(N199,'Configuracion'!$D$4:$H$15,4,FALSE),"")</x:f>
      </x:c>
      <x:c r="S199" s="153"/>
      <x:c r="T199" s="153"/>
      <x:c r="U199" s="156" t="str">
        <x:f>IF(OR(S199="",T199=""),"",MOD(T199-S199,1)*24)</x:f>
      </x:c>
      <x:c r="V199" s="154"/>
      <x:c r="W199" s="154"/>
      <x:c r="X199" s="151" t="str">
        <x:f>IFERROR(VLOOKUP(N199,'Configuracion'!$D$4:$H$15,5,FALSE),"")</x:f>
      </x:c>
      <x:c r="Y199" s="151" t="str">
        <x:f>IFERROR(VLOOKUP(V199,'Cuadrillas'!$A$5:$J$14,2,FALSE),"")</x:f>
      </x:c>
      <x:c r="Z199" s="154"/>
      <x:c r="AA199" s="154"/>
      <x:c r="AB199" s="154"/>
      <x:c r="AC199" s="153"/>
      <x:c r="AD199" s="153"/>
      <x:c r="AE199" s="156" t="str">
        <x:f>IF(OR(AC199="",AD199=""),"",MOD(AD199-AC199,1)*24)</x:f>
      </x:c>
      <x:c r="AF199" s="154"/>
      <x:c r="AG199" s="156" t="str">
        <x:f>IF(AE199="","",MAX(0,AE199-IF(AF199="",0,AF199/60)))</x:f>
      </x:c>
      <x:c r="AH199" s="155"/>
      <x:c r="AI199" s="154"/>
      <x:c r="AJ199" s="154"/>
      <x:c r="AK199" s="156" t="n">
        <x:f>IFERROR(U199*W199,"")</x:f>
        <x:v>0</x:v>
      </x:c>
      <x:c r="AL199" s="156" t="n">
        <x:f>IFERROR(AE199*AI199,"")</x:f>
        <x:v>0</x:v>
      </x:c>
      <x:c r="AM199" s="157" t="str">
        <x:f>IFERROR(AH199/Q199,"")</x:f>
      </x:c>
      <x:c r="AN199" s="156" t="str">
        <x:f>IFERROR(AH199/AG199,"")</x:f>
      </x:c>
      <x:c r="AO199" s="156" t="str">
        <x:f>IFERROR(AL199/AH199,"")</x:f>
      </x:c>
      <x:c r="AP199" s="157" t="str">
        <x:f>IFERROR(AG199/AE199,"")</x:f>
      </x:c>
      <x:c r="AQ199" s="157" t="str">
        <x:f>IFERROR(AN199/(R199/'Configuracion'!$B$13),"")</x:f>
      </x:c>
      <x:c r="AR199" s="156" t="n">
        <x:f>IFERROR(AE199-U199,"")</x:f>
        <x:v>0</x:v>
      </x:c>
      <x:c r="AS199" s="154"/>
      <x:c r="AT199" s="154"/>
      <x:c r="AU199" s="154"/>
      <x:c r="AV199" s="154"/>
      <x:c r="AW199" s="152"/>
      <x:c r="AX199" s="154"/>
      <x:c r="AY199" s="154"/>
      <x:c r="AZ199" s="151"/>
      <x:c r="BA199" s="151"/>
    </x:row>
    <x:row r="200">
      <x:c r="A200" s="151" t="str">
        <x:f>IF(B200="","",TEXT(B200,"yyyymmdd")&amp;"-"&amp;TEXT(COUNTIF($B$5:B200,B200),"000"))</x:f>
      </x:c>
      <x:c r="B200" s="152"/>
      <x:c r="C200" s="153"/>
      <x:c r="D200" s="151" t="str">
        <x:f>IF(B200="","",'Configuracion'!$B$4)</x:f>
      </x:c>
      <x:c r="E200" s="154"/>
      <x:c r="F200" s="154"/>
      <x:c r="G200" s="151" t="str">
        <x:f>IFERROR(VLOOKUP(F200,'Base Sectores'!$A$5:$J$47,2,FALSE),"")</x:f>
      </x:c>
      <x:c r="H200" s="151" t="str">
        <x:f>IFERROR(VLOOKUP(F200,'Base Sectores'!$A$5:$J$47,3,FALSE),"")</x:f>
      </x:c>
      <x:c r="I200" s="151" t="str">
        <x:f>IFERROR(VLOOKUP(F200,'Base Sectores'!$A$5:$J$47,4,FALSE),"")</x:f>
      </x:c>
      <x:c r="J200" s="151" t="str">
        <x:f>IFERROR(VLOOKUP(F200,'Base Sectores'!$A$5:$J$47,5,FALSE),"")</x:f>
      </x:c>
      <x:c r="K200" s="151" t="str">
        <x:f>IFERROR(VLOOKUP(F200,'Base Sectores'!$A$5:$J$47,6,FALSE),"")</x:f>
      </x:c>
      <x:c r="L200" s="151" t="str">
        <x:f>IFERROR(VLOOKUP(F200,'Base Sectores'!$A$5:$J$47,7,FALSE),"")</x:f>
      </x:c>
      <x:c r="M200" s="151" t="str">
        <x:f>IFERROR(VLOOKUP(F200,'Base Sectores'!$A$5:$J$47,9,FALSE),"")</x:f>
      </x:c>
      <x:c r="N200" s="154"/>
      <x:c r="O200" s="151" t="str">
        <x:f>IFERROR(VLOOKUP(N200,'Configuracion'!$D$4:$H$15,2,FALSE),"")</x:f>
      </x:c>
      <x:c r="P200" s="151" t="str">
        <x:f>IFERROR(VLOOKUP(N200,'Configuracion'!$D$4:$H$15,3,FALSE),"")</x:f>
      </x:c>
      <x:c r="Q200" s="155"/>
      <x:c r="R200" s="156" t="str">
        <x:f>IFERROR(VLOOKUP(N200,'Configuracion'!$D$4:$H$15,4,FALSE),"")</x:f>
      </x:c>
      <x:c r="S200" s="153"/>
      <x:c r="T200" s="153"/>
      <x:c r="U200" s="156" t="str">
        <x:f>IF(OR(S200="",T200=""),"",MOD(T200-S200,1)*24)</x:f>
      </x:c>
      <x:c r="V200" s="154"/>
      <x:c r="W200" s="154"/>
      <x:c r="X200" s="151" t="str">
        <x:f>IFERROR(VLOOKUP(N200,'Configuracion'!$D$4:$H$15,5,FALSE),"")</x:f>
      </x:c>
      <x:c r="Y200" s="151" t="str">
        <x:f>IFERROR(VLOOKUP(V200,'Cuadrillas'!$A$5:$J$14,2,FALSE),"")</x:f>
      </x:c>
      <x:c r="Z200" s="154"/>
      <x:c r="AA200" s="154"/>
      <x:c r="AB200" s="154"/>
      <x:c r="AC200" s="153"/>
      <x:c r="AD200" s="153"/>
      <x:c r="AE200" s="156" t="str">
        <x:f>IF(OR(AC200="",AD200=""),"",MOD(AD200-AC200,1)*24)</x:f>
      </x:c>
      <x:c r="AF200" s="154"/>
      <x:c r="AG200" s="156" t="str">
        <x:f>IF(AE200="","",MAX(0,AE200-IF(AF200="",0,AF200/60)))</x:f>
      </x:c>
      <x:c r="AH200" s="155"/>
      <x:c r="AI200" s="154"/>
      <x:c r="AJ200" s="154"/>
      <x:c r="AK200" s="156" t="n">
        <x:f>IFERROR(U200*W200,"")</x:f>
        <x:v>0</x:v>
      </x:c>
      <x:c r="AL200" s="156" t="n">
        <x:f>IFERROR(AE200*AI200,"")</x:f>
        <x:v>0</x:v>
      </x:c>
      <x:c r="AM200" s="157" t="str">
        <x:f>IFERROR(AH200/Q200,"")</x:f>
      </x:c>
      <x:c r="AN200" s="156" t="str">
        <x:f>IFERROR(AH200/AG200,"")</x:f>
      </x:c>
      <x:c r="AO200" s="156" t="str">
        <x:f>IFERROR(AL200/AH200,"")</x:f>
      </x:c>
      <x:c r="AP200" s="157" t="str">
        <x:f>IFERROR(AG200/AE200,"")</x:f>
      </x:c>
      <x:c r="AQ200" s="157" t="str">
        <x:f>IFERROR(AN200/(R200/'Configuracion'!$B$13),"")</x:f>
      </x:c>
      <x:c r="AR200" s="156" t="n">
        <x:f>IFERROR(AE200-U200,"")</x:f>
        <x:v>0</x:v>
      </x:c>
      <x:c r="AS200" s="154"/>
      <x:c r="AT200" s="154"/>
      <x:c r="AU200" s="154"/>
      <x:c r="AV200" s="154"/>
      <x:c r="AW200" s="152"/>
      <x:c r="AX200" s="154"/>
      <x:c r="AY200" s="154"/>
      <x:c r="AZ200" s="151"/>
      <x:c r="BA200" s="151"/>
    </x:row>
    <x:row r="201">
      <x:c r="A201" s="151" t="str">
        <x:f>IF(B201="","",TEXT(B201,"yyyymmdd")&amp;"-"&amp;TEXT(COUNTIF($B$5:B201,B201),"000"))</x:f>
      </x:c>
      <x:c r="B201" s="152"/>
      <x:c r="C201" s="153"/>
      <x:c r="D201" s="151" t="str">
        <x:f>IF(B201="","",'Configuracion'!$B$4)</x:f>
      </x:c>
      <x:c r="E201" s="154"/>
      <x:c r="F201" s="154"/>
      <x:c r="G201" s="151" t="str">
        <x:f>IFERROR(VLOOKUP(F201,'Base Sectores'!$A$5:$J$47,2,FALSE),"")</x:f>
      </x:c>
      <x:c r="H201" s="151" t="str">
        <x:f>IFERROR(VLOOKUP(F201,'Base Sectores'!$A$5:$J$47,3,FALSE),"")</x:f>
      </x:c>
      <x:c r="I201" s="151" t="str">
        <x:f>IFERROR(VLOOKUP(F201,'Base Sectores'!$A$5:$J$47,4,FALSE),"")</x:f>
      </x:c>
      <x:c r="J201" s="151" t="str">
        <x:f>IFERROR(VLOOKUP(F201,'Base Sectores'!$A$5:$J$47,5,FALSE),"")</x:f>
      </x:c>
      <x:c r="K201" s="151" t="str">
        <x:f>IFERROR(VLOOKUP(F201,'Base Sectores'!$A$5:$J$47,6,FALSE),"")</x:f>
      </x:c>
      <x:c r="L201" s="151" t="str">
        <x:f>IFERROR(VLOOKUP(F201,'Base Sectores'!$A$5:$J$47,7,FALSE),"")</x:f>
      </x:c>
      <x:c r="M201" s="151" t="str">
        <x:f>IFERROR(VLOOKUP(F201,'Base Sectores'!$A$5:$J$47,9,FALSE),"")</x:f>
      </x:c>
      <x:c r="N201" s="154"/>
      <x:c r="O201" s="151" t="str">
        <x:f>IFERROR(VLOOKUP(N201,'Configuracion'!$D$4:$H$15,2,FALSE),"")</x:f>
      </x:c>
      <x:c r="P201" s="151" t="str">
        <x:f>IFERROR(VLOOKUP(N201,'Configuracion'!$D$4:$H$15,3,FALSE),"")</x:f>
      </x:c>
      <x:c r="Q201" s="155"/>
      <x:c r="R201" s="156" t="str">
        <x:f>IFERROR(VLOOKUP(N201,'Configuracion'!$D$4:$H$15,4,FALSE),"")</x:f>
      </x:c>
      <x:c r="S201" s="153"/>
      <x:c r="T201" s="153"/>
      <x:c r="U201" s="156" t="str">
        <x:f>IF(OR(S201="",T201=""),"",MOD(T201-S201,1)*24)</x:f>
      </x:c>
      <x:c r="V201" s="154"/>
      <x:c r="W201" s="154"/>
      <x:c r="X201" s="151" t="str">
        <x:f>IFERROR(VLOOKUP(N201,'Configuracion'!$D$4:$H$15,5,FALSE),"")</x:f>
      </x:c>
      <x:c r="Y201" s="151" t="str">
        <x:f>IFERROR(VLOOKUP(V201,'Cuadrillas'!$A$5:$J$14,2,FALSE),"")</x:f>
      </x:c>
      <x:c r="Z201" s="154"/>
      <x:c r="AA201" s="154"/>
      <x:c r="AB201" s="154"/>
      <x:c r="AC201" s="153"/>
      <x:c r="AD201" s="153"/>
      <x:c r="AE201" s="156" t="str">
        <x:f>IF(OR(AC201="",AD201=""),"",MOD(AD201-AC201,1)*24)</x:f>
      </x:c>
      <x:c r="AF201" s="154"/>
      <x:c r="AG201" s="156" t="str">
        <x:f>IF(AE201="","",MAX(0,AE201-IF(AF201="",0,AF201/60)))</x:f>
      </x:c>
      <x:c r="AH201" s="155"/>
      <x:c r="AI201" s="154"/>
      <x:c r="AJ201" s="154"/>
      <x:c r="AK201" s="156" t="n">
        <x:f>IFERROR(U201*W201,"")</x:f>
        <x:v>0</x:v>
      </x:c>
      <x:c r="AL201" s="156" t="n">
        <x:f>IFERROR(AE201*AI201,"")</x:f>
        <x:v>0</x:v>
      </x:c>
      <x:c r="AM201" s="157" t="str">
        <x:f>IFERROR(AH201/Q201,"")</x:f>
      </x:c>
      <x:c r="AN201" s="156" t="str">
        <x:f>IFERROR(AH201/AG201,"")</x:f>
      </x:c>
      <x:c r="AO201" s="156" t="str">
        <x:f>IFERROR(AL201/AH201,"")</x:f>
      </x:c>
      <x:c r="AP201" s="157" t="str">
        <x:f>IFERROR(AG201/AE201,"")</x:f>
      </x:c>
      <x:c r="AQ201" s="157" t="str">
        <x:f>IFERROR(AN201/(R201/'Configuracion'!$B$13),"")</x:f>
      </x:c>
      <x:c r="AR201" s="156" t="n">
        <x:f>IFERROR(AE201-U201,"")</x:f>
        <x:v>0</x:v>
      </x:c>
      <x:c r="AS201" s="154"/>
      <x:c r="AT201" s="154"/>
      <x:c r="AU201" s="154"/>
      <x:c r="AV201" s="154"/>
      <x:c r="AW201" s="152"/>
      <x:c r="AX201" s="154"/>
      <x:c r="AY201" s="154"/>
      <x:c r="AZ201" s="151"/>
      <x:c r="BA201" s="151"/>
    </x:row>
    <x:row r="202">
      <x:c r="A202" s="151" t="str">
        <x:f>IF(B202="","",TEXT(B202,"yyyymmdd")&amp;"-"&amp;TEXT(COUNTIF($B$5:B202,B202),"000"))</x:f>
      </x:c>
      <x:c r="B202" s="152"/>
      <x:c r="C202" s="153"/>
      <x:c r="D202" s="151" t="str">
        <x:f>IF(B202="","",'Configuracion'!$B$4)</x:f>
      </x:c>
      <x:c r="E202" s="154"/>
      <x:c r="F202" s="154"/>
      <x:c r="G202" s="151" t="str">
        <x:f>IFERROR(VLOOKUP(F202,'Base Sectores'!$A$5:$J$47,2,FALSE),"")</x:f>
      </x:c>
      <x:c r="H202" s="151" t="str">
        <x:f>IFERROR(VLOOKUP(F202,'Base Sectores'!$A$5:$J$47,3,FALSE),"")</x:f>
      </x:c>
      <x:c r="I202" s="151" t="str">
        <x:f>IFERROR(VLOOKUP(F202,'Base Sectores'!$A$5:$J$47,4,FALSE),"")</x:f>
      </x:c>
      <x:c r="J202" s="151" t="str">
        <x:f>IFERROR(VLOOKUP(F202,'Base Sectores'!$A$5:$J$47,5,FALSE),"")</x:f>
      </x:c>
      <x:c r="K202" s="151" t="str">
        <x:f>IFERROR(VLOOKUP(F202,'Base Sectores'!$A$5:$J$47,6,FALSE),"")</x:f>
      </x:c>
      <x:c r="L202" s="151" t="str">
        <x:f>IFERROR(VLOOKUP(F202,'Base Sectores'!$A$5:$J$47,7,FALSE),"")</x:f>
      </x:c>
      <x:c r="M202" s="151" t="str">
        <x:f>IFERROR(VLOOKUP(F202,'Base Sectores'!$A$5:$J$47,9,FALSE),"")</x:f>
      </x:c>
      <x:c r="N202" s="154"/>
      <x:c r="O202" s="151" t="str">
        <x:f>IFERROR(VLOOKUP(N202,'Configuracion'!$D$4:$H$15,2,FALSE),"")</x:f>
      </x:c>
      <x:c r="P202" s="151" t="str">
        <x:f>IFERROR(VLOOKUP(N202,'Configuracion'!$D$4:$H$15,3,FALSE),"")</x:f>
      </x:c>
      <x:c r="Q202" s="155"/>
      <x:c r="R202" s="156" t="str">
        <x:f>IFERROR(VLOOKUP(N202,'Configuracion'!$D$4:$H$15,4,FALSE),"")</x:f>
      </x:c>
      <x:c r="S202" s="153"/>
      <x:c r="T202" s="153"/>
      <x:c r="U202" s="156" t="str">
        <x:f>IF(OR(S202="",T202=""),"",MOD(T202-S202,1)*24)</x:f>
      </x:c>
      <x:c r="V202" s="154"/>
      <x:c r="W202" s="154"/>
      <x:c r="X202" s="151" t="str">
        <x:f>IFERROR(VLOOKUP(N202,'Configuracion'!$D$4:$H$15,5,FALSE),"")</x:f>
      </x:c>
      <x:c r="Y202" s="151" t="str">
        <x:f>IFERROR(VLOOKUP(V202,'Cuadrillas'!$A$5:$J$14,2,FALSE),"")</x:f>
      </x:c>
      <x:c r="Z202" s="154"/>
      <x:c r="AA202" s="154"/>
      <x:c r="AB202" s="154"/>
      <x:c r="AC202" s="153"/>
      <x:c r="AD202" s="153"/>
      <x:c r="AE202" s="156" t="str">
        <x:f>IF(OR(AC202="",AD202=""),"",MOD(AD202-AC202,1)*24)</x:f>
      </x:c>
      <x:c r="AF202" s="154"/>
      <x:c r="AG202" s="156" t="str">
        <x:f>IF(AE202="","",MAX(0,AE202-IF(AF202="",0,AF202/60)))</x:f>
      </x:c>
      <x:c r="AH202" s="155"/>
      <x:c r="AI202" s="154"/>
      <x:c r="AJ202" s="154"/>
      <x:c r="AK202" s="156" t="n">
        <x:f>IFERROR(U202*W202,"")</x:f>
        <x:v>0</x:v>
      </x:c>
      <x:c r="AL202" s="156" t="n">
        <x:f>IFERROR(AE202*AI202,"")</x:f>
        <x:v>0</x:v>
      </x:c>
      <x:c r="AM202" s="157" t="str">
        <x:f>IFERROR(AH202/Q202,"")</x:f>
      </x:c>
      <x:c r="AN202" s="156" t="str">
        <x:f>IFERROR(AH202/AG202,"")</x:f>
      </x:c>
      <x:c r="AO202" s="156" t="str">
        <x:f>IFERROR(AL202/AH202,"")</x:f>
      </x:c>
      <x:c r="AP202" s="157" t="str">
        <x:f>IFERROR(AG202/AE202,"")</x:f>
      </x:c>
      <x:c r="AQ202" s="157" t="str">
        <x:f>IFERROR(AN202/(R202/'Configuracion'!$B$13),"")</x:f>
      </x:c>
      <x:c r="AR202" s="156" t="n">
        <x:f>IFERROR(AE202-U202,"")</x:f>
        <x:v>0</x:v>
      </x:c>
      <x:c r="AS202" s="154"/>
      <x:c r="AT202" s="154"/>
      <x:c r="AU202" s="154"/>
      <x:c r="AV202" s="154"/>
      <x:c r="AW202" s="152"/>
      <x:c r="AX202" s="154"/>
      <x:c r="AY202" s="154"/>
      <x:c r="AZ202" s="151"/>
      <x:c r="BA202" s="151"/>
    </x:row>
    <x:row r="203">
      <x:c r="A203" s="151" t="str">
        <x:f>IF(B203="","",TEXT(B203,"yyyymmdd")&amp;"-"&amp;TEXT(COUNTIF($B$5:B203,B203),"000"))</x:f>
      </x:c>
      <x:c r="B203" s="152"/>
      <x:c r="C203" s="153"/>
      <x:c r="D203" s="151" t="str">
        <x:f>IF(B203="","",'Configuracion'!$B$4)</x:f>
      </x:c>
      <x:c r="E203" s="154"/>
      <x:c r="F203" s="154"/>
      <x:c r="G203" s="151" t="str">
        <x:f>IFERROR(VLOOKUP(F203,'Base Sectores'!$A$5:$J$47,2,FALSE),"")</x:f>
      </x:c>
      <x:c r="H203" s="151" t="str">
        <x:f>IFERROR(VLOOKUP(F203,'Base Sectores'!$A$5:$J$47,3,FALSE),"")</x:f>
      </x:c>
      <x:c r="I203" s="151" t="str">
        <x:f>IFERROR(VLOOKUP(F203,'Base Sectores'!$A$5:$J$47,4,FALSE),"")</x:f>
      </x:c>
      <x:c r="J203" s="151" t="str">
        <x:f>IFERROR(VLOOKUP(F203,'Base Sectores'!$A$5:$J$47,5,FALSE),"")</x:f>
      </x:c>
      <x:c r="K203" s="151" t="str">
        <x:f>IFERROR(VLOOKUP(F203,'Base Sectores'!$A$5:$J$47,6,FALSE),"")</x:f>
      </x:c>
      <x:c r="L203" s="151" t="str">
        <x:f>IFERROR(VLOOKUP(F203,'Base Sectores'!$A$5:$J$47,7,FALSE),"")</x:f>
      </x:c>
      <x:c r="M203" s="151" t="str">
        <x:f>IFERROR(VLOOKUP(F203,'Base Sectores'!$A$5:$J$47,9,FALSE),"")</x:f>
      </x:c>
      <x:c r="N203" s="154"/>
      <x:c r="O203" s="151" t="str">
        <x:f>IFERROR(VLOOKUP(N203,'Configuracion'!$D$4:$H$15,2,FALSE),"")</x:f>
      </x:c>
      <x:c r="P203" s="151" t="str">
        <x:f>IFERROR(VLOOKUP(N203,'Configuracion'!$D$4:$H$15,3,FALSE),"")</x:f>
      </x:c>
      <x:c r="Q203" s="155"/>
      <x:c r="R203" s="156" t="str">
        <x:f>IFERROR(VLOOKUP(N203,'Configuracion'!$D$4:$H$15,4,FALSE),"")</x:f>
      </x:c>
      <x:c r="S203" s="153"/>
      <x:c r="T203" s="153"/>
      <x:c r="U203" s="156" t="str">
        <x:f>IF(OR(S203="",T203=""),"",MOD(T203-S203,1)*24)</x:f>
      </x:c>
      <x:c r="V203" s="154"/>
      <x:c r="W203" s="154"/>
      <x:c r="X203" s="151" t="str">
        <x:f>IFERROR(VLOOKUP(N203,'Configuracion'!$D$4:$H$15,5,FALSE),"")</x:f>
      </x:c>
      <x:c r="Y203" s="151" t="str">
        <x:f>IFERROR(VLOOKUP(V203,'Cuadrillas'!$A$5:$J$14,2,FALSE),"")</x:f>
      </x:c>
      <x:c r="Z203" s="154"/>
      <x:c r="AA203" s="154"/>
      <x:c r="AB203" s="154"/>
      <x:c r="AC203" s="153"/>
      <x:c r="AD203" s="153"/>
      <x:c r="AE203" s="156" t="str">
        <x:f>IF(OR(AC203="",AD203=""),"",MOD(AD203-AC203,1)*24)</x:f>
      </x:c>
      <x:c r="AF203" s="154"/>
      <x:c r="AG203" s="156" t="str">
        <x:f>IF(AE203="","",MAX(0,AE203-IF(AF203="",0,AF203/60)))</x:f>
      </x:c>
      <x:c r="AH203" s="155"/>
      <x:c r="AI203" s="154"/>
      <x:c r="AJ203" s="154"/>
      <x:c r="AK203" s="156" t="n">
        <x:f>IFERROR(U203*W203,"")</x:f>
        <x:v>0</x:v>
      </x:c>
      <x:c r="AL203" s="156" t="n">
        <x:f>IFERROR(AE203*AI203,"")</x:f>
        <x:v>0</x:v>
      </x:c>
      <x:c r="AM203" s="157" t="str">
        <x:f>IFERROR(AH203/Q203,"")</x:f>
      </x:c>
      <x:c r="AN203" s="156" t="str">
        <x:f>IFERROR(AH203/AG203,"")</x:f>
      </x:c>
      <x:c r="AO203" s="156" t="str">
        <x:f>IFERROR(AL203/AH203,"")</x:f>
      </x:c>
      <x:c r="AP203" s="157" t="str">
        <x:f>IFERROR(AG203/AE203,"")</x:f>
      </x:c>
      <x:c r="AQ203" s="157" t="str">
        <x:f>IFERROR(AN203/(R203/'Configuracion'!$B$13),"")</x:f>
      </x:c>
      <x:c r="AR203" s="156" t="n">
        <x:f>IFERROR(AE203-U203,"")</x:f>
        <x:v>0</x:v>
      </x:c>
      <x:c r="AS203" s="154"/>
      <x:c r="AT203" s="154"/>
      <x:c r="AU203" s="154"/>
      <x:c r="AV203" s="154"/>
      <x:c r="AW203" s="152"/>
      <x:c r="AX203" s="154"/>
      <x:c r="AY203" s="154"/>
      <x:c r="AZ203" s="151"/>
      <x:c r="BA203" s="151"/>
    </x:row>
    <x:row r="204">
      <x:c r="A204" s="151" t="str">
        <x:f>IF(B204="","",TEXT(B204,"yyyymmdd")&amp;"-"&amp;TEXT(COUNTIF($B$5:B204,B204),"000"))</x:f>
      </x:c>
      <x:c r="B204" s="152"/>
      <x:c r="C204" s="153"/>
      <x:c r="D204" s="151" t="str">
        <x:f>IF(B204="","",'Configuracion'!$B$4)</x:f>
      </x:c>
      <x:c r="E204" s="154"/>
      <x:c r="F204" s="154"/>
      <x:c r="G204" s="151" t="str">
        <x:f>IFERROR(VLOOKUP(F204,'Base Sectores'!$A$5:$J$47,2,FALSE),"")</x:f>
      </x:c>
      <x:c r="H204" s="151" t="str">
        <x:f>IFERROR(VLOOKUP(F204,'Base Sectores'!$A$5:$J$47,3,FALSE),"")</x:f>
      </x:c>
      <x:c r="I204" s="151" t="str">
        <x:f>IFERROR(VLOOKUP(F204,'Base Sectores'!$A$5:$J$47,4,FALSE),"")</x:f>
      </x:c>
      <x:c r="J204" s="151" t="str">
        <x:f>IFERROR(VLOOKUP(F204,'Base Sectores'!$A$5:$J$47,5,FALSE),"")</x:f>
      </x:c>
      <x:c r="K204" s="151" t="str">
        <x:f>IFERROR(VLOOKUP(F204,'Base Sectores'!$A$5:$J$47,6,FALSE),"")</x:f>
      </x:c>
      <x:c r="L204" s="151" t="str">
        <x:f>IFERROR(VLOOKUP(F204,'Base Sectores'!$A$5:$J$47,7,FALSE),"")</x:f>
      </x:c>
      <x:c r="M204" s="151" t="str">
        <x:f>IFERROR(VLOOKUP(F204,'Base Sectores'!$A$5:$J$47,9,FALSE),"")</x:f>
      </x:c>
      <x:c r="N204" s="154"/>
      <x:c r="O204" s="151" t="str">
        <x:f>IFERROR(VLOOKUP(N204,'Configuracion'!$D$4:$H$15,2,FALSE),"")</x:f>
      </x:c>
      <x:c r="P204" s="151" t="str">
        <x:f>IFERROR(VLOOKUP(N204,'Configuracion'!$D$4:$H$15,3,FALSE),"")</x:f>
      </x:c>
      <x:c r="Q204" s="155"/>
      <x:c r="R204" s="156" t="str">
        <x:f>IFERROR(VLOOKUP(N204,'Configuracion'!$D$4:$H$15,4,FALSE),"")</x:f>
      </x:c>
      <x:c r="S204" s="153"/>
      <x:c r="T204" s="153"/>
      <x:c r="U204" s="156" t="str">
        <x:f>IF(OR(S204="",T204=""),"",MOD(T204-S204,1)*24)</x:f>
      </x:c>
      <x:c r="V204" s="154"/>
      <x:c r="W204" s="154"/>
      <x:c r="X204" s="151" t="str">
        <x:f>IFERROR(VLOOKUP(N204,'Configuracion'!$D$4:$H$15,5,FALSE),"")</x:f>
      </x:c>
      <x:c r="Y204" s="151" t="str">
        <x:f>IFERROR(VLOOKUP(V204,'Cuadrillas'!$A$5:$J$14,2,FALSE),"")</x:f>
      </x:c>
      <x:c r="Z204" s="154"/>
      <x:c r="AA204" s="154"/>
      <x:c r="AB204" s="154"/>
      <x:c r="AC204" s="153"/>
      <x:c r="AD204" s="153"/>
      <x:c r="AE204" s="156" t="str">
        <x:f>IF(OR(AC204="",AD204=""),"",MOD(AD204-AC204,1)*24)</x:f>
      </x:c>
      <x:c r="AF204" s="154"/>
      <x:c r="AG204" s="156" t="str">
        <x:f>IF(AE204="","",MAX(0,AE204-IF(AF204="",0,AF204/60)))</x:f>
      </x:c>
      <x:c r="AH204" s="155"/>
      <x:c r="AI204" s="154"/>
      <x:c r="AJ204" s="154"/>
      <x:c r="AK204" s="156" t="n">
        <x:f>IFERROR(U204*W204,"")</x:f>
        <x:v>0</x:v>
      </x:c>
      <x:c r="AL204" s="156" t="n">
        <x:f>IFERROR(AE204*AI204,"")</x:f>
        <x:v>0</x:v>
      </x:c>
      <x:c r="AM204" s="157" t="str">
        <x:f>IFERROR(AH204/Q204,"")</x:f>
      </x:c>
      <x:c r="AN204" s="156" t="str">
        <x:f>IFERROR(AH204/AG204,"")</x:f>
      </x:c>
      <x:c r="AO204" s="156" t="str">
        <x:f>IFERROR(AL204/AH204,"")</x:f>
      </x:c>
      <x:c r="AP204" s="157" t="str">
        <x:f>IFERROR(AG204/AE204,"")</x:f>
      </x:c>
      <x:c r="AQ204" s="157" t="str">
        <x:f>IFERROR(AN204/(R204/'Configuracion'!$B$13),"")</x:f>
      </x:c>
      <x:c r="AR204" s="156" t="n">
        <x:f>IFERROR(AE204-U204,"")</x:f>
        <x:v>0</x:v>
      </x:c>
      <x:c r="AS204" s="154"/>
      <x:c r="AT204" s="154"/>
      <x:c r="AU204" s="154"/>
      <x:c r="AV204" s="154"/>
      <x:c r="AW204" s="152"/>
      <x:c r="AX204" s="154"/>
      <x:c r="AY204" s="154"/>
      <x:c r="AZ204" s="151"/>
      <x:c r="BA204" s="151"/>
    </x:row>
    <x:row r="205">
      <x:c r="A205" s="151" t="str">
        <x:f>IF(B205="","",TEXT(B205,"yyyymmdd")&amp;"-"&amp;TEXT(COUNTIF($B$5:B205,B205),"000"))</x:f>
      </x:c>
      <x:c r="B205" s="152"/>
      <x:c r="C205" s="153"/>
      <x:c r="D205" s="151" t="str">
        <x:f>IF(B205="","",'Configuracion'!$B$4)</x:f>
      </x:c>
      <x:c r="E205" s="154"/>
      <x:c r="F205" s="154"/>
      <x:c r="G205" s="151" t="str">
        <x:f>IFERROR(VLOOKUP(F205,'Base Sectores'!$A$5:$J$47,2,FALSE),"")</x:f>
      </x:c>
      <x:c r="H205" s="151" t="str">
        <x:f>IFERROR(VLOOKUP(F205,'Base Sectores'!$A$5:$J$47,3,FALSE),"")</x:f>
      </x:c>
      <x:c r="I205" s="151" t="str">
        <x:f>IFERROR(VLOOKUP(F205,'Base Sectores'!$A$5:$J$47,4,FALSE),"")</x:f>
      </x:c>
      <x:c r="J205" s="151" t="str">
        <x:f>IFERROR(VLOOKUP(F205,'Base Sectores'!$A$5:$J$47,5,FALSE),"")</x:f>
      </x:c>
      <x:c r="K205" s="151" t="str">
        <x:f>IFERROR(VLOOKUP(F205,'Base Sectores'!$A$5:$J$47,6,FALSE),"")</x:f>
      </x:c>
      <x:c r="L205" s="151" t="str">
        <x:f>IFERROR(VLOOKUP(F205,'Base Sectores'!$A$5:$J$47,7,FALSE),"")</x:f>
      </x:c>
      <x:c r="M205" s="151" t="str">
        <x:f>IFERROR(VLOOKUP(F205,'Base Sectores'!$A$5:$J$47,9,FALSE),"")</x:f>
      </x:c>
      <x:c r="N205" s="154"/>
      <x:c r="O205" s="151" t="str">
        <x:f>IFERROR(VLOOKUP(N205,'Configuracion'!$D$4:$H$15,2,FALSE),"")</x:f>
      </x:c>
      <x:c r="P205" s="151" t="str">
        <x:f>IFERROR(VLOOKUP(N205,'Configuracion'!$D$4:$H$15,3,FALSE),"")</x:f>
      </x:c>
      <x:c r="Q205" s="155"/>
      <x:c r="R205" s="156" t="str">
        <x:f>IFERROR(VLOOKUP(N205,'Configuracion'!$D$4:$H$15,4,FALSE),"")</x:f>
      </x:c>
      <x:c r="S205" s="153"/>
      <x:c r="T205" s="153"/>
      <x:c r="U205" s="156" t="str">
        <x:f>IF(OR(S205="",T205=""),"",MOD(T205-S205,1)*24)</x:f>
      </x:c>
      <x:c r="V205" s="154"/>
      <x:c r="W205" s="154"/>
      <x:c r="X205" s="151" t="str">
        <x:f>IFERROR(VLOOKUP(N205,'Configuracion'!$D$4:$H$15,5,FALSE),"")</x:f>
      </x:c>
      <x:c r="Y205" s="151" t="str">
        <x:f>IFERROR(VLOOKUP(V205,'Cuadrillas'!$A$5:$J$14,2,FALSE),"")</x:f>
      </x:c>
      <x:c r="Z205" s="154"/>
      <x:c r="AA205" s="154"/>
      <x:c r="AB205" s="154"/>
      <x:c r="AC205" s="153"/>
      <x:c r="AD205" s="153"/>
      <x:c r="AE205" s="156" t="str">
        <x:f>IF(OR(AC205="",AD205=""),"",MOD(AD205-AC205,1)*24)</x:f>
      </x:c>
      <x:c r="AF205" s="154"/>
      <x:c r="AG205" s="156" t="str">
        <x:f>IF(AE205="","",MAX(0,AE205-IF(AF205="",0,AF205/60)))</x:f>
      </x:c>
      <x:c r="AH205" s="155"/>
      <x:c r="AI205" s="154"/>
      <x:c r="AJ205" s="154"/>
      <x:c r="AK205" s="156" t="n">
        <x:f>IFERROR(U205*W205,"")</x:f>
        <x:v>0</x:v>
      </x:c>
      <x:c r="AL205" s="156" t="n">
        <x:f>IFERROR(AE205*AI205,"")</x:f>
        <x:v>0</x:v>
      </x:c>
      <x:c r="AM205" s="157" t="str">
        <x:f>IFERROR(AH205/Q205,"")</x:f>
      </x:c>
      <x:c r="AN205" s="156" t="str">
        <x:f>IFERROR(AH205/AG205,"")</x:f>
      </x:c>
      <x:c r="AO205" s="156" t="str">
        <x:f>IFERROR(AL205/AH205,"")</x:f>
      </x:c>
      <x:c r="AP205" s="157" t="str">
        <x:f>IFERROR(AG205/AE205,"")</x:f>
      </x:c>
      <x:c r="AQ205" s="157" t="str">
        <x:f>IFERROR(AN205/(R205/'Configuracion'!$B$13),"")</x:f>
      </x:c>
      <x:c r="AR205" s="156" t="n">
        <x:f>IFERROR(AE205-U205,"")</x:f>
        <x:v>0</x:v>
      </x:c>
      <x:c r="AS205" s="154"/>
      <x:c r="AT205" s="154"/>
      <x:c r="AU205" s="154"/>
      <x:c r="AV205" s="154"/>
      <x:c r="AW205" s="152"/>
      <x:c r="AX205" s="154"/>
      <x:c r="AY205" s="154"/>
      <x:c r="AZ205" s="151"/>
      <x:c r="BA205" s="151"/>
    </x:row>
    <x:row r="206">
      <x:c r="A206" s="151" t="str">
        <x:f>IF(B206="","",TEXT(B206,"yyyymmdd")&amp;"-"&amp;TEXT(COUNTIF($B$5:B206,B206),"000"))</x:f>
      </x:c>
      <x:c r="B206" s="152"/>
      <x:c r="C206" s="153"/>
      <x:c r="D206" s="151" t="str">
        <x:f>IF(B206="","",'Configuracion'!$B$4)</x:f>
      </x:c>
      <x:c r="E206" s="154"/>
      <x:c r="F206" s="154"/>
      <x:c r="G206" s="151" t="str">
        <x:f>IFERROR(VLOOKUP(F206,'Base Sectores'!$A$5:$J$47,2,FALSE),"")</x:f>
      </x:c>
      <x:c r="H206" s="151" t="str">
        <x:f>IFERROR(VLOOKUP(F206,'Base Sectores'!$A$5:$J$47,3,FALSE),"")</x:f>
      </x:c>
      <x:c r="I206" s="151" t="str">
        <x:f>IFERROR(VLOOKUP(F206,'Base Sectores'!$A$5:$J$47,4,FALSE),"")</x:f>
      </x:c>
      <x:c r="J206" s="151" t="str">
        <x:f>IFERROR(VLOOKUP(F206,'Base Sectores'!$A$5:$J$47,5,FALSE),"")</x:f>
      </x:c>
      <x:c r="K206" s="151" t="str">
        <x:f>IFERROR(VLOOKUP(F206,'Base Sectores'!$A$5:$J$47,6,FALSE),"")</x:f>
      </x:c>
      <x:c r="L206" s="151" t="str">
        <x:f>IFERROR(VLOOKUP(F206,'Base Sectores'!$A$5:$J$47,7,FALSE),"")</x:f>
      </x:c>
      <x:c r="M206" s="151" t="str">
        <x:f>IFERROR(VLOOKUP(F206,'Base Sectores'!$A$5:$J$47,9,FALSE),"")</x:f>
      </x:c>
      <x:c r="N206" s="154"/>
      <x:c r="O206" s="151" t="str">
        <x:f>IFERROR(VLOOKUP(N206,'Configuracion'!$D$4:$H$15,2,FALSE),"")</x:f>
      </x:c>
      <x:c r="P206" s="151" t="str">
        <x:f>IFERROR(VLOOKUP(N206,'Configuracion'!$D$4:$H$15,3,FALSE),"")</x:f>
      </x:c>
      <x:c r="Q206" s="155"/>
      <x:c r="R206" s="156" t="str">
        <x:f>IFERROR(VLOOKUP(N206,'Configuracion'!$D$4:$H$15,4,FALSE),"")</x:f>
      </x:c>
      <x:c r="S206" s="153"/>
      <x:c r="T206" s="153"/>
      <x:c r="U206" s="156" t="str">
        <x:f>IF(OR(S206="",T206=""),"",MOD(T206-S206,1)*24)</x:f>
      </x:c>
      <x:c r="V206" s="154"/>
      <x:c r="W206" s="154"/>
      <x:c r="X206" s="151" t="str">
        <x:f>IFERROR(VLOOKUP(N206,'Configuracion'!$D$4:$H$15,5,FALSE),"")</x:f>
      </x:c>
      <x:c r="Y206" s="151" t="str">
        <x:f>IFERROR(VLOOKUP(V206,'Cuadrillas'!$A$5:$J$14,2,FALSE),"")</x:f>
      </x:c>
      <x:c r="Z206" s="154"/>
      <x:c r="AA206" s="154"/>
      <x:c r="AB206" s="154"/>
      <x:c r="AC206" s="153"/>
      <x:c r="AD206" s="153"/>
      <x:c r="AE206" s="156" t="str">
        <x:f>IF(OR(AC206="",AD206=""),"",MOD(AD206-AC206,1)*24)</x:f>
      </x:c>
      <x:c r="AF206" s="154"/>
      <x:c r="AG206" s="156" t="str">
        <x:f>IF(AE206="","",MAX(0,AE206-IF(AF206="",0,AF206/60)))</x:f>
      </x:c>
      <x:c r="AH206" s="155"/>
      <x:c r="AI206" s="154"/>
      <x:c r="AJ206" s="154"/>
      <x:c r="AK206" s="156" t="n">
        <x:f>IFERROR(U206*W206,"")</x:f>
        <x:v>0</x:v>
      </x:c>
      <x:c r="AL206" s="156" t="n">
        <x:f>IFERROR(AE206*AI206,"")</x:f>
        <x:v>0</x:v>
      </x:c>
      <x:c r="AM206" s="157" t="str">
        <x:f>IFERROR(AH206/Q206,"")</x:f>
      </x:c>
      <x:c r="AN206" s="156" t="str">
        <x:f>IFERROR(AH206/AG206,"")</x:f>
      </x:c>
      <x:c r="AO206" s="156" t="str">
        <x:f>IFERROR(AL206/AH206,"")</x:f>
      </x:c>
      <x:c r="AP206" s="157" t="str">
        <x:f>IFERROR(AG206/AE206,"")</x:f>
      </x:c>
      <x:c r="AQ206" s="157" t="str">
        <x:f>IFERROR(AN206/(R206/'Configuracion'!$B$13),"")</x:f>
      </x:c>
      <x:c r="AR206" s="156" t="n">
        <x:f>IFERROR(AE206-U206,"")</x:f>
        <x:v>0</x:v>
      </x:c>
      <x:c r="AS206" s="154"/>
      <x:c r="AT206" s="154"/>
      <x:c r="AU206" s="154"/>
      <x:c r="AV206" s="154"/>
      <x:c r="AW206" s="152"/>
      <x:c r="AX206" s="154"/>
      <x:c r="AY206" s="154"/>
      <x:c r="AZ206" s="151"/>
      <x:c r="BA206" s="151"/>
    </x:row>
    <x:row r="207">
      <x:c r="A207" s="151" t="str">
        <x:f>IF(B207="","",TEXT(B207,"yyyymmdd")&amp;"-"&amp;TEXT(COUNTIF($B$5:B207,B207),"000"))</x:f>
      </x:c>
      <x:c r="B207" s="152"/>
      <x:c r="C207" s="153"/>
      <x:c r="D207" s="151" t="str">
        <x:f>IF(B207="","",'Configuracion'!$B$4)</x:f>
      </x:c>
      <x:c r="E207" s="154"/>
      <x:c r="F207" s="154"/>
      <x:c r="G207" s="151" t="str">
        <x:f>IFERROR(VLOOKUP(F207,'Base Sectores'!$A$5:$J$47,2,FALSE),"")</x:f>
      </x:c>
      <x:c r="H207" s="151" t="str">
        <x:f>IFERROR(VLOOKUP(F207,'Base Sectores'!$A$5:$J$47,3,FALSE),"")</x:f>
      </x:c>
      <x:c r="I207" s="151" t="str">
        <x:f>IFERROR(VLOOKUP(F207,'Base Sectores'!$A$5:$J$47,4,FALSE),"")</x:f>
      </x:c>
      <x:c r="J207" s="151" t="str">
        <x:f>IFERROR(VLOOKUP(F207,'Base Sectores'!$A$5:$J$47,5,FALSE),"")</x:f>
      </x:c>
      <x:c r="K207" s="151" t="str">
        <x:f>IFERROR(VLOOKUP(F207,'Base Sectores'!$A$5:$J$47,6,FALSE),"")</x:f>
      </x:c>
      <x:c r="L207" s="151" t="str">
        <x:f>IFERROR(VLOOKUP(F207,'Base Sectores'!$A$5:$J$47,7,FALSE),"")</x:f>
      </x:c>
      <x:c r="M207" s="151" t="str">
        <x:f>IFERROR(VLOOKUP(F207,'Base Sectores'!$A$5:$J$47,9,FALSE),"")</x:f>
      </x:c>
      <x:c r="N207" s="154"/>
      <x:c r="O207" s="151" t="str">
        <x:f>IFERROR(VLOOKUP(N207,'Configuracion'!$D$4:$H$15,2,FALSE),"")</x:f>
      </x:c>
      <x:c r="P207" s="151" t="str">
        <x:f>IFERROR(VLOOKUP(N207,'Configuracion'!$D$4:$H$15,3,FALSE),"")</x:f>
      </x:c>
      <x:c r="Q207" s="155"/>
      <x:c r="R207" s="156" t="str">
        <x:f>IFERROR(VLOOKUP(N207,'Configuracion'!$D$4:$H$15,4,FALSE),"")</x:f>
      </x:c>
      <x:c r="S207" s="153"/>
      <x:c r="T207" s="153"/>
      <x:c r="U207" s="156" t="str">
        <x:f>IF(OR(S207="",T207=""),"",MOD(T207-S207,1)*24)</x:f>
      </x:c>
      <x:c r="V207" s="154"/>
      <x:c r="W207" s="154"/>
      <x:c r="X207" s="151" t="str">
        <x:f>IFERROR(VLOOKUP(N207,'Configuracion'!$D$4:$H$15,5,FALSE),"")</x:f>
      </x:c>
      <x:c r="Y207" s="151" t="str">
        <x:f>IFERROR(VLOOKUP(V207,'Cuadrillas'!$A$5:$J$14,2,FALSE),"")</x:f>
      </x:c>
      <x:c r="Z207" s="154"/>
      <x:c r="AA207" s="154"/>
      <x:c r="AB207" s="154"/>
      <x:c r="AC207" s="153"/>
      <x:c r="AD207" s="153"/>
      <x:c r="AE207" s="156" t="str">
        <x:f>IF(OR(AC207="",AD207=""),"",MOD(AD207-AC207,1)*24)</x:f>
      </x:c>
      <x:c r="AF207" s="154"/>
      <x:c r="AG207" s="156" t="str">
        <x:f>IF(AE207="","",MAX(0,AE207-IF(AF207="",0,AF207/60)))</x:f>
      </x:c>
      <x:c r="AH207" s="155"/>
      <x:c r="AI207" s="154"/>
      <x:c r="AJ207" s="154"/>
      <x:c r="AK207" s="156" t="n">
        <x:f>IFERROR(U207*W207,"")</x:f>
        <x:v>0</x:v>
      </x:c>
      <x:c r="AL207" s="156" t="n">
        <x:f>IFERROR(AE207*AI207,"")</x:f>
        <x:v>0</x:v>
      </x:c>
      <x:c r="AM207" s="157" t="str">
        <x:f>IFERROR(AH207/Q207,"")</x:f>
      </x:c>
      <x:c r="AN207" s="156" t="str">
        <x:f>IFERROR(AH207/AG207,"")</x:f>
      </x:c>
      <x:c r="AO207" s="156" t="str">
        <x:f>IFERROR(AL207/AH207,"")</x:f>
      </x:c>
      <x:c r="AP207" s="157" t="str">
        <x:f>IFERROR(AG207/AE207,"")</x:f>
      </x:c>
      <x:c r="AQ207" s="157" t="str">
        <x:f>IFERROR(AN207/(R207/'Configuracion'!$B$13),"")</x:f>
      </x:c>
      <x:c r="AR207" s="156" t="n">
        <x:f>IFERROR(AE207-U207,"")</x:f>
        <x:v>0</x:v>
      </x:c>
      <x:c r="AS207" s="154"/>
      <x:c r="AT207" s="154"/>
      <x:c r="AU207" s="154"/>
      <x:c r="AV207" s="154"/>
      <x:c r="AW207" s="152"/>
      <x:c r="AX207" s="154"/>
      <x:c r="AY207" s="154"/>
      <x:c r="AZ207" s="151"/>
      <x:c r="BA207" s="151"/>
    </x:row>
    <x:row r="208">
      <x:c r="A208" s="151" t="str">
        <x:f>IF(B208="","",TEXT(B208,"yyyymmdd")&amp;"-"&amp;TEXT(COUNTIF($B$5:B208,B208),"000"))</x:f>
      </x:c>
      <x:c r="B208" s="152"/>
      <x:c r="C208" s="153"/>
      <x:c r="D208" s="151" t="str">
        <x:f>IF(B208="","",'Configuracion'!$B$4)</x:f>
      </x:c>
      <x:c r="E208" s="154"/>
      <x:c r="F208" s="154"/>
      <x:c r="G208" s="151" t="str">
        <x:f>IFERROR(VLOOKUP(F208,'Base Sectores'!$A$5:$J$47,2,FALSE),"")</x:f>
      </x:c>
      <x:c r="H208" s="151" t="str">
        <x:f>IFERROR(VLOOKUP(F208,'Base Sectores'!$A$5:$J$47,3,FALSE),"")</x:f>
      </x:c>
      <x:c r="I208" s="151" t="str">
        <x:f>IFERROR(VLOOKUP(F208,'Base Sectores'!$A$5:$J$47,4,FALSE),"")</x:f>
      </x:c>
      <x:c r="J208" s="151" t="str">
        <x:f>IFERROR(VLOOKUP(F208,'Base Sectores'!$A$5:$J$47,5,FALSE),"")</x:f>
      </x:c>
      <x:c r="K208" s="151" t="str">
        <x:f>IFERROR(VLOOKUP(F208,'Base Sectores'!$A$5:$J$47,6,FALSE),"")</x:f>
      </x:c>
      <x:c r="L208" s="151" t="str">
        <x:f>IFERROR(VLOOKUP(F208,'Base Sectores'!$A$5:$J$47,7,FALSE),"")</x:f>
      </x:c>
      <x:c r="M208" s="151" t="str">
        <x:f>IFERROR(VLOOKUP(F208,'Base Sectores'!$A$5:$J$47,9,FALSE),"")</x:f>
      </x:c>
      <x:c r="N208" s="154"/>
      <x:c r="O208" s="151" t="str">
        <x:f>IFERROR(VLOOKUP(N208,'Configuracion'!$D$4:$H$15,2,FALSE),"")</x:f>
      </x:c>
      <x:c r="P208" s="151" t="str">
        <x:f>IFERROR(VLOOKUP(N208,'Configuracion'!$D$4:$H$15,3,FALSE),"")</x:f>
      </x:c>
      <x:c r="Q208" s="155"/>
      <x:c r="R208" s="156" t="str">
        <x:f>IFERROR(VLOOKUP(N208,'Configuracion'!$D$4:$H$15,4,FALSE),"")</x:f>
      </x:c>
      <x:c r="S208" s="153"/>
      <x:c r="T208" s="153"/>
      <x:c r="U208" s="156" t="str">
        <x:f>IF(OR(S208="",T208=""),"",MOD(T208-S208,1)*24)</x:f>
      </x:c>
      <x:c r="V208" s="154"/>
      <x:c r="W208" s="154"/>
      <x:c r="X208" s="151" t="str">
        <x:f>IFERROR(VLOOKUP(N208,'Configuracion'!$D$4:$H$15,5,FALSE),"")</x:f>
      </x:c>
      <x:c r="Y208" s="151" t="str">
        <x:f>IFERROR(VLOOKUP(V208,'Cuadrillas'!$A$5:$J$14,2,FALSE),"")</x:f>
      </x:c>
      <x:c r="Z208" s="154"/>
      <x:c r="AA208" s="154"/>
      <x:c r="AB208" s="154"/>
      <x:c r="AC208" s="153"/>
      <x:c r="AD208" s="153"/>
      <x:c r="AE208" s="156" t="str">
        <x:f>IF(OR(AC208="",AD208=""),"",MOD(AD208-AC208,1)*24)</x:f>
      </x:c>
      <x:c r="AF208" s="154"/>
      <x:c r="AG208" s="156" t="str">
        <x:f>IF(AE208="","",MAX(0,AE208-IF(AF208="",0,AF208/60)))</x:f>
      </x:c>
      <x:c r="AH208" s="155"/>
      <x:c r="AI208" s="154"/>
      <x:c r="AJ208" s="154"/>
      <x:c r="AK208" s="156" t="n">
        <x:f>IFERROR(U208*W208,"")</x:f>
        <x:v>0</x:v>
      </x:c>
      <x:c r="AL208" s="156" t="n">
        <x:f>IFERROR(AE208*AI208,"")</x:f>
        <x:v>0</x:v>
      </x:c>
      <x:c r="AM208" s="157" t="str">
        <x:f>IFERROR(AH208/Q208,"")</x:f>
      </x:c>
      <x:c r="AN208" s="156" t="str">
        <x:f>IFERROR(AH208/AG208,"")</x:f>
      </x:c>
      <x:c r="AO208" s="156" t="str">
        <x:f>IFERROR(AL208/AH208,"")</x:f>
      </x:c>
      <x:c r="AP208" s="157" t="str">
        <x:f>IFERROR(AG208/AE208,"")</x:f>
      </x:c>
      <x:c r="AQ208" s="157" t="str">
        <x:f>IFERROR(AN208/(R208/'Configuracion'!$B$13),"")</x:f>
      </x:c>
      <x:c r="AR208" s="156" t="n">
        <x:f>IFERROR(AE208-U208,"")</x:f>
        <x:v>0</x:v>
      </x:c>
      <x:c r="AS208" s="154"/>
      <x:c r="AT208" s="154"/>
      <x:c r="AU208" s="154"/>
      <x:c r="AV208" s="154"/>
      <x:c r="AW208" s="152"/>
      <x:c r="AX208" s="154"/>
      <x:c r="AY208" s="154"/>
      <x:c r="AZ208" s="151"/>
      <x:c r="BA208" s="151"/>
    </x:row>
    <x:row r="209">
      <x:c r="A209" s="151" t="str">
        <x:f>IF(B209="","",TEXT(B209,"yyyymmdd")&amp;"-"&amp;TEXT(COUNTIF($B$5:B209,B209),"000"))</x:f>
      </x:c>
      <x:c r="B209" s="152"/>
      <x:c r="C209" s="153"/>
      <x:c r="D209" s="151" t="str">
        <x:f>IF(B209="","",'Configuracion'!$B$4)</x:f>
      </x:c>
      <x:c r="E209" s="154"/>
      <x:c r="F209" s="154"/>
      <x:c r="G209" s="151" t="str">
        <x:f>IFERROR(VLOOKUP(F209,'Base Sectores'!$A$5:$J$47,2,FALSE),"")</x:f>
      </x:c>
      <x:c r="H209" s="151" t="str">
        <x:f>IFERROR(VLOOKUP(F209,'Base Sectores'!$A$5:$J$47,3,FALSE),"")</x:f>
      </x:c>
      <x:c r="I209" s="151" t="str">
        <x:f>IFERROR(VLOOKUP(F209,'Base Sectores'!$A$5:$J$47,4,FALSE),"")</x:f>
      </x:c>
      <x:c r="J209" s="151" t="str">
        <x:f>IFERROR(VLOOKUP(F209,'Base Sectores'!$A$5:$J$47,5,FALSE),"")</x:f>
      </x:c>
      <x:c r="K209" s="151" t="str">
        <x:f>IFERROR(VLOOKUP(F209,'Base Sectores'!$A$5:$J$47,6,FALSE),"")</x:f>
      </x:c>
      <x:c r="L209" s="151" t="str">
        <x:f>IFERROR(VLOOKUP(F209,'Base Sectores'!$A$5:$J$47,7,FALSE),"")</x:f>
      </x:c>
      <x:c r="M209" s="151" t="str">
        <x:f>IFERROR(VLOOKUP(F209,'Base Sectores'!$A$5:$J$47,9,FALSE),"")</x:f>
      </x:c>
      <x:c r="N209" s="154"/>
      <x:c r="O209" s="151" t="str">
        <x:f>IFERROR(VLOOKUP(N209,'Configuracion'!$D$4:$H$15,2,FALSE),"")</x:f>
      </x:c>
      <x:c r="P209" s="151" t="str">
        <x:f>IFERROR(VLOOKUP(N209,'Configuracion'!$D$4:$H$15,3,FALSE),"")</x:f>
      </x:c>
      <x:c r="Q209" s="155"/>
      <x:c r="R209" s="156" t="str">
        <x:f>IFERROR(VLOOKUP(N209,'Configuracion'!$D$4:$H$15,4,FALSE),"")</x:f>
      </x:c>
      <x:c r="S209" s="153"/>
      <x:c r="T209" s="153"/>
      <x:c r="U209" s="156" t="str">
        <x:f>IF(OR(S209="",T209=""),"",MOD(T209-S209,1)*24)</x:f>
      </x:c>
      <x:c r="V209" s="154"/>
      <x:c r="W209" s="154"/>
      <x:c r="X209" s="151" t="str">
        <x:f>IFERROR(VLOOKUP(N209,'Configuracion'!$D$4:$H$15,5,FALSE),"")</x:f>
      </x:c>
      <x:c r="Y209" s="151" t="str">
        <x:f>IFERROR(VLOOKUP(V209,'Cuadrillas'!$A$5:$J$14,2,FALSE),"")</x:f>
      </x:c>
      <x:c r="Z209" s="154"/>
      <x:c r="AA209" s="154"/>
      <x:c r="AB209" s="154"/>
      <x:c r="AC209" s="153"/>
      <x:c r="AD209" s="153"/>
      <x:c r="AE209" s="156" t="str">
        <x:f>IF(OR(AC209="",AD209=""),"",MOD(AD209-AC209,1)*24)</x:f>
      </x:c>
      <x:c r="AF209" s="154"/>
      <x:c r="AG209" s="156" t="str">
        <x:f>IF(AE209="","",MAX(0,AE209-IF(AF209="",0,AF209/60)))</x:f>
      </x:c>
      <x:c r="AH209" s="155"/>
      <x:c r="AI209" s="154"/>
      <x:c r="AJ209" s="154"/>
      <x:c r="AK209" s="156" t="n">
        <x:f>IFERROR(U209*W209,"")</x:f>
        <x:v>0</x:v>
      </x:c>
      <x:c r="AL209" s="156" t="n">
        <x:f>IFERROR(AE209*AI209,"")</x:f>
        <x:v>0</x:v>
      </x:c>
      <x:c r="AM209" s="157" t="str">
        <x:f>IFERROR(AH209/Q209,"")</x:f>
      </x:c>
      <x:c r="AN209" s="156" t="str">
        <x:f>IFERROR(AH209/AG209,"")</x:f>
      </x:c>
      <x:c r="AO209" s="156" t="str">
        <x:f>IFERROR(AL209/AH209,"")</x:f>
      </x:c>
      <x:c r="AP209" s="157" t="str">
        <x:f>IFERROR(AG209/AE209,"")</x:f>
      </x:c>
      <x:c r="AQ209" s="157" t="str">
        <x:f>IFERROR(AN209/(R209/'Configuracion'!$B$13),"")</x:f>
      </x:c>
      <x:c r="AR209" s="156" t="n">
        <x:f>IFERROR(AE209-U209,"")</x:f>
        <x:v>0</x:v>
      </x:c>
      <x:c r="AS209" s="154"/>
      <x:c r="AT209" s="154"/>
      <x:c r="AU209" s="154"/>
      <x:c r="AV209" s="154"/>
      <x:c r="AW209" s="152"/>
      <x:c r="AX209" s="154"/>
      <x:c r="AY209" s="154"/>
      <x:c r="AZ209" s="151"/>
      <x:c r="BA209" s="151"/>
    </x:row>
    <x:row r="210">
      <x:c r="A210" s="151" t="str">
        <x:f>IF(B210="","",TEXT(B210,"yyyymmdd")&amp;"-"&amp;TEXT(COUNTIF($B$5:B210,B210),"000"))</x:f>
      </x:c>
      <x:c r="B210" s="152"/>
      <x:c r="C210" s="153"/>
      <x:c r="D210" s="151" t="str">
        <x:f>IF(B210="","",'Configuracion'!$B$4)</x:f>
      </x:c>
      <x:c r="E210" s="154"/>
      <x:c r="F210" s="154"/>
      <x:c r="G210" s="151" t="str">
        <x:f>IFERROR(VLOOKUP(F210,'Base Sectores'!$A$5:$J$47,2,FALSE),"")</x:f>
      </x:c>
      <x:c r="H210" s="151" t="str">
        <x:f>IFERROR(VLOOKUP(F210,'Base Sectores'!$A$5:$J$47,3,FALSE),"")</x:f>
      </x:c>
      <x:c r="I210" s="151" t="str">
        <x:f>IFERROR(VLOOKUP(F210,'Base Sectores'!$A$5:$J$47,4,FALSE),"")</x:f>
      </x:c>
      <x:c r="J210" s="151" t="str">
        <x:f>IFERROR(VLOOKUP(F210,'Base Sectores'!$A$5:$J$47,5,FALSE),"")</x:f>
      </x:c>
      <x:c r="K210" s="151" t="str">
        <x:f>IFERROR(VLOOKUP(F210,'Base Sectores'!$A$5:$J$47,6,FALSE),"")</x:f>
      </x:c>
      <x:c r="L210" s="151" t="str">
        <x:f>IFERROR(VLOOKUP(F210,'Base Sectores'!$A$5:$J$47,7,FALSE),"")</x:f>
      </x:c>
      <x:c r="M210" s="151" t="str">
        <x:f>IFERROR(VLOOKUP(F210,'Base Sectores'!$A$5:$J$47,9,FALSE),"")</x:f>
      </x:c>
      <x:c r="N210" s="154"/>
      <x:c r="O210" s="151" t="str">
        <x:f>IFERROR(VLOOKUP(N210,'Configuracion'!$D$4:$H$15,2,FALSE),"")</x:f>
      </x:c>
      <x:c r="P210" s="151" t="str">
        <x:f>IFERROR(VLOOKUP(N210,'Configuracion'!$D$4:$H$15,3,FALSE),"")</x:f>
      </x:c>
      <x:c r="Q210" s="155"/>
      <x:c r="R210" s="156" t="str">
        <x:f>IFERROR(VLOOKUP(N210,'Configuracion'!$D$4:$H$15,4,FALSE),"")</x:f>
      </x:c>
      <x:c r="S210" s="153"/>
      <x:c r="T210" s="153"/>
      <x:c r="U210" s="156" t="str">
        <x:f>IF(OR(S210="",T210=""),"",MOD(T210-S210,1)*24)</x:f>
      </x:c>
      <x:c r="V210" s="154"/>
      <x:c r="W210" s="154"/>
      <x:c r="X210" s="151" t="str">
        <x:f>IFERROR(VLOOKUP(N210,'Configuracion'!$D$4:$H$15,5,FALSE),"")</x:f>
      </x:c>
      <x:c r="Y210" s="151" t="str">
        <x:f>IFERROR(VLOOKUP(V210,'Cuadrillas'!$A$5:$J$14,2,FALSE),"")</x:f>
      </x:c>
      <x:c r="Z210" s="154"/>
      <x:c r="AA210" s="154"/>
      <x:c r="AB210" s="154"/>
      <x:c r="AC210" s="153"/>
      <x:c r="AD210" s="153"/>
      <x:c r="AE210" s="156" t="str">
        <x:f>IF(OR(AC210="",AD210=""),"",MOD(AD210-AC210,1)*24)</x:f>
      </x:c>
      <x:c r="AF210" s="154"/>
      <x:c r="AG210" s="156" t="str">
        <x:f>IF(AE210="","",MAX(0,AE210-IF(AF210="",0,AF210/60)))</x:f>
      </x:c>
      <x:c r="AH210" s="155"/>
      <x:c r="AI210" s="154"/>
      <x:c r="AJ210" s="154"/>
      <x:c r="AK210" s="156" t="n">
        <x:f>IFERROR(U210*W210,"")</x:f>
        <x:v>0</x:v>
      </x:c>
      <x:c r="AL210" s="156" t="n">
        <x:f>IFERROR(AE210*AI210,"")</x:f>
        <x:v>0</x:v>
      </x:c>
      <x:c r="AM210" s="157" t="str">
        <x:f>IFERROR(AH210/Q210,"")</x:f>
      </x:c>
      <x:c r="AN210" s="156" t="str">
        <x:f>IFERROR(AH210/AG210,"")</x:f>
      </x:c>
      <x:c r="AO210" s="156" t="str">
        <x:f>IFERROR(AL210/AH210,"")</x:f>
      </x:c>
      <x:c r="AP210" s="157" t="str">
        <x:f>IFERROR(AG210/AE210,"")</x:f>
      </x:c>
      <x:c r="AQ210" s="157" t="str">
        <x:f>IFERROR(AN210/(R210/'Configuracion'!$B$13),"")</x:f>
      </x:c>
      <x:c r="AR210" s="156" t="n">
        <x:f>IFERROR(AE210-U210,"")</x:f>
        <x:v>0</x:v>
      </x:c>
      <x:c r="AS210" s="154"/>
      <x:c r="AT210" s="154"/>
      <x:c r="AU210" s="154"/>
      <x:c r="AV210" s="154"/>
      <x:c r="AW210" s="152"/>
      <x:c r="AX210" s="154"/>
      <x:c r="AY210" s="154"/>
      <x:c r="AZ210" s="151"/>
      <x:c r="BA210" s="151"/>
    </x:row>
    <x:row r="211">
      <x:c r="A211" s="151" t="str">
        <x:f>IF(B211="","",TEXT(B211,"yyyymmdd")&amp;"-"&amp;TEXT(COUNTIF($B$5:B211,B211),"000"))</x:f>
      </x:c>
      <x:c r="B211" s="152"/>
      <x:c r="C211" s="153"/>
      <x:c r="D211" s="151" t="str">
        <x:f>IF(B211="","",'Configuracion'!$B$4)</x:f>
      </x:c>
      <x:c r="E211" s="154"/>
      <x:c r="F211" s="154"/>
      <x:c r="G211" s="151" t="str">
        <x:f>IFERROR(VLOOKUP(F211,'Base Sectores'!$A$5:$J$47,2,FALSE),"")</x:f>
      </x:c>
      <x:c r="H211" s="151" t="str">
        <x:f>IFERROR(VLOOKUP(F211,'Base Sectores'!$A$5:$J$47,3,FALSE),"")</x:f>
      </x:c>
      <x:c r="I211" s="151" t="str">
        <x:f>IFERROR(VLOOKUP(F211,'Base Sectores'!$A$5:$J$47,4,FALSE),"")</x:f>
      </x:c>
      <x:c r="J211" s="151" t="str">
        <x:f>IFERROR(VLOOKUP(F211,'Base Sectores'!$A$5:$J$47,5,FALSE),"")</x:f>
      </x:c>
      <x:c r="K211" s="151" t="str">
        <x:f>IFERROR(VLOOKUP(F211,'Base Sectores'!$A$5:$J$47,6,FALSE),"")</x:f>
      </x:c>
      <x:c r="L211" s="151" t="str">
        <x:f>IFERROR(VLOOKUP(F211,'Base Sectores'!$A$5:$J$47,7,FALSE),"")</x:f>
      </x:c>
      <x:c r="M211" s="151" t="str">
        <x:f>IFERROR(VLOOKUP(F211,'Base Sectores'!$A$5:$J$47,9,FALSE),"")</x:f>
      </x:c>
      <x:c r="N211" s="154"/>
      <x:c r="O211" s="151" t="str">
        <x:f>IFERROR(VLOOKUP(N211,'Configuracion'!$D$4:$H$15,2,FALSE),"")</x:f>
      </x:c>
      <x:c r="P211" s="151" t="str">
        <x:f>IFERROR(VLOOKUP(N211,'Configuracion'!$D$4:$H$15,3,FALSE),"")</x:f>
      </x:c>
      <x:c r="Q211" s="155"/>
      <x:c r="R211" s="156" t="str">
        <x:f>IFERROR(VLOOKUP(N211,'Configuracion'!$D$4:$H$15,4,FALSE),"")</x:f>
      </x:c>
      <x:c r="S211" s="153"/>
      <x:c r="T211" s="153"/>
      <x:c r="U211" s="156" t="str">
        <x:f>IF(OR(S211="",T211=""),"",MOD(T211-S211,1)*24)</x:f>
      </x:c>
      <x:c r="V211" s="154"/>
      <x:c r="W211" s="154"/>
      <x:c r="X211" s="151" t="str">
        <x:f>IFERROR(VLOOKUP(N211,'Configuracion'!$D$4:$H$15,5,FALSE),"")</x:f>
      </x:c>
      <x:c r="Y211" s="151" t="str">
        <x:f>IFERROR(VLOOKUP(V211,'Cuadrillas'!$A$5:$J$14,2,FALSE),"")</x:f>
      </x:c>
      <x:c r="Z211" s="154"/>
      <x:c r="AA211" s="154"/>
      <x:c r="AB211" s="154"/>
      <x:c r="AC211" s="153"/>
      <x:c r="AD211" s="153"/>
      <x:c r="AE211" s="156" t="str">
        <x:f>IF(OR(AC211="",AD211=""),"",MOD(AD211-AC211,1)*24)</x:f>
      </x:c>
      <x:c r="AF211" s="154"/>
      <x:c r="AG211" s="156" t="str">
        <x:f>IF(AE211="","",MAX(0,AE211-IF(AF211="",0,AF211/60)))</x:f>
      </x:c>
      <x:c r="AH211" s="155"/>
      <x:c r="AI211" s="154"/>
      <x:c r="AJ211" s="154"/>
      <x:c r="AK211" s="156" t="n">
        <x:f>IFERROR(U211*W211,"")</x:f>
        <x:v>0</x:v>
      </x:c>
      <x:c r="AL211" s="156" t="n">
        <x:f>IFERROR(AE211*AI211,"")</x:f>
        <x:v>0</x:v>
      </x:c>
      <x:c r="AM211" s="157" t="str">
        <x:f>IFERROR(AH211/Q211,"")</x:f>
      </x:c>
      <x:c r="AN211" s="156" t="str">
        <x:f>IFERROR(AH211/AG211,"")</x:f>
      </x:c>
      <x:c r="AO211" s="156" t="str">
        <x:f>IFERROR(AL211/AH211,"")</x:f>
      </x:c>
      <x:c r="AP211" s="157" t="str">
        <x:f>IFERROR(AG211/AE211,"")</x:f>
      </x:c>
      <x:c r="AQ211" s="157" t="str">
        <x:f>IFERROR(AN211/(R211/'Configuracion'!$B$13),"")</x:f>
      </x:c>
      <x:c r="AR211" s="156" t="n">
        <x:f>IFERROR(AE211-U211,"")</x:f>
        <x:v>0</x:v>
      </x:c>
      <x:c r="AS211" s="154"/>
      <x:c r="AT211" s="154"/>
      <x:c r="AU211" s="154"/>
      <x:c r="AV211" s="154"/>
      <x:c r="AW211" s="152"/>
      <x:c r="AX211" s="154"/>
      <x:c r="AY211" s="154"/>
      <x:c r="AZ211" s="151"/>
      <x:c r="BA211" s="151"/>
    </x:row>
    <x:row r="212">
      <x:c r="A212" s="151" t="str">
        <x:f>IF(B212="","",TEXT(B212,"yyyymmdd")&amp;"-"&amp;TEXT(COUNTIF($B$5:B212,B212),"000"))</x:f>
      </x:c>
      <x:c r="B212" s="152"/>
      <x:c r="C212" s="153"/>
      <x:c r="D212" s="151" t="str">
        <x:f>IF(B212="","",'Configuracion'!$B$4)</x:f>
      </x:c>
      <x:c r="E212" s="154"/>
      <x:c r="F212" s="154"/>
      <x:c r="G212" s="151" t="str">
        <x:f>IFERROR(VLOOKUP(F212,'Base Sectores'!$A$5:$J$47,2,FALSE),"")</x:f>
      </x:c>
      <x:c r="H212" s="151" t="str">
        <x:f>IFERROR(VLOOKUP(F212,'Base Sectores'!$A$5:$J$47,3,FALSE),"")</x:f>
      </x:c>
      <x:c r="I212" s="151" t="str">
        <x:f>IFERROR(VLOOKUP(F212,'Base Sectores'!$A$5:$J$47,4,FALSE),"")</x:f>
      </x:c>
      <x:c r="J212" s="151" t="str">
        <x:f>IFERROR(VLOOKUP(F212,'Base Sectores'!$A$5:$J$47,5,FALSE),"")</x:f>
      </x:c>
      <x:c r="K212" s="151" t="str">
        <x:f>IFERROR(VLOOKUP(F212,'Base Sectores'!$A$5:$J$47,6,FALSE),"")</x:f>
      </x:c>
      <x:c r="L212" s="151" t="str">
        <x:f>IFERROR(VLOOKUP(F212,'Base Sectores'!$A$5:$J$47,7,FALSE),"")</x:f>
      </x:c>
      <x:c r="M212" s="151" t="str">
        <x:f>IFERROR(VLOOKUP(F212,'Base Sectores'!$A$5:$J$47,9,FALSE),"")</x:f>
      </x:c>
      <x:c r="N212" s="154"/>
      <x:c r="O212" s="151" t="str">
        <x:f>IFERROR(VLOOKUP(N212,'Configuracion'!$D$4:$H$15,2,FALSE),"")</x:f>
      </x:c>
      <x:c r="P212" s="151" t="str">
        <x:f>IFERROR(VLOOKUP(N212,'Configuracion'!$D$4:$H$15,3,FALSE),"")</x:f>
      </x:c>
      <x:c r="Q212" s="155"/>
      <x:c r="R212" s="156" t="str">
        <x:f>IFERROR(VLOOKUP(N212,'Configuracion'!$D$4:$H$15,4,FALSE),"")</x:f>
      </x:c>
      <x:c r="S212" s="153"/>
      <x:c r="T212" s="153"/>
      <x:c r="U212" s="156" t="str">
        <x:f>IF(OR(S212="",T212=""),"",MOD(T212-S212,1)*24)</x:f>
      </x:c>
      <x:c r="V212" s="154"/>
      <x:c r="W212" s="154"/>
      <x:c r="X212" s="151" t="str">
        <x:f>IFERROR(VLOOKUP(N212,'Configuracion'!$D$4:$H$15,5,FALSE),"")</x:f>
      </x:c>
      <x:c r="Y212" s="151" t="str">
        <x:f>IFERROR(VLOOKUP(V212,'Cuadrillas'!$A$5:$J$14,2,FALSE),"")</x:f>
      </x:c>
      <x:c r="Z212" s="154"/>
      <x:c r="AA212" s="154"/>
      <x:c r="AB212" s="154"/>
      <x:c r="AC212" s="153"/>
      <x:c r="AD212" s="153"/>
      <x:c r="AE212" s="156" t="str">
        <x:f>IF(OR(AC212="",AD212=""),"",MOD(AD212-AC212,1)*24)</x:f>
      </x:c>
      <x:c r="AF212" s="154"/>
      <x:c r="AG212" s="156" t="str">
        <x:f>IF(AE212="","",MAX(0,AE212-IF(AF212="",0,AF212/60)))</x:f>
      </x:c>
      <x:c r="AH212" s="155"/>
      <x:c r="AI212" s="154"/>
      <x:c r="AJ212" s="154"/>
      <x:c r="AK212" s="156" t="n">
        <x:f>IFERROR(U212*W212,"")</x:f>
        <x:v>0</x:v>
      </x:c>
      <x:c r="AL212" s="156" t="n">
        <x:f>IFERROR(AE212*AI212,"")</x:f>
        <x:v>0</x:v>
      </x:c>
      <x:c r="AM212" s="157" t="str">
        <x:f>IFERROR(AH212/Q212,"")</x:f>
      </x:c>
      <x:c r="AN212" s="156" t="str">
        <x:f>IFERROR(AH212/AG212,"")</x:f>
      </x:c>
      <x:c r="AO212" s="156" t="str">
        <x:f>IFERROR(AL212/AH212,"")</x:f>
      </x:c>
      <x:c r="AP212" s="157" t="str">
        <x:f>IFERROR(AG212/AE212,"")</x:f>
      </x:c>
      <x:c r="AQ212" s="157" t="str">
        <x:f>IFERROR(AN212/(R212/'Configuracion'!$B$13),"")</x:f>
      </x:c>
      <x:c r="AR212" s="156" t="n">
        <x:f>IFERROR(AE212-U212,"")</x:f>
        <x:v>0</x:v>
      </x:c>
      <x:c r="AS212" s="154"/>
      <x:c r="AT212" s="154"/>
      <x:c r="AU212" s="154"/>
      <x:c r="AV212" s="154"/>
      <x:c r="AW212" s="152"/>
      <x:c r="AX212" s="154"/>
      <x:c r="AY212" s="154"/>
      <x:c r="AZ212" s="151"/>
      <x:c r="BA212" s="151"/>
    </x:row>
    <x:row r="213">
      <x:c r="A213" s="151" t="str">
        <x:f>IF(B213="","",TEXT(B213,"yyyymmdd")&amp;"-"&amp;TEXT(COUNTIF($B$5:B213,B213),"000"))</x:f>
      </x:c>
      <x:c r="B213" s="152"/>
      <x:c r="C213" s="153"/>
      <x:c r="D213" s="151" t="str">
        <x:f>IF(B213="","",'Configuracion'!$B$4)</x:f>
      </x:c>
      <x:c r="E213" s="154"/>
      <x:c r="F213" s="154"/>
      <x:c r="G213" s="151" t="str">
        <x:f>IFERROR(VLOOKUP(F213,'Base Sectores'!$A$5:$J$47,2,FALSE),"")</x:f>
      </x:c>
      <x:c r="H213" s="151" t="str">
        <x:f>IFERROR(VLOOKUP(F213,'Base Sectores'!$A$5:$J$47,3,FALSE),"")</x:f>
      </x:c>
      <x:c r="I213" s="151" t="str">
        <x:f>IFERROR(VLOOKUP(F213,'Base Sectores'!$A$5:$J$47,4,FALSE),"")</x:f>
      </x:c>
      <x:c r="J213" s="151" t="str">
        <x:f>IFERROR(VLOOKUP(F213,'Base Sectores'!$A$5:$J$47,5,FALSE),"")</x:f>
      </x:c>
      <x:c r="K213" s="151" t="str">
        <x:f>IFERROR(VLOOKUP(F213,'Base Sectores'!$A$5:$J$47,6,FALSE),"")</x:f>
      </x:c>
      <x:c r="L213" s="151" t="str">
        <x:f>IFERROR(VLOOKUP(F213,'Base Sectores'!$A$5:$J$47,7,FALSE),"")</x:f>
      </x:c>
      <x:c r="M213" s="151" t="str">
        <x:f>IFERROR(VLOOKUP(F213,'Base Sectores'!$A$5:$J$47,9,FALSE),"")</x:f>
      </x:c>
      <x:c r="N213" s="154"/>
      <x:c r="O213" s="151" t="str">
        <x:f>IFERROR(VLOOKUP(N213,'Configuracion'!$D$4:$H$15,2,FALSE),"")</x:f>
      </x:c>
      <x:c r="P213" s="151" t="str">
        <x:f>IFERROR(VLOOKUP(N213,'Configuracion'!$D$4:$H$15,3,FALSE),"")</x:f>
      </x:c>
      <x:c r="Q213" s="155"/>
      <x:c r="R213" s="156" t="str">
        <x:f>IFERROR(VLOOKUP(N213,'Configuracion'!$D$4:$H$15,4,FALSE),"")</x:f>
      </x:c>
      <x:c r="S213" s="153"/>
      <x:c r="T213" s="153"/>
      <x:c r="U213" s="156" t="str">
        <x:f>IF(OR(S213="",T213=""),"",MOD(T213-S213,1)*24)</x:f>
      </x:c>
      <x:c r="V213" s="154"/>
      <x:c r="W213" s="154"/>
      <x:c r="X213" s="151" t="str">
        <x:f>IFERROR(VLOOKUP(N213,'Configuracion'!$D$4:$H$15,5,FALSE),"")</x:f>
      </x:c>
      <x:c r="Y213" s="151" t="str">
        <x:f>IFERROR(VLOOKUP(V213,'Cuadrillas'!$A$5:$J$14,2,FALSE),"")</x:f>
      </x:c>
      <x:c r="Z213" s="154"/>
      <x:c r="AA213" s="154"/>
      <x:c r="AB213" s="154"/>
      <x:c r="AC213" s="153"/>
      <x:c r="AD213" s="153"/>
      <x:c r="AE213" s="156" t="str">
        <x:f>IF(OR(AC213="",AD213=""),"",MOD(AD213-AC213,1)*24)</x:f>
      </x:c>
      <x:c r="AF213" s="154"/>
      <x:c r="AG213" s="156" t="str">
        <x:f>IF(AE213="","",MAX(0,AE213-IF(AF213="",0,AF213/60)))</x:f>
      </x:c>
      <x:c r="AH213" s="155"/>
      <x:c r="AI213" s="154"/>
      <x:c r="AJ213" s="154"/>
      <x:c r="AK213" s="156" t="n">
        <x:f>IFERROR(U213*W213,"")</x:f>
        <x:v>0</x:v>
      </x:c>
      <x:c r="AL213" s="156" t="n">
        <x:f>IFERROR(AE213*AI213,"")</x:f>
        <x:v>0</x:v>
      </x:c>
      <x:c r="AM213" s="157" t="str">
        <x:f>IFERROR(AH213/Q213,"")</x:f>
      </x:c>
      <x:c r="AN213" s="156" t="str">
        <x:f>IFERROR(AH213/AG213,"")</x:f>
      </x:c>
      <x:c r="AO213" s="156" t="str">
        <x:f>IFERROR(AL213/AH213,"")</x:f>
      </x:c>
      <x:c r="AP213" s="157" t="str">
        <x:f>IFERROR(AG213/AE213,"")</x:f>
      </x:c>
      <x:c r="AQ213" s="157" t="str">
        <x:f>IFERROR(AN213/(R213/'Configuracion'!$B$13),"")</x:f>
      </x:c>
      <x:c r="AR213" s="156" t="n">
        <x:f>IFERROR(AE213-U213,"")</x:f>
        <x:v>0</x:v>
      </x:c>
      <x:c r="AS213" s="154"/>
      <x:c r="AT213" s="154"/>
      <x:c r="AU213" s="154"/>
      <x:c r="AV213" s="154"/>
      <x:c r="AW213" s="152"/>
      <x:c r="AX213" s="154"/>
      <x:c r="AY213" s="154"/>
      <x:c r="AZ213" s="151"/>
      <x:c r="BA213" s="151"/>
    </x:row>
    <x:row r="214">
      <x:c r="A214" s="151" t="str">
        <x:f>IF(B214="","",TEXT(B214,"yyyymmdd")&amp;"-"&amp;TEXT(COUNTIF($B$5:B214,B214),"000"))</x:f>
      </x:c>
      <x:c r="B214" s="152"/>
      <x:c r="C214" s="153"/>
      <x:c r="D214" s="151" t="str">
        <x:f>IF(B214="","",'Configuracion'!$B$4)</x:f>
      </x:c>
      <x:c r="E214" s="154"/>
      <x:c r="F214" s="154"/>
      <x:c r="G214" s="151" t="str">
        <x:f>IFERROR(VLOOKUP(F214,'Base Sectores'!$A$5:$J$47,2,FALSE),"")</x:f>
      </x:c>
      <x:c r="H214" s="151" t="str">
        <x:f>IFERROR(VLOOKUP(F214,'Base Sectores'!$A$5:$J$47,3,FALSE),"")</x:f>
      </x:c>
      <x:c r="I214" s="151" t="str">
        <x:f>IFERROR(VLOOKUP(F214,'Base Sectores'!$A$5:$J$47,4,FALSE),"")</x:f>
      </x:c>
      <x:c r="J214" s="151" t="str">
        <x:f>IFERROR(VLOOKUP(F214,'Base Sectores'!$A$5:$J$47,5,FALSE),"")</x:f>
      </x:c>
      <x:c r="K214" s="151" t="str">
        <x:f>IFERROR(VLOOKUP(F214,'Base Sectores'!$A$5:$J$47,6,FALSE),"")</x:f>
      </x:c>
      <x:c r="L214" s="151" t="str">
        <x:f>IFERROR(VLOOKUP(F214,'Base Sectores'!$A$5:$J$47,7,FALSE),"")</x:f>
      </x:c>
      <x:c r="M214" s="151" t="str">
        <x:f>IFERROR(VLOOKUP(F214,'Base Sectores'!$A$5:$J$47,9,FALSE),"")</x:f>
      </x:c>
      <x:c r="N214" s="154"/>
      <x:c r="O214" s="151" t="str">
        <x:f>IFERROR(VLOOKUP(N214,'Configuracion'!$D$4:$H$15,2,FALSE),"")</x:f>
      </x:c>
      <x:c r="P214" s="151" t="str">
        <x:f>IFERROR(VLOOKUP(N214,'Configuracion'!$D$4:$H$15,3,FALSE),"")</x:f>
      </x:c>
      <x:c r="Q214" s="155"/>
      <x:c r="R214" s="156" t="str">
        <x:f>IFERROR(VLOOKUP(N214,'Configuracion'!$D$4:$H$15,4,FALSE),"")</x:f>
      </x:c>
      <x:c r="S214" s="153"/>
      <x:c r="T214" s="153"/>
      <x:c r="U214" s="156" t="str">
        <x:f>IF(OR(S214="",T214=""),"",MOD(T214-S214,1)*24)</x:f>
      </x:c>
      <x:c r="V214" s="154"/>
      <x:c r="W214" s="154"/>
      <x:c r="X214" s="151" t="str">
        <x:f>IFERROR(VLOOKUP(N214,'Configuracion'!$D$4:$H$15,5,FALSE),"")</x:f>
      </x:c>
      <x:c r="Y214" s="151" t="str">
        <x:f>IFERROR(VLOOKUP(V214,'Cuadrillas'!$A$5:$J$14,2,FALSE),"")</x:f>
      </x:c>
      <x:c r="Z214" s="154"/>
      <x:c r="AA214" s="154"/>
      <x:c r="AB214" s="154"/>
      <x:c r="AC214" s="153"/>
      <x:c r="AD214" s="153"/>
      <x:c r="AE214" s="156" t="str">
        <x:f>IF(OR(AC214="",AD214=""),"",MOD(AD214-AC214,1)*24)</x:f>
      </x:c>
      <x:c r="AF214" s="154"/>
      <x:c r="AG214" s="156" t="str">
        <x:f>IF(AE214="","",MAX(0,AE214-IF(AF214="",0,AF214/60)))</x:f>
      </x:c>
      <x:c r="AH214" s="155"/>
      <x:c r="AI214" s="154"/>
      <x:c r="AJ214" s="154"/>
      <x:c r="AK214" s="156" t="n">
        <x:f>IFERROR(U214*W214,"")</x:f>
        <x:v>0</x:v>
      </x:c>
      <x:c r="AL214" s="156" t="n">
        <x:f>IFERROR(AE214*AI214,"")</x:f>
        <x:v>0</x:v>
      </x:c>
      <x:c r="AM214" s="157" t="str">
        <x:f>IFERROR(AH214/Q214,"")</x:f>
      </x:c>
      <x:c r="AN214" s="156" t="str">
        <x:f>IFERROR(AH214/AG214,"")</x:f>
      </x:c>
      <x:c r="AO214" s="156" t="str">
        <x:f>IFERROR(AL214/AH214,"")</x:f>
      </x:c>
      <x:c r="AP214" s="157" t="str">
        <x:f>IFERROR(AG214/AE214,"")</x:f>
      </x:c>
      <x:c r="AQ214" s="157" t="str">
        <x:f>IFERROR(AN214/(R214/'Configuracion'!$B$13),"")</x:f>
      </x:c>
      <x:c r="AR214" s="156" t="n">
        <x:f>IFERROR(AE214-U214,"")</x:f>
        <x:v>0</x:v>
      </x:c>
      <x:c r="AS214" s="154"/>
      <x:c r="AT214" s="154"/>
      <x:c r="AU214" s="154"/>
      <x:c r="AV214" s="154"/>
      <x:c r="AW214" s="152"/>
      <x:c r="AX214" s="154"/>
      <x:c r="AY214" s="154"/>
      <x:c r="AZ214" s="151"/>
      <x:c r="BA214" s="151"/>
    </x:row>
    <x:row r="215">
      <x:c r="A215" s="151" t="str">
        <x:f>IF(B215="","",TEXT(B215,"yyyymmdd")&amp;"-"&amp;TEXT(COUNTIF($B$5:B215,B215),"000"))</x:f>
      </x:c>
      <x:c r="B215" s="152"/>
      <x:c r="C215" s="153"/>
      <x:c r="D215" s="151" t="str">
        <x:f>IF(B215="","",'Configuracion'!$B$4)</x:f>
      </x:c>
      <x:c r="E215" s="154"/>
      <x:c r="F215" s="154"/>
      <x:c r="G215" s="151" t="str">
        <x:f>IFERROR(VLOOKUP(F215,'Base Sectores'!$A$5:$J$47,2,FALSE),"")</x:f>
      </x:c>
      <x:c r="H215" s="151" t="str">
        <x:f>IFERROR(VLOOKUP(F215,'Base Sectores'!$A$5:$J$47,3,FALSE),"")</x:f>
      </x:c>
      <x:c r="I215" s="151" t="str">
        <x:f>IFERROR(VLOOKUP(F215,'Base Sectores'!$A$5:$J$47,4,FALSE),"")</x:f>
      </x:c>
      <x:c r="J215" s="151" t="str">
        <x:f>IFERROR(VLOOKUP(F215,'Base Sectores'!$A$5:$J$47,5,FALSE),"")</x:f>
      </x:c>
      <x:c r="K215" s="151" t="str">
        <x:f>IFERROR(VLOOKUP(F215,'Base Sectores'!$A$5:$J$47,6,FALSE),"")</x:f>
      </x:c>
      <x:c r="L215" s="151" t="str">
        <x:f>IFERROR(VLOOKUP(F215,'Base Sectores'!$A$5:$J$47,7,FALSE),"")</x:f>
      </x:c>
      <x:c r="M215" s="151" t="str">
        <x:f>IFERROR(VLOOKUP(F215,'Base Sectores'!$A$5:$J$47,9,FALSE),"")</x:f>
      </x:c>
      <x:c r="N215" s="154"/>
      <x:c r="O215" s="151" t="str">
        <x:f>IFERROR(VLOOKUP(N215,'Configuracion'!$D$4:$H$15,2,FALSE),"")</x:f>
      </x:c>
      <x:c r="P215" s="151" t="str">
        <x:f>IFERROR(VLOOKUP(N215,'Configuracion'!$D$4:$H$15,3,FALSE),"")</x:f>
      </x:c>
      <x:c r="Q215" s="155"/>
      <x:c r="R215" s="156" t="str">
        <x:f>IFERROR(VLOOKUP(N215,'Configuracion'!$D$4:$H$15,4,FALSE),"")</x:f>
      </x:c>
      <x:c r="S215" s="153"/>
      <x:c r="T215" s="153"/>
      <x:c r="U215" s="156" t="str">
        <x:f>IF(OR(S215="",T215=""),"",MOD(T215-S215,1)*24)</x:f>
      </x:c>
      <x:c r="V215" s="154"/>
      <x:c r="W215" s="154"/>
      <x:c r="X215" s="151" t="str">
        <x:f>IFERROR(VLOOKUP(N215,'Configuracion'!$D$4:$H$15,5,FALSE),"")</x:f>
      </x:c>
      <x:c r="Y215" s="151" t="str">
        <x:f>IFERROR(VLOOKUP(V215,'Cuadrillas'!$A$5:$J$14,2,FALSE),"")</x:f>
      </x:c>
      <x:c r="Z215" s="154"/>
      <x:c r="AA215" s="154"/>
      <x:c r="AB215" s="154"/>
      <x:c r="AC215" s="153"/>
      <x:c r="AD215" s="153"/>
      <x:c r="AE215" s="156" t="str">
        <x:f>IF(OR(AC215="",AD215=""),"",MOD(AD215-AC215,1)*24)</x:f>
      </x:c>
      <x:c r="AF215" s="154"/>
      <x:c r="AG215" s="156" t="str">
        <x:f>IF(AE215="","",MAX(0,AE215-IF(AF215="",0,AF215/60)))</x:f>
      </x:c>
      <x:c r="AH215" s="155"/>
      <x:c r="AI215" s="154"/>
      <x:c r="AJ215" s="154"/>
      <x:c r="AK215" s="156" t="n">
        <x:f>IFERROR(U215*W215,"")</x:f>
        <x:v>0</x:v>
      </x:c>
      <x:c r="AL215" s="156" t="n">
        <x:f>IFERROR(AE215*AI215,"")</x:f>
        <x:v>0</x:v>
      </x:c>
      <x:c r="AM215" s="157" t="str">
        <x:f>IFERROR(AH215/Q215,"")</x:f>
      </x:c>
      <x:c r="AN215" s="156" t="str">
        <x:f>IFERROR(AH215/AG215,"")</x:f>
      </x:c>
      <x:c r="AO215" s="156" t="str">
        <x:f>IFERROR(AL215/AH215,"")</x:f>
      </x:c>
      <x:c r="AP215" s="157" t="str">
        <x:f>IFERROR(AG215/AE215,"")</x:f>
      </x:c>
      <x:c r="AQ215" s="157" t="str">
        <x:f>IFERROR(AN215/(R215/'Configuracion'!$B$13),"")</x:f>
      </x:c>
      <x:c r="AR215" s="156" t="n">
        <x:f>IFERROR(AE215-U215,"")</x:f>
        <x:v>0</x:v>
      </x:c>
      <x:c r="AS215" s="154"/>
      <x:c r="AT215" s="154"/>
      <x:c r="AU215" s="154"/>
      <x:c r="AV215" s="154"/>
      <x:c r="AW215" s="152"/>
      <x:c r="AX215" s="154"/>
      <x:c r="AY215" s="154"/>
      <x:c r="AZ215" s="151"/>
      <x:c r="BA215" s="151"/>
    </x:row>
    <x:row r="216">
      <x:c r="A216" s="151" t="str">
        <x:f>IF(B216="","",TEXT(B216,"yyyymmdd")&amp;"-"&amp;TEXT(COUNTIF($B$5:B216,B216),"000"))</x:f>
      </x:c>
      <x:c r="B216" s="152"/>
      <x:c r="C216" s="153"/>
      <x:c r="D216" s="151" t="str">
        <x:f>IF(B216="","",'Configuracion'!$B$4)</x:f>
      </x:c>
      <x:c r="E216" s="154"/>
      <x:c r="F216" s="154"/>
      <x:c r="G216" s="151" t="str">
        <x:f>IFERROR(VLOOKUP(F216,'Base Sectores'!$A$5:$J$47,2,FALSE),"")</x:f>
      </x:c>
      <x:c r="H216" s="151" t="str">
        <x:f>IFERROR(VLOOKUP(F216,'Base Sectores'!$A$5:$J$47,3,FALSE),"")</x:f>
      </x:c>
      <x:c r="I216" s="151" t="str">
        <x:f>IFERROR(VLOOKUP(F216,'Base Sectores'!$A$5:$J$47,4,FALSE),"")</x:f>
      </x:c>
      <x:c r="J216" s="151" t="str">
        <x:f>IFERROR(VLOOKUP(F216,'Base Sectores'!$A$5:$J$47,5,FALSE),"")</x:f>
      </x:c>
      <x:c r="K216" s="151" t="str">
        <x:f>IFERROR(VLOOKUP(F216,'Base Sectores'!$A$5:$J$47,6,FALSE),"")</x:f>
      </x:c>
      <x:c r="L216" s="151" t="str">
        <x:f>IFERROR(VLOOKUP(F216,'Base Sectores'!$A$5:$J$47,7,FALSE),"")</x:f>
      </x:c>
      <x:c r="M216" s="151" t="str">
        <x:f>IFERROR(VLOOKUP(F216,'Base Sectores'!$A$5:$J$47,9,FALSE),"")</x:f>
      </x:c>
      <x:c r="N216" s="154"/>
      <x:c r="O216" s="151" t="str">
        <x:f>IFERROR(VLOOKUP(N216,'Configuracion'!$D$4:$H$15,2,FALSE),"")</x:f>
      </x:c>
      <x:c r="P216" s="151" t="str">
        <x:f>IFERROR(VLOOKUP(N216,'Configuracion'!$D$4:$H$15,3,FALSE),"")</x:f>
      </x:c>
      <x:c r="Q216" s="155"/>
      <x:c r="R216" s="156" t="str">
        <x:f>IFERROR(VLOOKUP(N216,'Configuracion'!$D$4:$H$15,4,FALSE),"")</x:f>
      </x:c>
      <x:c r="S216" s="153"/>
      <x:c r="T216" s="153"/>
      <x:c r="U216" s="156" t="str">
        <x:f>IF(OR(S216="",T216=""),"",MOD(T216-S216,1)*24)</x:f>
      </x:c>
      <x:c r="V216" s="154"/>
      <x:c r="W216" s="154"/>
      <x:c r="X216" s="151" t="str">
        <x:f>IFERROR(VLOOKUP(N216,'Configuracion'!$D$4:$H$15,5,FALSE),"")</x:f>
      </x:c>
      <x:c r="Y216" s="151" t="str">
        <x:f>IFERROR(VLOOKUP(V216,'Cuadrillas'!$A$5:$J$14,2,FALSE),"")</x:f>
      </x:c>
      <x:c r="Z216" s="154"/>
      <x:c r="AA216" s="154"/>
      <x:c r="AB216" s="154"/>
      <x:c r="AC216" s="153"/>
      <x:c r="AD216" s="153"/>
      <x:c r="AE216" s="156" t="str">
        <x:f>IF(OR(AC216="",AD216=""),"",MOD(AD216-AC216,1)*24)</x:f>
      </x:c>
      <x:c r="AF216" s="154"/>
      <x:c r="AG216" s="156" t="str">
        <x:f>IF(AE216="","",MAX(0,AE216-IF(AF216="",0,AF216/60)))</x:f>
      </x:c>
      <x:c r="AH216" s="155"/>
      <x:c r="AI216" s="154"/>
      <x:c r="AJ216" s="154"/>
      <x:c r="AK216" s="156" t="n">
        <x:f>IFERROR(U216*W216,"")</x:f>
        <x:v>0</x:v>
      </x:c>
      <x:c r="AL216" s="156" t="n">
        <x:f>IFERROR(AE216*AI216,"")</x:f>
        <x:v>0</x:v>
      </x:c>
      <x:c r="AM216" s="157" t="str">
        <x:f>IFERROR(AH216/Q216,"")</x:f>
      </x:c>
      <x:c r="AN216" s="156" t="str">
        <x:f>IFERROR(AH216/AG216,"")</x:f>
      </x:c>
      <x:c r="AO216" s="156" t="str">
        <x:f>IFERROR(AL216/AH216,"")</x:f>
      </x:c>
      <x:c r="AP216" s="157" t="str">
        <x:f>IFERROR(AG216/AE216,"")</x:f>
      </x:c>
      <x:c r="AQ216" s="157" t="str">
        <x:f>IFERROR(AN216/(R216/'Configuracion'!$B$13),"")</x:f>
      </x:c>
      <x:c r="AR216" s="156" t="n">
        <x:f>IFERROR(AE216-U216,"")</x:f>
        <x:v>0</x:v>
      </x:c>
      <x:c r="AS216" s="154"/>
      <x:c r="AT216" s="154"/>
      <x:c r="AU216" s="154"/>
      <x:c r="AV216" s="154"/>
      <x:c r="AW216" s="152"/>
      <x:c r="AX216" s="154"/>
      <x:c r="AY216" s="154"/>
      <x:c r="AZ216" s="151"/>
      <x:c r="BA216" s="151"/>
    </x:row>
    <x:row r="217">
      <x:c r="A217" s="151" t="str">
        <x:f>IF(B217="","",TEXT(B217,"yyyymmdd")&amp;"-"&amp;TEXT(COUNTIF($B$5:B217,B217),"000"))</x:f>
      </x:c>
      <x:c r="B217" s="152"/>
      <x:c r="C217" s="153"/>
      <x:c r="D217" s="151" t="str">
        <x:f>IF(B217="","",'Configuracion'!$B$4)</x:f>
      </x:c>
      <x:c r="E217" s="154"/>
      <x:c r="F217" s="154"/>
      <x:c r="G217" s="151" t="str">
        <x:f>IFERROR(VLOOKUP(F217,'Base Sectores'!$A$5:$J$47,2,FALSE),"")</x:f>
      </x:c>
      <x:c r="H217" s="151" t="str">
        <x:f>IFERROR(VLOOKUP(F217,'Base Sectores'!$A$5:$J$47,3,FALSE),"")</x:f>
      </x:c>
      <x:c r="I217" s="151" t="str">
        <x:f>IFERROR(VLOOKUP(F217,'Base Sectores'!$A$5:$J$47,4,FALSE),"")</x:f>
      </x:c>
      <x:c r="J217" s="151" t="str">
        <x:f>IFERROR(VLOOKUP(F217,'Base Sectores'!$A$5:$J$47,5,FALSE),"")</x:f>
      </x:c>
      <x:c r="K217" s="151" t="str">
        <x:f>IFERROR(VLOOKUP(F217,'Base Sectores'!$A$5:$J$47,6,FALSE),"")</x:f>
      </x:c>
      <x:c r="L217" s="151" t="str">
        <x:f>IFERROR(VLOOKUP(F217,'Base Sectores'!$A$5:$J$47,7,FALSE),"")</x:f>
      </x:c>
      <x:c r="M217" s="151" t="str">
        <x:f>IFERROR(VLOOKUP(F217,'Base Sectores'!$A$5:$J$47,9,FALSE),"")</x:f>
      </x:c>
      <x:c r="N217" s="154"/>
      <x:c r="O217" s="151" t="str">
        <x:f>IFERROR(VLOOKUP(N217,'Configuracion'!$D$4:$H$15,2,FALSE),"")</x:f>
      </x:c>
      <x:c r="P217" s="151" t="str">
        <x:f>IFERROR(VLOOKUP(N217,'Configuracion'!$D$4:$H$15,3,FALSE),"")</x:f>
      </x:c>
      <x:c r="Q217" s="155"/>
      <x:c r="R217" s="156" t="str">
        <x:f>IFERROR(VLOOKUP(N217,'Configuracion'!$D$4:$H$15,4,FALSE),"")</x:f>
      </x:c>
      <x:c r="S217" s="153"/>
      <x:c r="T217" s="153"/>
      <x:c r="U217" s="156" t="str">
        <x:f>IF(OR(S217="",T217=""),"",MOD(T217-S217,1)*24)</x:f>
      </x:c>
      <x:c r="V217" s="154"/>
      <x:c r="W217" s="154"/>
      <x:c r="X217" s="151" t="str">
        <x:f>IFERROR(VLOOKUP(N217,'Configuracion'!$D$4:$H$15,5,FALSE),"")</x:f>
      </x:c>
      <x:c r="Y217" s="151" t="str">
        <x:f>IFERROR(VLOOKUP(V217,'Cuadrillas'!$A$5:$J$14,2,FALSE),"")</x:f>
      </x:c>
      <x:c r="Z217" s="154"/>
      <x:c r="AA217" s="154"/>
      <x:c r="AB217" s="154"/>
      <x:c r="AC217" s="153"/>
      <x:c r="AD217" s="153"/>
      <x:c r="AE217" s="156" t="str">
        <x:f>IF(OR(AC217="",AD217=""),"",MOD(AD217-AC217,1)*24)</x:f>
      </x:c>
      <x:c r="AF217" s="154"/>
      <x:c r="AG217" s="156" t="str">
        <x:f>IF(AE217="","",MAX(0,AE217-IF(AF217="",0,AF217/60)))</x:f>
      </x:c>
      <x:c r="AH217" s="155"/>
      <x:c r="AI217" s="154"/>
      <x:c r="AJ217" s="154"/>
      <x:c r="AK217" s="156" t="n">
        <x:f>IFERROR(U217*W217,"")</x:f>
        <x:v>0</x:v>
      </x:c>
      <x:c r="AL217" s="156" t="n">
        <x:f>IFERROR(AE217*AI217,"")</x:f>
        <x:v>0</x:v>
      </x:c>
      <x:c r="AM217" s="157" t="str">
        <x:f>IFERROR(AH217/Q217,"")</x:f>
      </x:c>
      <x:c r="AN217" s="156" t="str">
        <x:f>IFERROR(AH217/AG217,"")</x:f>
      </x:c>
      <x:c r="AO217" s="156" t="str">
        <x:f>IFERROR(AL217/AH217,"")</x:f>
      </x:c>
      <x:c r="AP217" s="157" t="str">
        <x:f>IFERROR(AG217/AE217,"")</x:f>
      </x:c>
      <x:c r="AQ217" s="157" t="str">
        <x:f>IFERROR(AN217/(R217/'Configuracion'!$B$13),"")</x:f>
      </x:c>
      <x:c r="AR217" s="156" t="n">
        <x:f>IFERROR(AE217-U217,"")</x:f>
        <x:v>0</x:v>
      </x:c>
      <x:c r="AS217" s="154"/>
      <x:c r="AT217" s="154"/>
      <x:c r="AU217" s="154"/>
      <x:c r="AV217" s="154"/>
      <x:c r="AW217" s="152"/>
      <x:c r="AX217" s="154"/>
      <x:c r="AY217" s="154"/>
      <x:c r="AZ217" s="151"/>
      <x:c r="BA217" s="151"/>
    </x:row>
    <x:row r="218">
      <x:c r="A218" s="151" t="str">
        <x:f>IF(B218="","",TEXT(B218,"yyyymmdd")&amp;"-"&amp;TEXT(COUNTIF($B$5:B218,B218),"000"))</x:f>
      </x:c>
      <x:c r="B218" s="152"/>
      <x:c r="C218" s="153"/>
      <x:c r="D218" s="151" t="str">
        <x:f>IF(B218="","",'Configuracion'!$B$4)</x:f>
      </x:c>
      <x:c r="E218" s="154"/>
      <x:c r="F218" s="154"/>
      <x:c r="G218" s="151" t="str">
        <x:f>IFERROR(VLOOKUP(F218,'Base Sectores'!$A$5:$J$47,2,FALSE),"")</x:f>
      </x:c>
      <x:c r="H218" s="151" t="str">
        <x:f>IFERROR(VLOOKUP(F218,'Base Sectores'!$A$5:$J$47,3,FALSE),"")</x:f>
      </x:c>
      <x:c r="I218" s="151" t="str">
        <x:f>IFERROR(VLOOKUP(F218,'Base Sectores'!$A$5:$J$47,4,FALSE),"")</x:f>
      </x:c>
      <x:c r="J218" s="151" t="str">
        <x:f>IFERROR(VLOOKUP(F218,'Base Sectores'!$A$5:$J$47,5,FALSE),"")</x:f>
      </x:c>
      <x:c r="K218" s="151" t="str">
        <x:f>IFERROR(VLOOKUP(F218,'Base Sectores'!$A$5:$J$47,6,FALSE),"")</x:f>
      </x:c>
      <x:c r="L218" s="151" t="str">
        <x:f>IFERROR(VLOOKUP(F218,'Base Sectores'!$A$5:$J$47,7,FALSE),"")</x:f>
      </x:c>
      <x:c r="M218" s="151" t="str">
        <x:f>IFERROR(VLOOKUP(F218,'Base Sectores'!$A$5:$J$47,9,FALSE),"")</x:f>
      </x:c>
      <x:c r="N218" s="154"/>
      <x:c r="O218" s="151" t="str">
        <x:f>IFERROR(VLOOKUP(N218,'Configuracion'!$D$4:$H$15,2,FALSE),"")</x:f>
      </x:c>
      <x:c r="P218" s="151" t="str">
        <x:f>IFERROR(VLOOKUP(N218,'Configuracion'!$D$4:$H$15,3,FALSE),"")</x:f>
      </x:c>
      <x:c r="Q218" s="155"/>
      <x:c r="R218" s="156" t="str">
        <x:f>IFERROR(VLOOKUP(N218,'Configuracion'!$D$4:$H$15,4,FALSE),"")</x:f>
      </x:c>
      <x:c r="S218" s="153"/>
      <x:c r="T218" s="153"/>
      <x:c r="U218" s="156" t="str">
        <x:f>IF(OR(S218="",T218=""),"",MOD(T218-S218,1)*24)</x:f>
      </x:c>
      <x:c r="V218" s="154"/>
      <x:c r="W218" s="154"/>
      <x:c r="X218" s="151" t="str">
        <x:f>IFERROR(VLOOKUP(N218,'Configuracion'!$D$4:$H$15,5,FALSE),"")</x:f>
      </x:c>
      <x:c r="Y218" s="151" t="str">
        <x:f>IFERROR(VLOOKUP(V218,'Cuadrillas'!$A$5:$J$14,2,FALSE),"")</x:f>
      </x:c>
      <x:c r="Z218" s="154"/>
      <x:c r="AA218" s="154"/>
      <x:c r="AB218" s="154"/>
      <x:c r="AC218" s="153"/>
      <x:c r="AD218" s="153"/>
      <x:c r="AE218" s="156" t="str">
        <x:f>IF(OR(AC218="",AD218=""),"",MOD(AD218-AC218,1)*24)</x:f>
      </x:c>
      <x:c r="AF218" s="154"/>
      <x:c r="AG218" s="156" t="str">
        <x:f>IF(AE218="","",MAX(0,AE218-IF(AF218="",0,AF218/60)))</x:f>
      </x:c>
      <x:c r="AH218" s="155"/>
      <x:c r="AI218" s="154"/>
      <x:c r="AJ218" s="154"/>
      <x:c r="AK218" s="156" t="n">
        <x:f>IFERROR(U218*W218,"")</x:f>
        <x:v>0</x:v>
      </x:c>
      <x:c r="AL218" s="156" t="n">
        <x:f>IFERROR(AE218*AI218,"")</x:f>
        <x:v>0</x:v>
      </x:c>
      <x:c r="AM218" s="157" t="str">
        <x:f>IFERROR(AH218/Q218,"")</x:f>
      </x:c>
      <x:c r="AN218" s="156" t="str">
        <x:f>IFERROR(AH218/AG218,"")</x:f>
      </x:c>
      <x:c r="AO218" s="156" t="str">
        <x:f>IFERROR(AL218/AH218,"")</x:f>
      </x:c>
      <x:c r="AP218" s="157" t="str">
        <x:f>IFERROR(AG218/AE218,"")</x:f>
      </x:c>
      <x:c r="AQ218" s="157" t="str">
        <x:f>IFERROR(AN218/(R218/'Configuracion'!$B$13),"")</x:f>
      </x:c>
      <x:c r="AR218" s="156" t="n">
        <x:f>IFERROR(AE218-U218,"")</x:f>
        <x:v>0</x:v>
      </x:c>
      <x:c r="AS218" s="154"/>
      <x:c r="AT218" s="154"/>
      <x:c r="AU218" s="154"/>
      <x:c r="AV218" s="154"/>
      <x:c r="AW218" s="152"/>
      <x:c r="AX218" s="154"/>
      <x:c r="AY218" s="154"/>
      <x:c r="AZ218" s="151"/>
      <x:c r="BA218" s="151"/>
    </x:row>
    <x:row r="219">
      <x:c r="A219" s="151" t="str">
        <x:f>IF(B219="","",TEXT(B219,"yyyymmdd")&amp;"-"&amp;TEXT(COUNTIF($B$5:B219,B219),"000"))</x:f>
      </x:c>
      <x:c r="B219" s="152"/>
      <x:c r="C219" s="153"/>
      <x:c r="D219" s="151" t="str">
        <x:f>IF(B219="","",'Configuracion'!$B$4)</x:f>
      </x:c>
      <x:c r="E219" s="154"/>
      <x:c r="F219" s="154"/>
      <x:c r="G219" s="151" t="str">
        <x:f>IFERROR(VLOOKUP(F219,'Base Sectores'!$A$5:$J$47,2,FALSE),"")</x:f>
      </x:c>
      <x:c r="H219" s="151" t="str">
        <x:f>IFERROR(VLOOKUP(F219,'Base Sectores'!$A$5:$J$47,3,FALSE),"")</x:f>
      </x:c>
      <x:c r="I219" s="151" t="str">
        <x:f>IFERROR(VLOOKUP(F219,'Base Sectores'!$A$5:$J$47,4,FALSE),"")</x:f>
      </x:c>
      <x:c r="J219" s="151" t="str">
        <x:f>IFERROR(VLOOKUP(F219,'Base Sectores'!$A$5:$J$47,5,FALSE),"")</x:f>
      </x:c>
      <x:c r="K219" s="151" t="str">
        <x:f>IFERROR(VLOOKUP(F219,'Base Sectores'!$A$5:$J$47,6,FALSE),"")</x:f>
      </x:c>
      <x:c r="L219" s="151" t="str">
        <x:f>IFERROR(VLOOKUP(F219,'Base Sectores'!$A$5:$J$47,7,FALSE),"")</x:f>
      </x:c>
      <x:c r="M219" s="151" t="str">
        <x:f>IFERROR(VLOOKUP(F219,'Base Sectores'!$A$5:$J$47,9,FALSE),"")</x:f>
      </x:c>
      <x:c r="N219" s="154"/>
      <x:c r="O219" s="151" t="str">
        <x:f>IFERROR(VLOOKUP(N219,'Configuracion'!$D$4:$H$15,2,FALSE),"")</x:f>
      </x:c>
      <x:c r="P219" s="151" t="str">
        <x:f>IFERROR(VLOOKUP(N219,'Configuracion'!$D$4:$H$15,3,FALSE),"")</x:f>
      </x:c>
      <x:c r="Q219" s="155"/>
      <x:c r="R219" s="156" t="str">
        <x:f>IFERROR(VLOOKUP(N219,'Configuracion'!$D$4:$H$15,4,FALSE),"")</x:f>
      </x:c>
      <x:c r="S219" s="153"/>
      <x:c r="T219" s="153"/>
      <x:c r="U219" s="156" t="str">
        <x:f>IF(OR(S219="",T219=""),"",MOD(T219-S219,1)*24)</x:f>
      </x:c>
      <x:c r="V219" s="154"/>
      <x:c r="W219" s="154"/>
      <x:c r="X219" s="151" t="str">
        <x:f>IFERROR(VLOOKUP(N219,'Configuracion'!$D$4:$H$15,5,FALSE),"")</x:f>
      </x:c>
      <x:c r="Y219" s="151" t="str">
        <x:f>IFERROR(VLOOKUP(V219,'Cuadrillas'!$A$5:$J$14,2,FALSE),"")</x:f>
      </x:c>
      <x:c r="Z219" s="154"/>
      <x:c r="AA219" s="154"/>
      <x:c r="AB219" s="154"/>
      <x:c r="AC219" s="153"/>
      <x:c r="AD219" s="153"/>
      <x:c r="AE219" s="156" t="str">
        <x:f>IF(OR(AC219="",AD219=""),"",MOD(AD219-AC219,1)*24)</x:f>
      </x:c>
      <x:c r="AF219" s="154"/>
      <x:c r="AG219" s="156" t="str">
        <x:f>IF(AE219="","",MAX(0,AE219-IF(AF219="",0,AF219/60)))</x:f>
      </x:c>
      <x:c r="AH219" s="155"/>
      <x:c r="AI219" s="154"/>
      <x:c r="AJ219" s="154"/>
      <x:c r="AK219" s="156" t="n">
        <x:f>IFERROR(U219*W219,"")</x:f>
        <x:v>0</x:v>
      </x:c>
      <x:c r="AL219" s="156" t="n">
        <x:f>IFERROR(AE219*AI219,"")</x:f>
        <x:v>0</x:v>
      </x:c>
      <x:c r="AM219" s="157" t="str">
        <x:f>IFERROR(AH219/Q219,"")</x:f>
      </x:c>
      <x:c r="AN219" s="156" t="str">
        <x:f>IFERROR(AH219/AG219,"")</x:f>
      </x:c>
      <x:c r="AO219" s="156" t="str">
        <x:f>IFERROR(AL219/AH219,"")</x:f>
      </x:c>
      <x:c r="AP219" s="157" t="str">
        <x:f>IFERROR(AG219/AE219,"")</x:f>
      </x:c>
      <x:c r="AQ219" s="157" t="str">
        <x:f>IFERROR(AN219/(R219/'Configuracion'!$B$13),"")</x:f>
      </x:c>
      <x:c r="AR219" s="156" t="n">
        <x:f>IFERROR(AE219-U219,"")</x:f>
        <x:v>0</x:v>
      </x:c>
      <x:c r="AS219" s="154"/>
      <x:c r="AT219" s="154"/>
      <x:c r="AU219" s="154"/>
      <x:c r="AV219" s="154"/>
      <x:c r="AW219" s="152"/>
      <x:c r="AX219" s="154"/>
      <x:c r="AY219" s="154"/>
      <x:c r="AZ219" s="151"/>
      <x:c r="BA219" s="151"/>
    </x:row>
    <x:row r="220">
      <x:c r="A220" s="151" t="str">
        <x:f>IF(B220="","",TEXT(B220,"yyyymmdd")&amp;"-"&amp;TEXT(COUNTIF($B$5:B220,B220),"000"))</x:f>
      </x:c>
      <x:c r="B220" s="152"/>
      <x:c r="C220" s="153"/>
      <x:c r="D220" s="151" t="str">
        <x:f>IF(B220="","",'Configuracion'!$B$4)</x:f>
      </x:c>
      <x:c r="E220" s="154"/>
      <x:c r="F220" s="154"/>
      <x:c r="G220" s="151" t="str">
        <x:f>IFERROR(VLOOKUP(F220,'Base Sectores'!$A$5:$J$47,2,FALSE),"")</x:f>
      </x:c>
      <x:c r="H220" s="151" t="str">
        <x:f>IFERROR(VLOOKUP(F220,'Base Sectores'!$A$5:$J$47,3,FALSE),"")</x:f>
      </x:c>
      <x:c r="I220" s="151" t="str">
        <x:f>IFERROR(VLOOKUP(F220,'Base Sectores'!$A$5:$J$47,4,FALSE),"")</x:f>
      </x:c>
      <x:c r="J220" s="151" t="str">
        <x:f>IFERROR(VLOOKUP(F220,'Base Sectores'!$A$5:$J$47,5,FALSE),"")</x:f>
      </x:c>
      <x:c r="K220" s="151" t="str">
        <x:f>IFERROR(VLOOKUP(F220,'Base Sectores'!$A$5:$J$47,6,FALSE),"")</x:f>
      </x:c>
      <x:c r="L220" s="151" t="str">
        <x:f>IFERROR(VLOOKUP(F220,'Base Sectores'!$A$5:$J$47,7,FALSE),"")</x:f>
      </x:c>
      <x:c r="M220" s="151" t="str">
        <x:f>IFERROR(VLOOKUP(F220,'Base Sectores'!$A$5:$J$47,9,FALSE),"")</x:f>
      </x:c>
      <x:c r="N220" s="154"/>
      <x:c r="O220" s="151" t="str">
        <x:f>IFERROR(VLOOKUP(N220,'Configuracion'!$D$4:$H$15,2,FALSE),"")</x:f>
      </x:c>
      <x:c r="P220" s="151" t="str">
        <x:f>IFERROR(VLOOKUP(N220,'Configuracion'!$D$4:$H$15,3,FALSE),"")</x:f>
      </x:c>
      <x:c r="Q220" s="155"/>
      <x:c r="R220" s="156" t="str">
        <x:f>IFERROR(VLOOKUP(N220,'Configuracion'!$D$4:$H$15,4,FALSE),"")</x:f>
      </x:c>
      <x:c r="S220" s="153"/>
      <x:c r="T220" s="153"/>
      <x:c r="U220" s="156" t="str">
        <x:f>IF(OR(S220="",T220=""),"",MOD(T220-S220,1)*24)</x:f>
      </x:c>
      <x:c r="V220" s="154"/>
      <x:c r="W220" s="154"/>
      <x:c r="X220" s="151" t="str">
        <x:f>IFERROR(VLOOKUP(N220,'Configuracion'!$D$4:$H$15,5,FALSE),"")</x:f>
      </x:c>
      <x:c r="Y220" s="151" t="str">
        <x:f>IFERROR(VLOOKUP(V220,'Cuadrillas'!$A$5:$J$14,2,FALSE),"")</x:f>
      </x:c>
      <x:c r="Z220" s="154"/>
      <x:c r="AA220" s="154"/>
      <x:c r="AB220" s="154"/>
      <x:c r="AC220" s="153"/>
      <x:c r="AD220" s="153"/>
      <x:c r="AE220" s="156" t="str">
        <x:f>IF(OR(AC220="",AD220=""),"",MOD(AD220-AC220,1)*24)</x:f>
      </x:c>
      <x:c r="AF220" s="154"/>
      <x:c r="AG220" s="156" t="str">
        <x:f>IF(AE220="","",MAX(0,AE220-IF(AF220="",0,AF220/60)))</x:f>
      </x:c>
      <x:c r="AH220" s="155"/>
      <x:c r="AI220" s="154"/>
      <x:c r="AJ220" s="154"/>
      <x:c r="AK220" s="156" t="n">
        <x:f>IFERROR(U220*W220,"")</x:f>
        <x:v>0</x:v>
      </x:c>
      <x:c r="AL220" s="156" t="n">
        <x:f>IFERROR(AE220*AI220,"")</x:f>
        <x:v>0</x:v>
      </x:c>
      <x:c r="AM220" s="157" t="str">
        <x:f>IFERROR(AH220/Q220,"")</x:f>
      </x:c>
      <x:c r="AN220" s="156" t="str">
        <x:f>IFERROR(AH220/AG220,"")</x:f>
      </x:c>
      <x:c r="AO220" s="156" t="str">
        <x:f>IFERROR(AL220/AH220,"")</x:f>
      </x:c>
      <x:c r="AP220" s="157" t="str">
        <x:f>IFERROR(AG220/AE220,"")</x:f>
      </x:c>
      <x:c r="AQ220" s="157" t="str">
        <x:f>IFERROR(AN220/(R220/'Configuracion'!$B$13),"")</x:f>
      </x:c>
      <x:c r="AR220" s="156" t="n">
        <x:f>IFERROR(AE220-U220,"")</x:f>
        <x:v>0</x:v>
      </x:c>
      <x:c r="AS220" s="154"/>
      <x:c r="AT220" s="154"/>
      <x:c r="AU220" s="154"/>
      <x:c r="AV220" s="154"/>
      <x:c r="AW220" s="152"/>
      <x:c r="AX220" s="154"/>
      <x:c r="AY220" s="154"/>
      <x:c r="AZ220" s="151"/>
      <x:c r="BA220" s="151"/>
    </x:row>
    <x:row r="221">
      <x:c r="A221" s="151" t="str">
        <x:f>IF(B221="","",TEXT(B221,"yyyymmdd")&amp;"-"&amp;TEXT(COUNTIF($B$5:B221,B221),"000"))</x:f>
      </x:c>
      <x:c r="B221" s="152"/>
      <x:c r="C221" s="153"/>
      <x:c r="D221" s="151" t="str">
        <x:f>IF(B221="","",'Configuracion'!$B$4)</x:f>
      </x:c>
      <x:c r="E221" s="154"/>
      <x:c r="F221" s="154"/>
      <x:c r="G221" s="151" t="str">
        <x:f>IFERROR(VLOOKUP(F221,'Base Sectores'!$A$5:$J$47,2,FALSE),"")</x:f>
      </x:c>
      <x:c r="H221" s="151" t="str">
        <x:f>IFERROR(VLOOKUP(F221,'Base Sectores'!$A$5:$J$47,3,FALSE),"")</x:f>
      </x:c>
      <x:c r="I221" s="151" t="str">
        <x:f>IFERROR(VLOOKUP(F221,'Base Sectores'!$A$5:$J$47,4,FALSE),"")</x:f>
      </x:c>
      <x:c r="J221" s="151" t="str">
        <x:f>IFERROR(VLOOKUP(F221,'Base Sectores'!$A$5:$J$47,5,FALSE),"")</x:f>
      </x:c>
      <x:c r="K221" s="151" t="str">
        <x:f>IFERROR(VLOOKUP(F221,'Base Sectores'!$A$5:$J$47,6,FALSE),"")</x:f>
      </x:c>
      <x:c r="L221" s="151" t="str">
        <x:f>IFERROR(VLOOKUP(F221,'Base Sectores'!$A$5:$J$47,7,FALSE),"")</x:f>
      </x:c>
      <x:c r="M221" s="151" t="str">
        <x:f>IFERROR(VLOOKUP(F221,'Base Sectores'!$A$5:$J$47,9,FALSE),"")</x:f>
      </x:c>
      <x:c r="N221" s="154"/>
      <x:c r="O221" s="151" t="str">
        <x:f>IFERROR(VLOOKUP(N221,'Configuracion'!$D$4:$H$15,2,FALSE),"")</x:f>
      </x:c>
      <x:c r="P221" s="151" t="str">
        <x:f>IFERROR(VLOOKUP(N221,'Configuracion'!$D$4:$H$15,3,FALSE),"")</x:f>
      </x:c>
      <x:c r="Q221" s="155"/>
      <x:c r="R221" s="156" t="str">
        <x:f>IFERROR(VLOOKUP(N221,'Configuracion'!$D$4:$H$15,4,FALSE),"")</x:f>
      </x:c>
      <x:c r="S221" s="153"/>
      <x:c r="T221" s="153"/>
      <x:c r="U221" s="156" t="str">
        <x:f>IF(OR(S221="",T221=""),"",MOD(T221-S221,1)*24)</x:f>
      </x:c>
      <x:c r="V221" s="154"/>
      <x:c r="W221" s="154"/>
      <x:c r="X221" s="151" t="str">
        <x:f>IFERROR(VLOOKUP(N221,'Configuracion'!$D$4:$H$15,5,FALSE),"")</x:f>
      </x:c>
      <x:c r="Y221" s="151" t="str">
        <x:f>IFERROR(VLOOKUP(V221,'Cuadrillas'!$A$5:$J$14,2,FALSE),"")</x:f>
      </x:c>
      <x:c r="Z221" s="154"/>
      <x:c r="AA221" s="154"/>
      <x:c r="AB221" s="154"/>
      <x:c r="AC221" s="153"/>
      <x:c r="AD221" s="153"/>
      <x:c r="AE221" s="156" t="str">
        <x:f>IF(OR(AC221="",AD221=""),"",MOD(AD221-AC221,1)*24)</x:f>
      </x:c>
      <x:c r="AF221" s="154"/>
      <x:c r="AG221" s="156" t="str">
        <x:f>IF(AE221="","",MAX(0,AE221-IF(AF221="",0,AF221/60)))</x:f>
      </x:c>
      <x:c r="AH221" s="155"/>
      <x:c r="AI221" s="154"/>
      <x:c r="AJ221" s="154"/>
      <x:c r="AK221" s="156" t="n">
        <x:f>IFERROR(U221*W221,"")</x:f>
        <x:v>0</x:v>
      </x:c>
      <x:c r="AL221" s="156" t="n">
        <x:f>IFERROR(AE221*AI221,"")</x:f>
        <x:v>0</x:v>
      </x:c>
      <x:c r="AM221" s="157" t="str">
        <x:f>IFERROR(AH221/Q221,"")</x:f>
      </x:c>
      <x:c r="AN221" s="156" t="str">
        <x:f>IFERROR(AH221/AG221,"")</x:f>
      </x:c>
      <x:c r="AO221" s="156" t="str">
        <x:f>IFERROR(AL221/AH221,"")</x:f>
      </x:c>
      <x:c r="AP221" s="157" t="str">
        <x:f>IFERROR(AG221/AE221,"")</x:f>
      </x:c>
      <x:c r="AQ221" s="157" t="str">
        <x:f>IFERROR(AN221/(R221/'Configuracion'!$B$13),"")</x:f>
      </x:c>
      <x:c r="AR221" s="156" t="n">
        <x:f>IFERROR(AE221-U221,"")</x:f>
        <x:v>0</x:v>
      </x:c>
      <x:c r="AS221" s="154"/>
      <x:c r="AT221" s="154"/>
      <x:c r="AU221" s="154"/>
      <x:c r="AV221" s="154"/>
      <x:c r="AW221" s="152"/>
      <x:c r="AX221" s="154"/>
      <x:c r="AY221" s="154"/>
      <x:c r="AZ221" s="151"/>
      <x:c r="BA221" s="151"/>
    </x:row>
    <x:row r="222">
      <x:c r="A222" s="151" t="str">
        <x:f>IF(B222="","",TEXT(B222,"yyyymmdd")&amp;"-"&amp;TEXT(COUNTIF($B$5:B222,B222),"000"))</x:f>
      </x:c>
      <x:c r="B222" s="152"/>
      <x:c r="C222" s="153"/>
      <x:c r="D222" s="151" t="str">
        <x:f>IF(B222="","",'Configuracion'!$B$4)</x:f>
      </x:c>
      <x:c r="E222" s="154"/>
      <x:c r="F222" s="154"/>
      <x:c r="G222" s="151" t="str">
        <x:f>IFERROR(VLOOKUP(F222,'Base Sectores'!$A$5:$J$47,2,FALSE),"")</x:f>
      </x:c>
      <x:c r="H222" s="151" t="str">
        <x:f>IFERROR(VLOOKUP(F222,'Base Sectores'!$A$5:$J$47,3,FALSE),"")</x:f>
      </x:c>
      <x:c r="I222" s="151" t="str">
        <x:f>IFERROR(VLOOKUP(F222,'Base Sectores'!$A$5:$J$47,4,FALSE),"")</x:f>
      </x:c>
      <x:c r="J222" s="151" t="str">
        <x:f>IFERROR(VLOOKUP(F222,'Base Sectores'!$A$5:$J$47,5,FALSE),"")</x:f>
      </x:c>
      <x:c r="K222" s="151" t="str">
        <x:f>IFERROR(VLOOKUP(F222,'Base Sectores'!$A$5:$J$47,6,FALSE),"")</x:f>
      </x:c>
      <x:c r="L222" s="151" t="str">
        <x:f>IFERROR(VLOOKUP(F222,'Base Sectores'!$A$5:$J$47,7,FALSE),"")</x:f>
      </x:c>
      <x:c r="M222" s="151" t="str">
        <x:f>IFERROR(VLOOKUP(F222,'Base Sectores'!$A$5:$J$47,9,FALSE),"")</x:f>
      </x:c>
      <x:c r="N222" s="154"/>
      <x:c r="O222" s="151" t="str">
        <x:f>IFERROR(VLOOKUP(N222,'Configuracion'!$D$4:$H$15,2,FALSE),"")</x:f>
      </x:c>
      <x:c r="P222" s="151" t="str">
        <x:f>IFERROR(VLOOKUP(N222,'Configuracion'!$D$4:$H$15,3,FALSE),"")</x:f>
      </x:c>
      <x:c r="Q222" s="155"/>
      <x:c r="R222" s="156" t="str">
        <x:f>IFERROR(VLOOKUP(N222,'Configuracion'!$D$4:$H$15,4,FALSE),"")</x:f>
      </x:c>
      <x:c r="S222" s="153"/>
      <x:c r="T222" s="153"/>
      <x:c r="U222" s="156" t="str">
        <x:f>IF(OR(S222="",T222=""),"",MOD(T222-S222,1)*24)</x:f>
      </x:c>
      <x:c r="V222" s="154"/>
      <x:c r="W222" s="154"/>
      <x:c r="X222" s="151" t="str">
        <x:f>IFERROR(VLOOKUP(N222,'Configuracion'!$D$4:$H$15,5,FALSE),"")</x:f>
      </x:c>
      <x:c r="Y222" s="151" t="str">
        <x:f>IFERROR(VLOOKUP(V222,'Cuadrillas'!$A$5:$J$14,2,FALSE),"")</x:f>
      </x:c>
      <x:c r="Z222" s="154"/>
      <x:c r="AA222" s="154"/>
      <x:c r="AB222" s="154"/>
      <x:c r="AC222" s="153"/>
      <x:c r="AD222" s="153"/>
      <x:c r="AE222" s="156" t="str">
        <x:f>IF(OR(AC222="",AD222=""),"",MOD(AD222-AC222,1)*24)</x:f>
      </x:c>
      <x:c r="AF222" s="154"/>
      <x:c r="AG222" s="156" t="str">
        <x:f>IF(AE222="","",MAX(0,AE222-IF(AF222="",0,AF222/60)))</x:f>
      </x:c>
      <x:c r="AH222" s="155"/>
      <x:c r="AI222" s="154"/>
      <x:c r="AJ222" s="154"/>
      <x:c r="AK222" s="156" t="n">
        <x:f>IFERROR(U222*W222,"")</x:f>
        <x:v>0</x:v>
      </x:c>
      <x:c r="AL222" s="156" t="n">
        <x:f>IFERROR(AE222*AI222,"")</x:f>
        <x:v>0</x:v>
      </x:c>
      <x:c r="AM222" s="157" t="str">
        <x:f>IFERROR(AH222/Q222,"")</x:f>
      </x:c>
      <x:c r="AN222" s="156" t="str">
        <x:f>IFERROR(AH222/AG222,"")</x:f>
      </x:c>
      <x:c r="AO222" s="156" t="str">
        <x:f>IFERROR(AL222/AH222,"")</x:f>
      </x:c>
      <x:c r="AP222" s="157" t="str">
        <x:f>IFERROR(AG222/AE222,"")</x:f>
      </x:c>
      <x:c r="AQ222" s="157" t="str">
        <x:f>IFERROR(AN222/(R222/'Configuracion'!$B$13),"")</x:f>
      </x:c>
      <x:c r="AR222" s="156" t="n">
        <x:f>IFERROR(AE222-U222,"")</x:f>
        <x:v>0</x:v>
      </x:c>
      <x:c r="AS222" s="154"/>
      <x:c r="AT222" s="154"/>
      <x:c r="AU222" s="154"/>
      <x:c r="AV222" s="154"/>
      <x:c r="AW222" s="152"/>
      <x:c r="AX222" s="154"/>
      <x:c r="AY222" s="154"/>
      <x:c r="AZ222" s="151"/>
      <x:c r="BA222" s="151"/>
    </x:row>
    <x:row r="223">
      <x:c r="A223" s="151" t="str">
        <x:f>IF(B223="","",TEXT(B223,"yyyymmdd")&amp;"-"&amp;TEXT(COUNTIF($B$5:B223,B223),"000"))</x:f>
      </x:c>
      <x:c r="B223" s="152"/>
      <x:c r="C223" s="153"/>
      <x:c r="D223" s="151" t="str">
        <x:f>IF(B223="","",'Configuracion'!$B$4)</x:f>
      </x:c>
      <x:c r="E223" s="154"/>
      <x:c r="F223" s="154"/>
      <x:c r="G223" s="151" t="str">
        <x:f>IFERROR(VLOOKUP(F223,'Base Sectores'!$A$5:$J$47,2,FALSE),"")</x:f>
      </x:c>
      <x:c r="H223" s="151" t="str">
        <x:f>IFERROR(VLOOKUP(F223,'Base Sectores'!$A$5:$J$47,3,FALSE),"")</x:f>
      </x:c>
      <x:c r="I223" s="151" t="str">
        <x:f>IFERROR(VLOOKUP(F223,'Base Sectores'!$A$5:$J$47,4,FALSE),"")</x:f>
      </x:c>
      <x:c r="J223" s="151" t="str">
        <x:f>IFERROR(VLOOKUP(F223,'Base Sectores'!$A$5:$J$47,5,FALSE),"")</x:f>
      </x:c>
      <x:c r="K223" s="151" t="str">
        <x:f>IFERROR(VLOOKUP(F223,'Base Sectores'!$A$5:$J$47,6,FALSE),"")</x:f>
      </x:c>
      <x:c r="L223" s="151" t="str">
        <x:f>IFERROR(VLOOKUP(F223,'Base Sectores'!$A$5:$J$47,7,FALSE),"")</x:f>
      </x:c>
      <x:c r="M223" s="151" t="str">
        <x:f>IFERROR(VLOOKUP(F223,'Base Sectores'!$A$5:$J$47,9,FALSE),"")</x:f>
      </x:c>
      <x:c r="N223" s="154"/>
      <x:c r="O223" s="151" t="str">
        <x:f>IFERROR(VLOOKUP(N223,'Configuracion'!$D$4:$H$15,2,FALSE),"")</x:f>
      </x:c>
      <x:c r="P223" s="151" t="str">
        <x:f>IFERROR(VLOOKUP(N223,'Configuracion'!$D$4:$H$15,3,FALSE),"")</x:f>
      </x:c>
      <x:c r="Q223" s="155"/>
      <x:c r="R223" s="156" t="str">
        <x:f>IFERROR(VLOOKUP(N223,'Configuracion'!$D$4:$H$15,4,FALSE),"")</x:f>
      </x:c>
      <x:c r="S223" s="153"/>
      <x:c r="T223" s="153"/>
      <x:c r="U223" s="156" t="str">
        <x:f>IF(OR(S223="",T223=""),"",MOD(T223-S223,1)*24)</x:f>
      </x:c>
      <x:c r="V223" s="154"/>
      <x:c r="W223" s="154"/>
      <x:c r="X223" s="151" t="str">
        <x:f>IFERROR(VLOOKUP(N223,'Configuracion'!$D$4:$H$15,5,FALSE),"")</x:f>
      </x:c>
      <x:c r="Y223" s="151" t="str">
        <x:f>IFERROR(VLOOKUP(V223,'Cuadrillas'!$A$5:$J$14,2,FALSE),"")</x:f>
      </x:c>
      <x:c r="Z223" s="154"/>
      <x:c r="AA223" s="154"/>
      <x:c r="AB223" s="154"/>
      <x:c r="AC223" s="153"/>
      <x:c r="AD223" s="153"/>
      <x:c r="AE223" s="156" t="str">
        <x:f>IF(OR(AC223="",AD223=""),"",MOD(AD223-AC223,1)*24)</x:f>
      </x:c>
      <x:c r="AF223" s="154"/>
      <x:c r="AG223" s="156" t="str">
        <x:f>IF(AE223="","",MAX(0,AE223-IF(AF223="",0,AF223/60)))</x:f>
      </x:c>
      <x:c r="AH223" s="155"/>
      <x:c r="AI223" s="154"/>
      <x:c r="AJ223" s="154"/>
      <x:c r="AK223" s="156" t="n">
        <x:f>IFERROR(U223*W223,"")</x:f>
        <x:v>0</x:v>
      </x:c>
      <x:c r="AL223" s="156" t="n">
        <x:f>IFERROR(AE223*AI223,"")</x:f>
        <x:v>0</x:v>
      </x:c>
      <x:c r="AM223" s="157" t="str">
        <x:f>IFERROR(AH223/Q223,"")</x:f>
      </x:c>
      <x:c r="AN223" s="156" t="str">
        <x:f>IFERROR(AH223/AG223,"")</x:f>
      </x:c>
      <x:c r="AO223" s="156" t="str">
        <x:f>IFERROR(AL223/AH223,"")</x:f>
      </x:c>
      <x:c r="AP223" s="157" t="str">
        <x:f>IFERROR(AG223/AE223,"")</x:f>
      </x:c>
      <x:c r="AQ223" s="157" t="str">
        <x:f>IFERROR(AN223/(R223/'Configuracion'!$B$13),"")</x:f>
      </x:c>
      <x:c r="AR223" s="156" t="n">
        <x:f>IFERROR(AE223-U223,"")</x:f>
        <x:v>0</x:v>
      </x:c>
      <x:c r="AS223" s="154"/>
      <x:c r="AT223" s="154"/>
      <x:c r="AU223" s="154"/>
      <x:c r="AV223" s="154"/>
      <x:c r="AW223" s="152"/>
      <x:c r="AX223" s="154"/>
      <x:c r="AY223" s="154"/>
      <x:c r="AZ223" s="151"/>
      <x:c r="BA223" s="151"/>
    </x:row>
    <x:row r="224">
      <x:c r="A224" s="151" t="str">
        <x:f>IF(B224="","",TEXT(B224,"yyyymmdd")&amp;"-"&amp;TEXT(COUNTIF($B$5:B224,B224),"000"))</x:f>
      </x:c>
      <x:c r="B224" s="152"/>
      <x:c r="C224" s="153"/>
      <x:c r="D224" s="151" t="str">
        <x:f>IF(B224="","",'Configuracion'!$B$4)</x:f>
      </x:c>
      <x:c r="E224" s="154"/>
      <x:c r="F224" s="154"/>
      <x:c r="G224" s="151" t="str">
        <x:f>IFERROR(VLOOKUP(F224,'Base Sectores'!$A$5:$J$47,2,FALSE),"")</x:f>
      </x:c>
      <x:c r="H224" s="151" t="str">
        <x:f>IFERROR(VLOOKUP(F224,'Base Sectores'!$A$5:$J$47,3,FALSE),"")</x:f>
      </x:c>
      <x:c r="I224" s="151" t="str">
        <x:f>IFERROR(VLOOKUP(F224,'Base Sectores'!$A$5:$J$47,4,FALSE),"")</x:f>
      </x:c>
      <x:c r="J224" s="151" t="str">
        <x:f>IFERROR(VLOOKUP(F224,'Base Sectores'!$A$5:$J$47,5,FALSE),"")</x:f>
      </x:c>
      <x:c r="K224" s="151" t="str">
        <x:f>IFERROR(VLOOKUP(F224,'Base Sectores'!$A$5:$J$47,6,FALSE),"")</x:f>
      </x:c>
      <x:c r="L224" s="151" t="str">
        <x:f>IFERROR(VLOOKUP(F224,'Base Sectores'!$A$5:$J$47,7,FALSE),"")</x:f>
      </x:c>
      <x:c r="M224" s="151" t="str">
        <x:f>IFERROR(VLOOKUP(F224,'Base Sectores'!$A$5:$J$47,9,FALSE),"")</x:f>
      </x:c>
      <x:c r="N224" s="154"/>
      <x:c r="O224" s="151" t="str">
        <x:f>IFERROR(VLOOKUP(N224,'Configuracion'!$D$4:$H$15,2,FALSE),"")</x:f>
      </x:c>
      <x:c r="P224" s="151" t="str">
        <x:f>IFERROR(VLOOKUP(N224,'Configuracion'!$D$4:$H$15,3,FALSE),"")</x:f>
      </x:c>
      <x:c r="Q224" s="155"/>
      <x:c r="R224" s="156" t="str">
        <x:f>IFERROR(VLOOKUP(N224,'Configuracion'!$D$4:$H$15,4,FALSE),"")</x:f>
      </x:c>
      <x:c r="S224" s="153"/>
      <x:c r="T224" s="153"/>
      <x:c r="U224" s="156" t="str">
        <x:f>IF(OR(S224="",T224=""),"",MOD(T224-S224,1)*24)</x:f>
      </x:c>
      <x:c r="V224" s="154"/>
      <x:c r="W224" s="154"/>
      <x:c r="X224" s="151" t="str">
        <x:f>IFERROR(VLOOKUP(N224,'Configuracion'!$D$4:$H$15,5,FALSE),"")</x:f>
      </x:c>
      <x:c r="Y224" s="151" t="str">
        <x:f>IFERROR(VLOOKUP(V224,'Cuadrillas'!$A$5:$J$14,2,FALSE),"")</x:f>
      </x:c>
      <x:c r="Z224" s="154"/>
      <x:c r="AA224" s="154"/>
      <x:c r="AB224" s="154"/>
      <x:c r="AC224" s="153"/>
      <x:c r="AD224" s="153"/>
      <x:c r="AE224" s="156" t="str">
        <x:f>IF(OR(AC224="",AD224=""),"",MOD(AD224-AC224,1)*24)</x:f>
      </x:c>
      <x:c r="AF224" s="154"/>
      <x:c r="AG224" s="156" t="str">
        <x:f>IF(AE224="","",MAX(0,AE224-IF(AF224="",0,AF224/60)))</x:f>
      </x:c>
      <x:c r="AH224" s="155"/>
      <x:c r="AI224" s="154"/>
      <x:c r="AJ224" s="154"/>
      <x:c r="AK224" s="156" t="n">
        <x:f>IFERROR(U224*W224,"")</x:f>
        <x:v>0</x:v>
      </x:c>
      <x:c r="AL224" s="156" t="n">
        <x:f>IFERROR(AE224*AI224,"")</x:f>
        <x:v>0</x:v>
      </x:c>
      <x:c r="AM224" s="157" t="str">
        <x:f>IFERROR(AH224/Q224,"")</x:f>
      </x:c>
      <x:c r="AN224" s="156" t="str">
        <x:f>IFERROR(AH224/AG224,"")</x:f>
      </x:c>
      <x:c r="AO224" s="156" t="str">
        <x:f>IFERROR(AL224/AH224,"")</x:f>
      </x:c>
      <x:c r="AP224" s="157" t="str">
        <x:f>IFERROR(AG224/AE224,"")</x:f>
      </x:c>
      <x:c r="AQ224" s="157" t="str">
        <x:f>IFERROR(AN224/(R224/'Configuracion'!$B$13),"")</x:f>
      </x:c>
      <x:c r="AR224" s="156" t="n">
        <x:f>IFERROR(AE224-U224,"")</x:f>
        <x:v>0</x:v>
      </x:c>
      <x:c r="AS224" s="154"/>
      <x:c r="AT224" s="154"/>
      <x:c r="AU224" s="154"/>
      <x:c r="AV224" s="154"/>
      <x:c r="AW224" s="152"/>
      <x:c r="AX224" s="154"/>
      <x:c r="AY224" s="154"/>
      <x:c r="AZ224" s="151"/>
      <x:c r="BA224" s="151"/>
    </x:row>
    <x:row r="225">
      <x:c r="A225" s="151" t="str">
        <x:f>IF(B225="","",TEXT(B225,"yyyymmdd")&amp;"-"&amp;TEXT(COUNTIF($B$5:B225,B225),"000"))</x:f>
      </x:c>
      <x:c r="B225" s="152"/>
      <x:c r="C225" s="153"/>
      <x:c r="D225" s="151" t="str">
        <x:f>IF(B225="","",'Configuracion'!$B$4)</x:f>
      </x:c>
      <x:c r="E225" s="154"/>
      <x:c r="F225" s="154"/>
      <x:c r="G225" s="151" t="str">
        <x:f>IFERROR(VLOOKUP(F225,'Base Sectores'!$A$5:$J$47,2,FALSE),"")</x:f>
      </x:c>
      <x:c r="H225" s="151" t="str">
        <x:f>IFERROR(VLOOKUP(F225,'Base Sectores'!$A$5:$J$47,3,FALSE),"")</x:f>
      </x:c>
      <x:c r="I225" s="151" t="str">
        <x:f>IFERROR(VLOOKUP(F225,'Base Sectores'!$A$5:$J$47,4,FALSE),"")</x:f>
      </x:c>
      <x:c r="J225" s="151" t="str">
        <x:f>IFERROR(VLOOKUP(F225,'Base Sectores'!$A$5:$J$47,5,FALSE),"")</x:f>
      </x:c>
      <x:c r="K225" s="151" t="str">
        <x:f>IFERROR(VLOOKUP(F225,'Base Sectores'!$A$5:$J$47,6,FALSE),"")</x:f>
      </x:c>
      <x:c r="L225" s="151" t="str">
        <x:f>IFERROR(VLOOKUP(F225,'Base Sectores'!$A$5:$J$47,7,FALSE),"")</x:f>
      </x:c>
      <x:c r="M225" s="151" t="str">
        <x:f>IFERROR(VLOOKUP(F225,'Base Sectores'!$A$5:$J$47,9,FALSE),"")</x:f>
      </x:c>
      <x:c r="N225" s="154"/>
      <x:c r="O225" s="151" t="str">
        <x:f>IFERROR(VLOOKUP(N225,'Configuracion'!$D$4:$H$15,2,FALSE),"")</x:f>
      </x:c>
      <x:c r="P225" s="151" t="str">
        <x:f>IFERROR(VLOOKUP(N225,'Configuracion'!$D$4:$H$15,3,FALSE),"")</x:f>
      </x:c>
      <x:c r="Q225" s="155"/>
      <x:c r="R225" s="156" t="str">
        <x:f>IFERROR(VLOOKUP(N225,'Configuracion'!$D$4:$H$15,4,FALSE),"")</x:f>
      </x:c>
      <x:c r="S225" s="153"/>
      <x:c r="T225" s="153"/>
      <x:c r="U225" s="156" t="str">
        <x:f>IF(OR(S225="",T225=""),"",MOD(T225-S225,1)*24)</x:f>
      </x:c>
      <x:c r="V225" s="154"/>
      <x:c r="W225" s="154"/>
      <x:c r="X225" s="151" t="str">
        <x:f>IFERROR(VLOOKUP(N225,'Configuracion'!$D$4:$H$15,5,FALSE),"")</x:f>
      </x:c>
      <x:c r="Y225" s="151" t="str">
        <x:f>IFERROR(VLOOKUP(V225,'Cuadrillas'!$A$5:$J$14,2,FALSE),"")</x:f>
      </x:c>
      <x:c r="Z225" s="154"/>
      <x:c r="AA225" s="154"/>
      <x:c r="AB225" s="154"/>
      <x:c r="AC225" s="153"/>
      <x:c r="AD225" s="153"/>
      <x:c r="AE225" s="156" t="str">
        <x:f>IF(OR(AC225="",AD225=""),"",MOD(AD225-AC225,1)*24)</x:f>
      </x:c>
      <x:c r="AF225" s="154"/>
      <x:c r="AG225" s="156" t="str">
        <x:f>IF(AE225="","",MAX(0,AE225-IF(AF225="",0,AF225/60)))</x:f>
      </x:c>
      <x:c r="AH225" s="155"/>
      <x:c r="AI225" s="154"/>
      <x:c r="AJ225" s="154"/>
      <x:c r="AK225" s="156" t="n">
        <x:f>IFERROR(U225*W225,"")</x:f>
        <x:v>0</x:v>
      </x:c>
      <x:c r="AL225" s="156" t="n">
        <x:f>IFERROR(AE225*AI225,"")</x:f>
        <x:v>0</x:v>
      </x:c>
      <x:c r="AM225" s="157" t="str">
        <x:f>IFERROR(AH225/Q225,"")</x:f>
      </x:c>
      <x:c r="AN225" s="156" t="str">
        <x:f>IFERROR(AH225/AG225,"")</x:f>
      </x:c>
      <x:c r="AO225" s="156" t="str">
        <x:f>IFERROR(AL225/AH225,"")</x:f>
      </x:c>
      <x:c r="AP225" s="157" t="str">
        <x:f>IFERROR(AG225/AE225,"")</x:f>
      </x:c>
      <x:c r="AQ225" s="157" t="str">
        <x:f>IFERROR(AN225/(R225/'Configuracion'!$B$13),"")</x:f>
      </x:c>
      <x:c r="AR225" s="156" t="n">
        <x:f>IFERROR(AE225-U225,"")</x:f>
        <x:v>0</x:v>
      </x:c>
      <x:c r="AS225" s="154"/>
      <x:c r="AT225" s="154"/>
      <x:c r="AU225" s="154"/>
      <x:c r="AV225" s="154"/>
      <x:c r="AW225" s="152"/>
      <x:c r="AX225" s="154"/>
      <x:c r="AY225" s="154"/>
      <x:c r="AZ225" s="151"/>
      <x:c r="BA225" s="151"/>
    </x:row>
    <x:row r="226">
      <x:c r="A226" s="151" t="str">
        <x:f>IF(B226="","",TEXT(B226,"yyyymmdd")&amp;"-"&amp;TEXT(COUNTIF($B$5:B226,B226),"000"))</x:f>
      </x:c>
      <x:c r="B226" s="152"/>
      <x:c r="C226" s="153"/>
      <x:c r="D226" s="151" t="str">
        <x:f>IF(B226="","",'Configuracion'!$B$4)</x:f>
      </x:c>
      <x:c r="E226" s="154"/>
      <x:c r="F226" s="154"/>
      <x:c r="G226" s="151" t="str">
        <x:f>IFERROR(VLOOKUP(F226,'Base Sectores'!$A$5:$J$47,2,FALSE),"")</x:f>
      </x:c>
      <x:c r="H226" s="151" t="str">
        <x:f>IFERROR(VLOOKUP(F226,'Base Sectores'!$A$5:$J$47,3,FALSE),"")</x:f>
      </x:c>
      <x:c r="I226" s="151" t="str">
        <x:f>IFERROR(VLOOKUP(F226,'Base Sectores'!$A$5:$J$47,4,FALSE),"")</x:f>
      </x:c>
      <x:c r="J226" s="151" t="str">
        <x:f>IFERROR(VLOOKUP(F226,'Base Sectores'!$A$5:$J$47,5,FALSE),"")</x:f>
      </x:c>
      <x:c r="K226" s="151" t="str">
        <x:f>IFERROR(VLOOKUP(F226,'Base Sectores'!$A$5:$J$47,6,FALSE),"")</x:f>
      </x:c>
      <x:c r="L226" s="151" t="str">
        <x:f>IFERROR(VLOOKUP(F226,'Base Sectores'!$A$5:$J$47,7,FALSE),"")</x:f>
      </x:c>
      <x:c r="M226" s="151" t="str">
        <x:f>IFERROR(VLOOKUP(F226,'Base Sectores'!$A$5:$J$47,9,FALSE),"")</x:f>
      </x:c>
      <x:c r="N226" s="154"/>
      <x:c r="O226" s="151" t="str">
        <x:f>IFERROR(VLOOKUP(N226,'Configuracion'!$D$4:$H$15,2,FALSE),"")</x:f>
      </x:c>
      <x:c r="P226" s="151" t="str">
        <x:f>IFERROR(VLOOKUP(N226,'Configuracion'!$D$4:$H$15,3,FALSE),"")</x:f>
      </x:c>
      <x:c r="Q226" s="155"/>
      <x:c r="R226" s="156" t="str">
        <x:f>IFERROR(VLOOKUP(N226,'Configuracion'!$D$4:$H$15,4,FALSE),"")</x:f>
      </x:c>
      <x:c r="S226" s="153"/>
      <x:c r="T226" s="153"/>
      <x:c r="U226" s="156" t="str">
        <x:f>IF(OR(S226="",T226=""),"",MOD(T226-S226,1)*24)</x:f>
      </x:c>
      <x:c r="V226" s="154"/>
      <x:c r="W226" s="154"/>
      <x:c r="X226" s="151" t="str">
        <x:f>IFERROR(VLOOKUP(N226,'Configuracion'!$D$4:$H$15,5,FALSE),"")</x:f>
      </x:c>
      <x:c r="Y226" s="151" t="str">
        <x:f>IFERROR(VLOOKUP(V226,'Cuadrillas'!$A$5:$J$14,2,FALSE),"")</x:f>
      </x:c>
      <x:c r="Z226" s="154"/>
      <x:c r="AA226" s="154"/>
      <x:c r="AB226" s="154"/>
      <x:c r="AC226" s="153"/>
      <x:c r="AD226" s="153"/>
      <x:c r="AE226" s="156" t="str">
        <x:f>IF(OR(AC226="",AD226=""),"",MOD(AD226-AC226,1)*24)</x:f>
      </x:c>
      <x:c r="AF226" s="154"/>
      <x:c r="AG226" s="156" t="str">
        <x:f>IF(AE226="","",MAX(0,AE226-IF(AF226="",0,AF226/60)))</x:f>
      </x:c>
      <x:c r="AH226" s="155"/>
      <x:c r="AI226" s="154"/>
      <x:c r="AJ226" s="154"/>
      <x:c r="AK226" s="156" t="n">
        <x:f>IFERROR(U226*W226,"")</x:f>
        <x:v>0</x:v>
      </x:c>
      <x:c r="AL226" s="156" t="n">
        <x:f>IFERROR(AE226*AI226,"")</x:f>
        <x:v>0</x:v>
      </x:c>
      <x:c r="AM226" s="157" t="str">
        <x:f>IFERROR(AH226/Q226,"")</x:f>
      </x:c>
      <x:c r="AN226" s="156" t="str">
        <x:f>IFERROR(AH226/AG226,"")</x:f>
      </x:c>
      <x:c r="AO226" s="156" t="str">
        <x:f>IFERROR(AL226/AH226,"")</x:f>
      </x:c>
      <x:c r="AP226" s="157" t="str">
        <x:f>IFERROR(AG226/AE226,"")</x:f>
      </x:c>
      <x:c r="AQ226" s="157" t="str">
        <x:f>IFERROR(AN226/(R226/'Configuracion'!$B$13),"")</x:f>
      </x:c>
      <x:c r="AR226" s="156" t="n">
        <x:f>IFERROR(AE226-U226,"")</x:f>
        <x:v>0</x:v>
      </x:c>
      <x:c r="AS226" s="154"/>
      <x:c r="AT226" s="154"/>
      <x:c r="AU226" s="154"/>
      <x:c r="AV226" s="154"/>
      <x:c r="AW226" s="152"/>
      <x:c r="AX226" s="154"/>
      <x:c r="AY226" s="154"/>
      <x:c r="AZ226" s="151"/>
      <x:c r="BA226" s="151"/>
    </x:row>
    <x:row r="227">
      <x:c r="A227" s="151" t="str">
        <x:f>IF(B227="","",TEXT(B227,"yyyymmdd")&amp;"-"&amp;TEXT(COUNTIF($B$5:B227,B227),"000"))</x:f>
      </x:c>
      <x:c r="B227" s="152"/>
      <x:c r="C227" s="153"/>
      <x:c r="D227" s="151" t="str">
        <x:f>IF(B227="","",'Configuracion'!$B$4)</x:f>
      </x:c>
      <x:c r="E227" s="154"/>
      <x:c r="F227" s="154"/>
      <x:c r="G227" s="151" t="str">
        <x:f>IFERROR(VLOOKUP(F227,'Base Sectores'!$A$5:$J$47,2,FALSE),"")</x:f>
      </x:c>
      <x:c r="H227" s="151" t="str">
        <x:f>IFERROR(VLOOKUP(F227,'Base Sectores'!$A$5:$J$47,3,FALSE),"")</x:f>
      </x:c>
      <x:c r="I227" s="151" t="str">
        <x:f>IFERROR(VLOOKUP(F227,'Base Sectores'!$A$5:$J$47,4,FALSE),"")</x:f>
      </x:c>
      <x:c r="J227" s="151" t="str">
        <x:f>IFERROR(VLOOKUP(F227,'Base Sectores'!$A$5:$J$47,5,FALSE),"")</x:f>
      </x:c>
      <x:c r="K227" s="151" t="str">
        <x:f>IFERROR(VLOOKUP(F227,'Base Sectores'!$A$5:$J$47,6,FALSE),"")</x:f>
      </x:c>
      <x:c r="L227" s="151" t="str">
        <x:f>IFERROR(VLOOKUP(F227,'Base Sectores'!$A$5:$J$47,7,FALSE),"")</x:f>
      </x:c>
      <x:c r="M227" s="151" t="str">
        <x:f>IFERROR(VLOOKUP(F227,'Base Sectores'!$A$5:$J$47,9,FALSE),"")</x:f>
      </x:c>
      <x:c r="N227" s="154"/>
      <x:c r="O227" s="151" t="str">
        <x:f>IFERROR(VLOOKUP(N227,'Configuracion'!$D$4:$H$15,2,FALSE),"")</x:f>
      </x:c>
      <x:c r="P227" s="151" t="str">
        <x:f>IFERROR(VLOOKUP(N227,'Configuracion'!$D$4:$H$15,3,FALSE),"")</x:f>
      </x:c>
      <x:c r="Q227" s="155"/>
      <x:c r="R227" s="156" t="str">
        <x:f>IFERROR(VLOOKUP(N227,'Configuracion'!$D$4:$H$15,4,FALSE),"")</x:f>
      </x:c>
      <x:c r="S227" s="153"/>
      <x:c r="T227" s="153"/>
      <x:c r="U227" s="156" t="str">
        <x:f>IF(OR(S227="",T227=""),"",MOD(T227-S227,1)*24)</x:f>
      </x:c>
      <x:c r="V227" s="154"/>
      <x:c r="W227" s="154"/>
      <x:c r="X227" s="151" t="str">
        <x:f>IFERROR(VLOOKUP(N227,'Configuracion'!$D$4:$H$15,5,FALSE),"")</x:f>
      </x:c>
      <x:c r="Y227" s="151" t="str">
        <x:f>IFERROR(VLOOKUP(V227,'Cuadrillas'!$A$5:$J$14,2,FALSE),"")</x:f>
      </x:c>
      <x:c r="Z227" s="154"/>
      <x:c r="AA227" s="154"/>
      <x:c r="AB227" s="154"/>
      <x:c r="AC227" s="153"/>
      <x:c r="AD227" s="153"/>
      <x:c r="AE227" s="156" t="str">
        <x:f>IF(OR(AC227="",AD227=""),"",MOD(AD227-AC227,1)*24)</x:f>
      </x:c>
      <x:c r="AF227" s="154"/>
      <x:c r="AG227" s="156" t="str">
        <x:f>IF(AE227="","",MAX(0,AE227-IF(AF227="",0,AF227/60)))</x:f>
      </x:c>
      <x:c r="AH227" s="155"/>
      <x:c r="AI227" s="154"/>
      <x:c r="AJ227" s="154"/>
      <x:c r="AK227" s="156" t="n">
        <x:f>IFERROR(U227*W227,"")</x:f>
        <x:v>0</x:v>
      </x:c>
      <x:c r="AL227" s="156" t="n">
        <x:f>IFERROR(AE227*AI227,"")</x:f>
        <x:v>0</x:v>
      </x:c>
      <x:c r="AM227" s="157" t="str">
        <x:f>IFERROR(AH227/Q227,"")</x:f>
      </x:c>
      <x:c r="AN227" s="156" t="str">
        <x:f>IFERROR(AH227/AG227,"")</x:f>
      </x:c>
      <x:c r="AO227" s="156" t="str">
        <x:f>IFERROR(AL227/AH227,"")</x:f>
      </x:c>
      <x:c r="AP227" s="157" t="str">
        <x:f>IFERROR(AG227/AE227,"")</x:f>
      </x:c>
      <x:c r="AQ227" s="157" t="str">
        <x:f>IFERROR(AN227/(R227/'Configuracion'!$B$13),"")</x:f>
      </x:c>
      <x:c r="AR227" s="156" t="n">
        <x:f>IFERROR(AE227-U227,"")</x:f>
        <x:v>0</x:v>
      </x:c>
      <x:c r="AS227" s="154"/>
      <x:c r="AT227" s="154"/>
      <x:c r="AU227" s="154"/>
      <x:c r="AV227" s="154"/>
      <x:c r="AW227" s="152"/>
      <x:c r="AX227" s="154"/>
      <x:c r="AY227" s="154"/>
      <x:c r="AZ227" s="151"/>
      <x:c r="BA227" s="151"/>
    </x:row>
    <x:row r="228">
      <x:c r="A228" s="151" t="str">
        <x:f>IF(B228="","",TEXT(B228,"yyyymmdd")&amp;"-"&amp;TEXT(COUNTIF($B$5:B228,B228),"000"))</x:f>
      </x:c>
      <x:c r="B228" s="152"/>
      <x:c r="C228" s="153"/>
      <x:c r="D228" s="151" t="str">
        <x:f>IF(B228="","",'Configuracion'!$B$4)</x:f>
      </x:c>
      <x:c r="E228" s="154"/>
      <x:c r="F228" s="154"/>
      <x:c r="G228" s="151" t="str">
        <x:f>IFERROR(VLOOKUP(F228,'Base Sectores'!$A$5:$J$47,2,FALSE),"")</x:f>
      </x:c>
      <x:c r="H228" s="151" t="str">
        <x:f>IFERROR(VLOOKUP(F228,'Base Sectores'!$A$5:$J$47,3,FALSE),"")</x:f>
      </x:c>
      <x:c r="I228" s="151" t="str">
        <x:f>IFERROR(VLOOKUP(F228,'Base Sectores'!$A$5:$J$47,4,FALSE),"")</x:f>
      </x:c>
      <x:c r="J228" s="151" t="str">
        <x:f>IFERROR(VLOOKUP(F228,'Base Sectores'!$A$5:$J$47,5,FALSE),"")</x:f>
      </x:c>
      <x:c r="K228" s="151" t="str">
        <x:f>IFERROR(VLOOKUP(F228,'Base Sectores'!$A$5:$J$47,6,FALSE),"")</x:f>
      </x:c>
      <x:c r="L228" s="151" t="str">
        <x:f>IFERROR(VLOOKUP(F228,'Base Sectores'!$A$5:$J$47,7,FALSE),"")</x:f>
      </x:c>
      <x:c r="M228" s="151" t="str">
        <x:f>IFERROR(VLOOKUP(F228,'Base Sectores'!$A$5:$J$47,9,FALSE),"")</x:f>
      </x:c>
      <x:c r="N228" s="154"/>
      <x:c r="O228" s="151" t="str">
        <x:f>IFERROR(VLOOKUP(N228,'Configuracion'!$D$4:$H$15,2,FALSE),"")</x:f>
      </x:c>
      <x:c r="P228" s="151" t="str">
        <x:f>IFERROR(VLOOKUP(N228,'Configuracion'!$D$4:$H$15,3,FALSE),"")</x:f>
      </x:c>
      <x:c r="Q228" s="155"/>
      <x:c r="R228" s="156" t="str">
        <x:f>IFERROR(VLOOKUP(N228,'Configuracion'!$D$4:$H$15,4,FALSE),"")</x:f>
      </x:c>
      <x:c r="S228" s="153"/>
      <x:c r="T228" s="153"/>
      <x:c r="U228" s="156" t="str">
        <x:f>IF(OR(S228="",T228=""),"",MOD(T228-S228,1)*24)</x:f>
      </x:c>
      <x:c r="V228" s="154"/>
      <x:c r="W228" s="154"/>
      <x:c r="X228" s="151" t="str">
        <x:f>IFERROR(VLOOKUP(N228,'Configuracion'!$D$4:$H$15,5,FALSE),"")</x:f>
      </x:c>
      <x:c r="Y228" s="151" t="str">
        <x:f>IFERROR(VLOOKUP(V228,'Cuadrillas'!$A$5:$J$14,2,FALSE),"")</x:f>
      </x:c>
      <x:c r="Z228" s="154"/>
      <x:c r="AA228" s="154"/>
      <x:c r="AB228" s="154"/>
      <x:c r="AC228" s="153"/>
      <x:c r="AD228" s="153"/>
      <x:c r="AE228" s="156" t="str">
        <x:f>IF(OR(AC228="",AD228=""),"",MOD(AD228-AC228,1)*24)</x:f>
      </x:c>
      <x:c r="AF228" s="154"/>
      <x:c r="AG228" s="156" t="str">
        <x:f>IF(AE228="","",MAX(0,AE228-IF(AF228="",0,AF228/60)))</x:f>
      </x:c>
      <x:c r="AH228" s="155"/>
      <x:c r="AI228" s="154"/>
      <x:c r="AJ228" s="154"/>
      <x:c r="AK228" s="156" t="n">
        <x:f>IFERROR(U228*W228,"")</x:f>
        <x:v>0</x:v>
      </x:c>
      <x:c r="AL228" s="156" t="n">
        <x:f>IFERROR(AE228*AI228,"")</x:f>
        <x:v>0</x:v>
      </x:c>
      <x:c r="AM228" s="157" t="str">
        <x:f>IFERROR(AH228/Q228,"")</x:f>
      </x:c>
      <x:c r="AN228" s="156" t="str">
        <x:f>IFERROR(AH228/AG228,"")</x:f>
      </x:c>
      <x:c r="AO228" s="156" t="str">
        <x:f>IFERROR(AL228/AH228,"")</x:f>
      </x:c>
      <x:c r="AP228" s="157" t="str">
        <x:f>IFERROR(AG228/AE228,"")</x:f>
      </x:c>
      <x:c r="AQ228" s="157" t="str">
        <x:f>IFERROR(AN228/(R228/'Configuracion'!$B$13),"")</x:f>
      </x:c>
      <x:c r="AR228" s="156" t="n">
        <x:f>IFERROR(AE228-U228,"")</x:f>
        <x:v>0</x:v>
      </x:c>
      <x:c r="AS228" s="154"/>
      <x:c r="AT228" s="154"/>
      <x:c r="AU228" s="154"/>
      <x:c r="AV228" s="154"/>
      <x:c r="AW228" s="152"/>
      <x:c r="AX228" s="154"/>
      <x:c r="AY228" s="154"/>
      <x:c r="AZ228" s="151"/>
      <x:c r="BA228" s="151"/>
    </x:row>
    <x:row r="229">
      <x:c r="A229" s="151" t="str">
        <x:f>IF(B229="","",TEXT(B229,"yyyymmdd")&amp;"-"&amp;TEXT(COUNTIF($B$5:B229,B229),"000"))</x:f>
      </x:c>
      <x:c r="B229" s="152"/>
      <x:c r="C229" s="153"/>
      <x:c r="D229" s="151" t="str">
        <x:f>IF(B229="","",'Configuracion'!$B$4)</x:f>
      </x:c>
      <x:c r="E229" s="154"/>
      <x:c r="F229" s="154"/>
      <x:c r="G229" s="151" t="str">
        <x:f>IFERROR(VLOOKUP(F229,'Base Sectores'!$A$5:$J$47,2,FALSE),"")</x:f>
      </x:c>
      <x:c r="H229" s="151" t="str">
        <x:f>IFERROR(VLOOKUP(F229,'Base Sectores'!$A$5:$J$47,3,FALSE),"")</x:f>
      </x:c>
      <x:c r="I229" s="151" t="str">
        <x:f>IFERROR(VLOOKUP(F229,'Base Sectores'!$A$5:$J$47,4,FALSE),"")</x:f>
      </x:c>
      <x:c r="J229" s="151" t="str">
        <x:f>IFERROR(VLOOKUP(F229,'Base Sectores'!$A$5:$J$47,5,FALSE),"")</x:f>
      </x:c>
      <x:c r="K229" s="151" t="str">
        <x:f>IFERROR(VLOOKUP(F229,'Base Sectores'!$A$5:$J$47,6,FALSE),"")</x:f>
      </x:c>
      <x:c r="L229" s="151" t="str">
        <x:f>IFERROR(VLOOKUP(F229,'Base Sectores'!$A$5:$J$47,7,FALSE),"")</x:f>
      </x:c>
      <x:c r="M229" s="151" t="str">
        <x:f>IFERROR(VLOOKUP(F229,'Base Sectores'!$A$5:$J$47,9,FALSE),"")</x:f>
      </x:c>
      <x:c r="N229" s="154"/>
      <x:c r="O229" s="151" t="str">
        <x:f>IFERROR(VLOOKUP(N229,'Configuracion'!$D$4:$H$15,2,FALSE),"")</x:f>
      </x:c>
      <x:c r="P229" s="151" t="str">
        <x:f>IFERROR(VLOOKUP(N229,'Configuracion'!$D$4:$H$15,3,FALSE),"")</x:f>
      </x:c>
      <x:c r="Q229" s="155"/>
      <x:c r="R229" s="156" t="str">
        <x:f>IFERROR(VLOOKUP(N229,'Configuracion'!$D$4:$H$15,4,FALSE),"")</x:f>
      </x:c>
      <x:c r="S229" s="153"/>
      <x:c r="T229" s="153"/>
      <x:c r="U229" s="156" t="str">
        <x:f>IF(OR(S229="",T229=""),"",MOD(T229-S229,1)*24)</x:f>
      </x:c>
      <x:c r="V229" s="154"/>
      <x:c r="W229" s="154"/>
      <x:c r="X229" s="151" t="str">
        <x:f>IFERROR(VLOOKUP(N229,'Configuracion'!$D$4:$H$15,5,FALSE),"")</x:f>
      </x:c>
      <x:c r="Y229" s="151" t="str">
        <x:f>IFERROR(VLOOKUP(V229,'Cuadrillas'!$A$5:$J$14,2,FALSE),"")</x:f>
      </x:c>
      <x:c r="Z229" s="154"/>
      <x:c r="AA229" s="154"/>
      <x:c r="AB229" s="154"/>
      <x:c r="AC229" s="153"/>
      <x:c r="AD229" s="153"/>
      <x:c r="AE229" s="156" t="str">
        <x:f>IF(OR(AC229="",AD229=""),"",MOD(AD229-AC229,1)*24)</x:f>
      </x:c>
      <x:c r="AF229" s="154"/>
      <x:c r="AG229" s="156" t="str">
        <x:f>IF(AE229="","",MAX(0,AE229-IF(AF229="",0,AF229/60)))</x:f>
      </x:c>
      <x:c r="AH229" s="155"/>
      <x:c r="AI229" s="154"/>
      <x:c r="AJ229" s="154"/>
      <x:c r="AK229" s="156" t="n">
        <x:f>IFERROR(U229*W229,"")</x:f>
        <x:v>0</x:v>
      </x:c>
      <x:c r="AL229" s="156" t="n">
        <x:f>IFERROR(AE229*AI229,"")</x:f>
        <x:v>0</x:v>
      </x:c>
      <x:c r="AM229" s="157" t="str">
        <x:f>IFERROR(AH229/Q229,"")</x:f>
      </x:c>
      <x:c r="AN229" s="156" t="str">
        <x:f>IFERROR(AH229/AG229,"")</x:f>
      </x:c>
      <x:c r="AO229" s="156" t="str">
        <x:f>IFERROR(AL229/AH229,"")</x:f>
      </x:c>
      <x:c r="AP229" s="157" t="str">
        <x:f>IFERROR(AG229/AE229,"")</x:f>
      </x:c>
      <x:c r="AQ229" s="157" t="str">
        <x:f>IFERROR(AN229/(R229/'Configuracion'!$B$13),"")</x:f>
      </x:c>
      <x:c r="AR229" s="156" t="n">
        <x:f>IFERROR(AE229-U229,"")</x:f>
        <x:v>0</x:v>
      </x:c>
      <x:c r="AS229" s="154"/>
      <x:c r="AT229" s="154"/>
      <x:c r="AU229" s="154"/>
      <x:c r="AV229" s="154"/>
      <x:c r="AW229" s="152"/>
      <x:c r="AX229" s="154"/>
      <x:c r="AY229" s="154"/>
      <x:c r="AZ229" s="151"/>
      <x:c r="BA229" s="151"/>
    </x:row>
    <x:row r="230">
      <x:c r="A230" s="151" t="str">
        <x:f>IF(B230="","",TEXT(B230,"yyyymmdd")&amp;"-"&amp;TEXT(COUNTIF($B$5:B230,B230),"000"))</x:f>
      </x:c>
      <x:c r="B230" s="152"/>
      <x:c r="C230" s="153"/>
      <x:c r="D230" s="151" t="str">
        <x:f>IF(B230="","",'Configuracion'!$B$4)</x:f>
      </x:c>
      <x:c r="E230" s="154"/>
      <x:c r="F230" s="154"/>
      <x:c r="G230" s="151" t="str">
        <x:f>IFERROR(VLOOKUP(F230,'Base Sectores'!$A$5:$J$47,2,FALSE),"")</x:f>
      </x:c>
      <x:c r="H230" s="151" t="str">
        <x:f>IFERROR(VLOOKUP(F230,'Base Sectores'!$A$5:$J$47,3,FALSE),"")</x:f>
      </x:c>
      <x:c r="I230" s="151" t="str">
        <x:f>IFERROR(VLOOKUP(F230,'Base Sectores'!$A$5:$J$47,4,FALSE),"")</x:f>
      </x:c>
      <x:c r="J230" s="151" t="str">
        <x:f>IFERROR(VLOOKUP(F230,'Base Sectores'!$A$5:$J$47,5,FALSE),"")</x:f>
      </x:c>
      <x:c r="K230" s="151" t="str">
        <x:f>IFERROR(VLOOKUP(F230,'Base Sectores'!$A$5:$J$47,6,FALSE),"")</x:f>
      </x:c>
      <x:c r="L230" s="151" t="str">
        <x:f>IFERROR(VLOOKUP(F230,'Base Sectores'!$A$5:$J$47,7,FALSE),"")</x:f>
      </x:c>
      <x:c r="M230" s="151" t="str">
        <x:f>IFERROR(VLOOKUP(F230,'Base Sectores'!$A$5:$J$47,9,FALSE),"")</x:f>
      </x:c>
      <x:c r="N230" s="154"/>
      <x:c r="O230" s="151" t="str">
        <x:f>IFERROR(VLOOKUP(N230,'Configuracion'!$D$4:$H$15,2,FALSE),"")</x:f>
      </x:c>
      <x:c r="P230" s="151" t="str">
        <x:f>IFERROR(VLOOKUP(N230,'Configuracion'!$D$4:$H$15,3,FALSE),"")</x:f>
      </x:c>
      <x:c r="Q230" s="155"/>
      <x:c r="R230" s="156" t="str">
        <x:f>IFERROR(VLOOKUP(N230,'Configuracion'!$D$4:$H$15,4,FALSE),"")</x:f>
      </x:c>
      <x:c r="S230" s="153"/>
      <x:c r="T230" s="153"/>
      <x:c r="U230" s="156" t="str">
        <x:f>IF(OR(S230="",T230=""),"",MOD(T230-S230,1)*24)</x:f>
      </x:c>
      <x:c r="V230" s="154"/>
      <x:c r="W230" s="154"/>
      <x:c r="X230" s="151" t="str">
        <x:f>IFERROR(VLOOKUP(N230,'Configuracion'!$D$4:$H$15,5,FALSE),"")</x:f>
      </x:c>
      <x:c r="Y230" s="151" t="str">
        <x:f>IFERROR(VLOOKUP(V230,'Cuadrillas'!$A$5:$J$14,2,FALSE),"")</x:f>
      </x:c>
      <x:c r="Z230" s="154"/>
      <x:c r="AA230" s="154"/>
      <x:c r="AB230" s="154"/>
      <x:c r="AC230" s="153"/>
      <x:c r="AD230" s="153"/>
      <x:c r="AE230" s="156" t="str">
        <x:f>IF(OR(AC230="",AD230=""),"",MOD(AD230-AC230,1)*24)</x:f>
      </x:c>
      <x:c r="AF230" s="154"/>
      <x:c r="AG230" s="156" t="str">
        <x:f>IF(AE230="","",MAX(0,AE230-IF(AF230="",0,AF230/60)))</x:f>
      </x:c>
      <x:c r="AH230" s="155"/>
      <x:c r="AI230" s="154"/>
      <x:c r="AJ230" s="154"/>
      <x:c r="AK230" s="156" t="n">
        <x:f>IFERROR(U230*W230,"")</x:f>
        <x:v>0</x:v>
      </x:c>
      <x:c r="AL230" s="156" t="n">
        <x:f>IFERROR(AE230*AI230,"")</x:f>
        <x:v>0</x:v>
      </x:c>
      <x:c r="AM230" s="157" t="str">
        <x:f>IFERROR(AH230/Q230,"")</x:f>
      </x:c>
      <x:c r="AN230" s="156" t="str">
        <x:f>IFERROR(AH230/AG230,"")</x:f>
      </x:c>
      <x:c r="AO230" s="156" t="str">
        <x:f>IFERROR(AL230/AH230,"")</x:f>
      </x:c>
      <x:c r="AP230" s="157" t="str">
        <x:f>IFERROR(AG230/AE230,"")</x:f>
      </x:c>
      <x:c r="AQ230" s="157" t="str">
        <x:f>IFERROR(AN230/(R230/'Configuracion'!$B$13),"")</x:f>
      </x:c>
      <x:c r="AR230" s="156" t="n">
        <x:f>IFERROR(AE230-U230,"")</x:f>
        <x:v>0</x:v>
      </x:c>
      <x:c r="AS230" s="154"/>
      <x:c r="AT230" s="154"/>
      <x:c r="AU230" s="154"/>
      <x:c r="AV230" s="154"/>
      <x:c r="AW230" s="152"/>
      <x:c r="AX230" s="154"/>
      <x:c r="AY230" s="154"/>
      <x:c r="AZ230" s="151"/>
      <x:c r="BA230" s="151"/>
    </x:row>
    <x:row r="231">
      <x:c r="A231" s="151" t="str">
        <x:f>IF(B231="","",TEXT(B231,"yyyymmdd")&amp;"-"&amp;TEXT(COUNTIF($B$5:B231,B231),"000"))</x:f>
      </x:c>
      <x:c r="B231" s="152"/>
      <x:c r="C231" s="153"/>
      <x:c r="D231" s="151" t="str">
        <x:f>IF(B231="","",'Configuracion'!$B$4)</x:f>
      </x:c>
      <x:c r="E231" s="154"/>
      <x:c r="F231" s="154"/>
      <x:c r="G231" s="151" t="str">
        <x:f>IFERROR(VLOOKUP(F231,'Base Sectores'!$A$5:$J$47,2,FALSE),"")</x:f>
      </x:c>
      <x:c r="H231" s="151" t="str">
        <x:f>IFERROR(VLOOKUP(F231,'Base Sectores'!$A$5:$J$47,3,FALSE),"")</x:f>
      </x:c>
      <x:c r="I231" s="151" t="str">
        <x:f>IFERROR(VLOOKUP(F231,'Base Sectores'!$A$5:$J$47,4,FALSE),"")</x:f>
      </x:c>
      <x:c r="J231" s="151" t="str">
        <x:f>IFERROR(VLOOKUP(F231,'Base Sectores'!$A$5:$J$47,5,FALSE),"")</x:f>
      </x:c>
      <x:c r="K231" s="151" t="str">
        <x:f>IFERROR(VLOOKUP(F231,'Base Sectores'!$A$5:$J$47,6,FALSE),"")</x:f>
      </x:c>
      <x:c r="L231" s="151" t="str">
        <x:f>IFERROR(VLOOKUP(F231,'Base Sectores'!$A$5:$J$47,7,FALSE),"")</x:f>
      </x:c>
      <x:c r="M231" s="151" t="str">
        <x:f>IFERROR(VLOOKUP(F231,'Base Sectores'!$A$5:$J$47,9,FALSE),"")</x:f>
      </x:c>
      <x:c r="N231" s="154"/>
      <x:c r="O231" s="151" t="str">
        <x:f>IFERROR(VLOOKUP(N231,'Configuracion'!$D$4:$H$15,2,FALSE),"")</x:f>
      </x:c>
      <x:c r="P231" s="151" t="str">
        <x:f>IFERROR(VLOOKUP(N231,'Configuracion'!$D$4:$H$15,3,FALSE),"")</x:f>
      </x:c>
      <x:c r="Q231" s="155"/>
      <x:c r="R231" s="156" t="str">
        <x:f>IFERROR(VLOOKUP(N231,'Configuracion'!$D$4:$H$15,4,FALSE),"")</x:f>
      </x:c>
      <x:c r="S231" s="153"/>
      <x:c r="T231" s="153"/>
      <x:c r="U231" s="156" t="str">
        <x:f>IF(OR(S231="",T231=""),"",MOD(T231-S231,1)*24)</x:f>
      </x:c>
      <x:c r="V231" s="154"/>
      <x:c r="W231" s="154"/>
      <x:c r="X231" s="151" t="str">
        <x:f>IFERROR(VLOOKUP(N231,'Configuracion'!$D$4:$H$15,5,FALSE),"")</x:f>
      </x:c>
      <x:c r="Y231" s="151" t="str">
        <x:f>IFERROR(VLOOKUP(V231,'Cuadrillas'!$A$5:$J$14,2,FALSE),"")</x:f>
      </x:c>
      <x:c r="Z231" s="154"/>
      <x:c r="AA231" s="154"/>
      <x:c r="AB231" s="154"/>
      <x:c r="AC231" s="153"/>
      <x:c r="AD231" s="153"/>
      <x:c r="AE231" s="156" t="str">
        <x:f>IF(OR(AC231="",AD231=""),"",MOD(AD231-AC231,1)*24)</x:f>
      </x:c>
      <x:c r="AF231" s="154"/>
      <x:c r="AG231" s="156" t="str">
        <x:f>IF(AE231="","",MAX(0,AE231-IF(AF231="",0,AF231/60)))</x:f>
      </x:c>
      <x:c r="AH231" s="155"/>
      <x:c r="AI231" s="154"/>
      <x:c r="AJ231" s="154"/>
      <x:c r="AK231" s="156" t="n">
        <x:f>IFERROR(U231*W231,"")</x:f>
        <x:v>0</x:v>
      </x:c>
      <x:c r="AL231" s="156" t="n">
        <x:f>IFERROR(AE231*AI231,"")</x:f>
        <x:v>0</x:v>
      </x:c>
      <x:c r="AM231" s="157" t="str">
        <x:f>IFERROR(AH231/Q231,"")</x:f>
      </x:c>
      <x:c r="AN231" s="156" t="str">
        <x:f>IFERROR(AH231/AG231,"")</x:f>
      </x:c>
      <x:c r="AO231" s="156" t="str">
        <x:f>IFERROR(AL231/AH231,"")</x:f>
      </x:c>
      <x:c r="AP231" s="157" t="str">
        <x:f>IFERROR(AG231/AE231,"")</x:f>
      </x:c>
      <x:c r="AQ231" s="157" t="str">
        <x:f>IFERROR(AN231/(R231/'Configuracion'!$B$13),"")</x:f>
      </x:c>
      <x:c r="AR231" s="156" t="n">
        <x:f>IFERROR(AE231-U231,"")</x:f>
        <x:v>0</x:v>
      </x:c>
      <x:c r="AS231" s="154"/>
      <x:c r="AT231" s="154"/>
      <x:c r="AU231" s="154"/>
      <x:c r="AV231" s="154"/>
      <x:c r="AW231" s="152"/>
      <x:c r="AX231" s="154"/>
      <x:c r="AY231" s="154"/>
      <x:c r="AZ231" s="151"/>
      <x:c r="BA231" s="151"/>
    </x:row>
    <x:row r="232">
      <x:c r="A232" s="151" t="str">
        <x:f>IF(B232="","",TEXT(B232,"yyyymmdd")&amp;"-"&amp;TEXT(COUNTIF($B$5:B232,B232),"000"))</x:f>
      </x:c>
      <x:c r="B232" s="152"/>
      <x:c r="C232" s="153"/>
      <x:c r="D232" s="151" t="str">
        <x:f>IF(B232="","",'Configuracion'!$B$4)</x:f>
      </x:c>
      <x:c r="E232" s="154"/>
      <x:c r="F232" s="154"/>
      <x:c r="G232" s="151" t="str">
        <x:f>IFERROR(VLOOKUP(F232,'Base Sectores'!$A$5:$J$47,2,FALSE),"")</x:f>
      </x:c>
      <x:c r="H232" s="151" t="str">
        <x:f>IFERROR(VLOOKUP(F232,'Base Sectores'!$A$5:$J$47,3,FALSE),"")</x:f>
      </x:c>
      <x:c r="I232" s="151" t="str">
        <x:f>IFERROR(VLOOKUP(F232,'Base Sectores'!$A$5:$J$47,4,FALSE),"")</x:f>
      </x:c>
      <x:c r="J232" s="151" t="str">
        <x:f>IFERROR(VLOOKUP(F232,'Base Sectores'!$A$5:$J$47,5,FALSE),"")</x:f>
      </x:c>
      <x:c r="K232" s="151" t="str">
        <x:f>IFERROR(VLOOKUP(F232,'Base Sectores'!$A$5:$J$47,6,FALSE),"")</x:f>
      </x:c>
      <x:c r="L232" s="151" t="str">
        <x:f>IFERROR(VLOOKUP(F232,'Base Sectores'!$A$5:$J$47,7,FALSE),"")</x:f>
      </x:c>
      <x:c r="M232" s="151" t="str">
        <x:f>IFERROR(VLOOKUP(F232,'Base Sectores'!$A$5:$J$47,9,FALSE),"")</x:f>
      </x:c>
      <x:c r="N232" s="154"/>
      <x:c r="O232" s="151" t="str">
        <x:f>IFERROR(VLOOKUP(N232,'Configuracion'!$D$4:$H$15,2,FALSE),"")</x:f>
      </x:c>
      <x:c r="P232" s="151" t="str">
        <x:f>IFERROR(VLOOKUP(N232,'Configuracion'!$D$4:$H$15,3,FALSE),"")</x:f>
      </x:c>
      <x:c r="Q232" s="155"/>
      <x:c r="R232" s="156" t="str">
        <x:f>IFERROR(VLOOKUP(N232,'Configuracion'!$D$4:$H$15,4,FALSE),"")</x:f>
      </x:c>
      <x:c r="S232" s="153"/>
      <x:c r="T232" s="153"/>
      <x:c r="U232" s="156" t="str">
        <x:f>IF(OR(S232="",T232=""),"",MOD(T232-S232,1)*24)</x:f>
      </x:c>
      <x:c r="V232" s="154"/>
      <x:c r="W232" s="154"/>
      <x:c r="X232" s="151" t="str">
        <x:f>IFERROR(VLOOKUP(N232,'Configuracion'!$D$4:$H$15,5,FALSE),"")</x:f>
      </x:c>
      <x:c r="Y232" s="151" t="str">
        <x:f>IFERROR(VLOOKUP(V232,'Cuadrillas'!$A$5:$J$14,2,FALSE),"")</x:f>
      </x:c>
      <x:c r="Z232" s="154"/>
      <x:c r="AA232" s="154"/>
      <x:c r="AB232" s="154"/>
      <x:c r="AC232" s="153"/>
      <x:c r="AD232" s="153"/>
      <x:c r="AE232" s="156" t="str">
        <x:f>IF(OR(AC232="",AD232=""),"",MOD(AD232-AC232,1)*24)</x:f>
      </x:c>
      <x:c r="AF232" s="154"/>
      <x:c r="AG232" s="156" t="str">
        <x:f>IF(AE232="","",MAX(0,AE232-IF(AF232="",0,AF232/60)))</x:f>
      </x:c>
      <x:c r="AH232" s="155"/>
      <x:c r="AI232" s="154"/>
      <x:c r="AJ232" s="154"/>
      <x:c r="AK232" s="156" t="n">
        <x:f>IFERROR(U232*W232,"")</x:f>
        <x:v>0</x:v>
      </x:c>
      <x:c r="AL232" s="156" t="n">
        <x:f>IFERROR(AE232*AI232,"")</x:f>
        <x:v>0</x:v>
      </x:c>
      <x:c r="AM232" s="157" t="str">
        <x:f>IFERROR(AH232/Q232,"")</x:f>
      </x:c>
      <x:c r="AN232" s="156" t="str">
        <x:f>IFERROR(AH232/AG232,"")</x:f>
      </x:c>
      <x:c r="AO232" s="156" t="str">
        <x:f>IFERROR(AL232/AH232,"")</x:f>
      </x:c>
      <x:c r="AP232" s="157" t="str">
        <x:f>IFERROR(AG232/AE232,"")</x:f>
      </x:c>
      <x:c r="AQ232" s="157" t="str">
        <x:f>IFERROR(AN232/(R232/'Configuracion'!$B$13),"")</x:f>
      </x:c>
      <x:c r="AR232" s="156" t="n">
        <x:f>IFERROR(AE232-U232,"")</x:f>
        <x:v>0</x:v>
      </x:c>
      <x:c r="AS232" s="154"/>
      <x:c r="AT232" s="154"/>
      <x:c r="AU232" s="154"/>
      <x:c r="AV232" s="154"/>
      <x:c r="AW232" s="152"/>
      <x:c r="AX232" s="154"/>
      <x:c r="AY232" s="154"/>
      <x:c r="AZ232" s="151"/>
      <x:c r="BA232" s="151"/>
    </x:row>
    <x:row r="233">
      <x:c r="A233" s="151" t="str">
        <x:f>IF(B233="","",TEXT(B233,"yyyymmdd")&amp;"-"&amp;TEXT(COUNTIF($B$5:B233,B233),"000"))</x:f>
      </x:c>
      <x:c r="B233" s="152"/>
      <x:c r="C233" s="153"/>
      <x:c r="D233" s="151" t="str">
        <x:f>IF(B233="","",'Configuracion'!$B$4)</x:f>
      </x:c>
      <x:c r="E233" s="154"/>
      <x:c r="F233" s="154"/>
      <x:c r="G233" s="151" t="str">
        <x:f>IFERROR(VLOOKUP(F233,'Base Sectores'!$A$5:$J$47,2,FALSE),"")</x:f>
      </x:c>
      <x:c r="H233" s="151" t="str">
        <x:f>IFERROR(VLOOKUP(F233,'Base Sectores'!$A$5:$J$47,3,FALSE),"")</x:f>
      </x:c>
      <x:c r="I233" s="151" t="str">
        <x:f>IFERROR(VLOOKUP(F233,'Base Sectores'!$A$5:$J$47,4,FALSE),"")</x:f>
      </x:c>
      <x:c r="J233" s="151" t="str">
        <x:f>IFERROR(VLOOKUP(F233,'Base Sectores'!$A$5:$J$47,5,FALSE),"")</x:f>
      </x:c>
      <x:c r="K233" s="151" t="str">
        <x:f>IFERROR(VLOOKUP(F233,'Base Sectores'!$A$5:$J$47,6,FALSE),"")</x:f>
      </x:c>
      <x:c r="L233" s="151" t="str">
        <x:f>IFERROR(VLOOKUP(F233,'Base Sectores'!$A$5:$J$47,7,FALSE),"")</x:f>
      </x:c>
      <x:c r="M233" s="151" t="str">
        <x:f>IFERROR(VLOOKUP(F233,'Base Sectores'!$A$5:$J$47,9,FALSE),"")</x:f>
      </x:c>
      <x:c r="N233" s="154"/>
      <x:c r="O233" s="151" t="str">
        <x:f>IFERROR(VLOOKUP(N233,'Configuracion'!$D$4:$H$15,2,FALSE),"")</x:f>
      </x:c>
      <x:c r="P233" s="151" t="str">
        <x:f>IFERROR(VLOOKUP(N233,'Configuracion'!$D$4:$H$15,3,FALSE),"")</x:f>
      </x:c>
      <x:c r="Q233" s="155"/>
      <x:c r="R233" s="156" t="str">
        <x:f>IFERROR(VLOOKUP(N233,'Configuracion'!$D$4:$H$15,4,FALSE),"")</x:f>
      </x:c>
      <x:c r="S233" s="153"/>
      <x:c r="T233" s="153"/>
      <x:c r="U233" s="156" t="str">
        <x:f>IF(OR(S233="",T233=""),"",MOD(T233-S233,1)*24)</x:f>
      </x:c>
      <x:c r="V233" s="154"/>
      <x:c r="W233" s="154"/>
      <x:c r="X233" s="151" t="str">
        <x:f>IFERROR(VLOOKUP(N233,'Configuracion'!$D$4:$H$15,5,FALSE),"")</x:f>
      </x:c>
      <x:c r="Y233" s="151" t="str">
        <x:f>IFERROR(VLOOKUP(V233,'Cuadrillas'!$A$5:$J$14,2,FALSE),"")</x:f>
      </x:c>
      <x:c r="Z233" s="154"/>
      <x:c r="AA233" s="154"/>
      <x:c r="AB233" s="154"/>
      <x:c r="AC233" s="153"/>
      <x:c r="AD233" s="153"/>
      <x:c r="AE233" s="156" t="str">
        <x:f>IF(OR(AC233="",AD233=""),"",MOD(AD233-AC233,1)*24)</x:f>
      </x:c>
      <x:c r="AF233" s="154"/>
      <x:c r="AG233" s="156" t="str">
        <x:f>IF(AE233="","",MAX(0,AE233-IF(AF233="",0,AF233/60)))</x:f>
      </x:c>
      <x:c r="AH233" s="155"/>
      <x:c r="AI233" s="154"/>
      <x:c r="AJ233" s="154"/>
      <x:c r="AK233" s="156" t="n">
        <x:f>IFERROR(U233*W233,"")</x:f>
        <x:v>0</x:v>
      </x:c>
      <x:c r="AL233" s="156" t="n">
        <x:f>IFERROR(AE233*AI233,"")</x:f>
        <x:v>0</x:v>
      </x:c>
      <x:c r="AM233" s="157" t="str">
        <x:f>IFERROR(AH233/Q233,"")</x:f>
      </x:c>
      <x:c r="AN233" s="156" t="str">
        <x:f>IFERROR(AH233/AG233,"")</x:f>
      </x:c>
      <x:c r="AO233" s="156" t="str">
        <x:f>IFERROR(AL233/AH233,"")</x:f>
      </x:c>
      <x:c r="AP233" s="157" t="str">
        <x:f>IFERROR(AG233/AE233,"")</x:f>
      </x:c>
      <x:c r="AQ233" s="157" t="str">
        <x:f>IFERROR(AN233/(R233/'Configuracion'!$B$13),"")</x:f>
      </x:c>
      <x:c r="AR233" s="156" t="n">
        <x:f>IFERROR(AE233-U233,"")</x:f>
        <x:v>0</x:v>
      </x:c>
      <x:c r="AS233" s="154"/>
      <x:c r="AT233" s="154"/>
      <x:c r="AU233" s="154"/>
      <x:c r="AV233" s="154"/>
      <x:c r="AW233" s="152"/>
      <x:c r="AX233" s="154"/>
      <x:c r="AY233" s="154"/>
      <x:c r="AZ233" s="151"/>
      <x:c r="BA233" s="151"/>
    </x:row>
    <x:row r="234">
      <x:c r="A234" s="151" t="str">
        <x:f>IF(B234="","",TEXT(B234,"yyyymmdd")&amp;"-"&amp;TEXT(COUNTIF($B$5:B234,B234),"000"))</x:f>
      </x:c>
      <x:c r="B234" s="152"/>
      <x:c r="C234" s="153"/>
      <x:c r="D234" s="151" t="str">
        <x:f>IF(B234="","",'Configuracion'!$B$4)</x:f>
      </x:c>
      <x:c r="E234" s="154"/>
      <x:c r="F234" s="154"/>
      <x:c r="G234" s="151" t="str">
        <x:f>IFERROR(VLOOKUP(F234,'Base Sectores'!$A$5:$J$47,2,FALSE),"")</x:f>
      </x:c>
      <x:c r="H234" s="151" t="str">
        <x:f>IFERROR(VLOOKUP(F234,'Base Sectores'!$A$5:$J$47,3,FALSE),"")</x:f>
      </x:c>
      <x:c r="I234" s="151" t="str">
        <x:f>IFERROR(VLOOKUP(F234,'Base Sectores'!$A$5:$J$47,4,FALSE),"")</x:f>
      </x:c>
      <x:c r="J234" s="151" t="str">
        <x:f>IFERROR(VLOOKUP(F234,'Base Sectores'!$A$5:$J$47,5,FALSE),"")</x:f>
      </x:c>
      <x:c r="K234" s="151" t="str">
        <x:f>IFERROR(VLOOKUP(F234,'Base Sectores'!$A$5:$J$47,6,FALSE),"")</x:f>
      </x:c>
      <x:c r="L234" s="151" t="str">
        <x:f>IFERROR(VLOOKUP(F234,'Base Sectores'!$A$5:$J$47,7,FALSE),"")</x:f>
      </x:c>
      <x:c r="M234" s="151" t="str">
        <x:f>IFERROR(VLOOKUP(F234,'Base Sectores'!$A$5:$J$47,9,FALSE),"")</x:f>
      </x:c>
      <x:c r="N234" s="154"/>
      <x:c r="O234" s="151" t="str">
        <x:f>IFERROR(VLOOKUP(N234,'Configuracion'!$D$4:$H$15,2,FALSE),"")</x:f>
      </x:c>
      <x:c r="P234" s="151" t="str">
        <x:f>IFERROR(VLOOKUP(N234,'Configuracion'!$D$4:$H$15,3,FALSE),"")</x:f>
      </x:c>
      <x:c r="Q234" s="155"/>
      <x:c r="R234" s="156" t="str">
        <x:f>IFERROR(VLOOKUP(N234,'Configuracion'!$D$4:$H$15,4,FALSE),"")</x:f>
      </x:c>
      <x:c r="S234" s="153"/>
      <x:c r="T234" s="153"/>
      <x:c r="U234" s="156" t="str">
        <x:f>IF(OR(S234="",T234=""),"",MOD(T234-S234,1)*24)</x:f>
      </x:c>
      <x:c r="V234" s="154"/>
      <x:c r="W234" s="154"/>
      <x:c r="X234" s="151" t="str">
        <x:f>IFERROR(VLOOKUP(N234,'Configuracion'!$D$4:$H$15,5,FALSE),"")</x:f>
      </x:c>
      <x:c r="Y234" s="151" t="str">
        <x:f>IFERROR(VLOOKUP(V234,'Cuadrillas'!$A$5:$J$14,2,FALSE),"")</x:f>
      </x:c>
      <x:c r="Z234" s="154"/>
      <x:c r="AA234" s="154"/>
      <x:c r="AB234" s="154"/>
      <x:c r="AC234" s="153"/>
      <x:c r="AD234" s="153"/>
      <x:c r="AE234" s="156" t="str">
        <x:f>IF(OR(AC234="",AD234=""),"",MOD(AD234-AC234,1)*24)</x:f>
      </x:c>
      <x:c r="AF234" s="154"/>
      <x:c r="AG234" s="156" t="str">
        <x:f>IF(AE234="","",MAX(0,AE234-IF(AF234="",0,AF234/60)))</x:f>
      </x:c>
      <x:c r="AH234" s="155"/>
      <x:c r="AI234" s="154"/>
      <x:c r="AJ234" s="154"/>
      <x:c r="AK234" s="156" t="n">
        <x:f>IFERROR(U234*W234,"")</x:f>
        <x:v>0</x:v>
      </x:c>
      <x:c r="AL234" s="156" t="n">
        <x:f>IFERROR(AE234*AI234,"")</x:f>
        <x:v>0</x:v>
      </x:c>
      <x:c r="AM234" s="157" t="str">
        <x:f>IFERROR(AH234/Q234,"")</x:f>
      </x:c>
      <x:c r="AN234" s="156" t="str">
        <x:f>IFERROR(AH234/AG234,"")</x:f>
      </x:c>
      <x:c r="AO234" s="156" t="str">
        <x:f>IFERROR(AL234/AH234,"")</x:f>
      </x:c>
      <x:c r="AP234" s="157" t="str">
        <x:f>IFERROR(AG234/AE234,"")</x:f>
      </x:c>
      <x:c r="AQ234" s="157" t="str">
        <x:f>IFERROR(AN234/(R234/'Configuracion'!$B$13),"")</x:f>
      </x:c>
      <x:c r="AR234" s="156" t="n">
        <x:f>IFERROR(AE234-U234,"")</x:f>
        <x:v>0</x:v>
      </x:c>
      <x:c r="AS234" s="154"/>
      <x:c r="AT234" s="154"/>
      <x:c r="AU234" s="154"/>
      <x:c r="AV234" s="154"/>
      <x:c r="AW234" s="152"/>
      <x:c r="AX234" s="154"/>
      <x:c r="AY234" s="154"/>
      <x:c r="AZ234" s="151"/>
      <x:c r="BA234" s="151"/>
    </x:row>
    <x:row r="235">
      <x:c r="A235" s="151" t="str">
        <x:f>IF(B235="","",TEXT(B235,"yyyymmdd")&amp;"-"&amp;TEXT(COUNTIF($B$5:B235,B235),"000"))</x:f>
      </x:c>
      <x:c r="B235" s="152"/>
      <x:c r="C235" s="153"/>
      <x:c r="D235" s="151" t="str">
        <x:f>IF(B235="","",'Configuracion'!$B$4)</x:f>
      </x:c>
      <x:c r="E235" s="154"/>
      <x:c r="F235" s="154"/>
      <x:c r="G235" s="151" t="str">
        <x:f>IFERROR(VLOOKUP(F235,'Base Sectores'!$A$5:$J$47,2,FALSE),"")</x:f>
      </x:c>
      <x:c r="H235" s="151" t="str">
        <x:f>IFERROR(VLOOKUP(F235,'Base Sectores'!$A$5:$J$47,3,FALSE),"")</x:f>
      </x:c>
      <x:c r="I235" s="151" t="str">
        <x:f>IFERROR(VLOOKUP(F235,'Base Sectores'!$A$5:$J$47,4,FALSE),"")</x:f>
      </x:c>
      <x:c r="J235" s="151" t="str">
        <x:f>IFERROR(VLOOKUP(F235,'Base Sectores'!$A$5:$J$47,5,FALSE),"")</x:f>
      </x:c>
      <x:c r="K235" s="151" t="str">
        <x:f>IFERROR(VLOOKUP(F235,'Base Sectores'!$A$5:$J$47,6,FALSE),"")</x:f>
      </x:c>
      <x:c r="L235" s="151" t="str">
        <x:f>IFERROR(VLOOKUP(F235,'Base Sectores'!$A$5:$J$47,7,FALSE),"")</x:f>
      </x:c>
      <x:c r="M235" s="151" t="str">
        <x:f>IFERROR(VLOOKUP(F235,'Base Sectores'!$A$5:$J$47,9,FALSE),"")</x:f>
      </x:c>
      <x:c r="N235" s="154"/>
      <x:c r="O235" s="151" t="str">
        <x:f>IFERROR(VLOOKUP(N235,'Configuracion'!$D$4:$H$15,2,FALSE),"")</x:f>
      </x:c>
      <x:c r="P235" s="151" t="str">
        <x:f>IFERROR(VLOOKUP(N235,'Configuracion'!$D$4:$H$15,3,FALSE),"")</x:f>
      </x:c>
      <x:c r="Q235" s="155"/>
      <x:c r="R235" s="156" t="str">
        <x:f>IFERROR(VLOOKUP(N235,'Configuracion'!$D$4:$H$15,4,FALSE),"")</x:f>
      </x:c>
      <x:c r="S235" s="153"/>
      <x:c r="T235" s="153"/>
      <x:c r="U235" s="156" t="str">
        <x:f>IF(OR(S235="",T235=""),"",MOD(T235-S235,1)*24)</x:f>
      </x:c>
      <x:c r="V235" s="154"/>
      <x:c r="W235" s="154"/>
      <x:c r="X235" s="151" t="str">
        <x:f>IFERROR(VLOOKUP(N235,'Configuracion'!$D$4:$H$15,5,FALSE),"")</x:f>
      </x:c>
      <x:c r="Y235" s="151" t="str">
        <x:f>IFERROR(VLOOKUP(V235,'Cuadrillas'!$A$5:$J$14,2,FALSE),"")</x:f>
      </x:c>
      <x:c r="Z235" s="154"/>
      <x:c r="AA235" s="154"/>
      <x:c r="AB235" s="154"/>
      <x:c r="AC235" s="153"/>
      <x:c r="AD235" s="153"/>
      <x:c r="AE235" s="156" t="str">
        <x:f>IF(OR(AC235="",AD235=""),"",MOD(AD235-AC235,1)*24)</x:f>
      </x:c>
      <x:c r="AF235" s="154"/>
      <x:c r="AG235" s="156" t="str">
        <x:f>IF(AE235="","",MAX(0,AE235-IF(AF235="",0,AF235/60)))</x:f>
      </x:c>
      <x:c r="AH235" s="155"/>
      <x:c r="AI235" s="154"/>
      <x:c r="AJ235" s="154"/>
      <x:c r="AK235" s="156" t="n">
        <x:f>IFERROR(U235*W235,"")</x:f>
        <x:v>0</x:v>
      </x:c>
      <x:c r="AL235" s="156" t="n">
        <x:f>IFERROR(AE235*AI235,"")</x:f>
        <x:v>0</x:v>
      </x:c>
      <x:c r="AM235" s="157" t="str">
        <x:f>IFERROR(AH235/Q235,"")</x:f>
      </x:c>
      <x:c r="AN235" s="156" t="str">
        <x:f>IFERROR(AH235/AG235,"")</x:f>
      </x:c>
      <x:c r="AO235" s="156" t="str">
        <x:f>IFERROR(AL235/AH235,"")</x:f>
      </x:c>
      <x:c r="AP235" s="157" t="str">
        <x:f>IFERROR(AG235/AE235,"")</x:f>
      </x:c>
      <x:c r="AQ235" s="157" t="str">
        <x:f>IFERROR(AN235/(R235/'Configuracion'!$B$13),"")</x:f>
      </x:c>
      <x:c r="AR235" s="156" t="n">
        <x:f>IFERROR(AE235-U235,"")</x:f>
        <x:v>0</x:v>
      </x:c>
      <x:c r="AS235" s="154"/>
      <x:c r="AT235" s="154"/>
      <x:c r="AU235" s="154"/>
      <x:c r="AV235" s="154"/>
      <x:c r="AW235" s="152"/>
      <x:c r="AX235" s="154"/>
      <x:c r="AY235" s="154"/>
      <x:c r="AZ235" s="151"/>
      <x:c r="BA235" s="151"/>
    </x:row>
    <x:row r="236">
      <x:c r="A236" s="151" t="str">
        <x:f>IF(B236="","",TEXT(B236,"yyyymmdd")&amp;"-"&amp;TEXT(COUNTIF($B$5:B236,B236),"000"))</x:f>
      </x:c>
      <x:c r="B236" s="152"/>
      <x:c r="C236" s="153"/>
      <x:c r="D236" s="151" t="str">
        <x:f>IF(B236="","",'Configuracion'!$B$4)</x:f>
      </x:c>
      <x:c r="E236" s="154"/>
      <x:c r="F236" s="154"/>
      <x:c r="G236" s="151" t="str">
        <x:f>IFERROR(VLOOKUP(F236,'Base Sectores'!$A$5:$J$47,2,FALSE),"")</x:f>
      </x:c>
      <x:c r="H236" s="151" t="str">
        <x:f>IFERROR(VLOOKUP(F236,'Base Sectores'!$A$5:$J$47,3,FALSE),"")</x:f>
      </x:c>
      <x:c r="I236" s="151" t="str">
        <x:f>IFERROR(VLOOKUP(F236,'Base Sectores'!$A$5:$J$47,4,FALSE),"")</x:f>
      </x:c>
      <x:c r="J236" s="151" t="str">
        <x:f>IFERROR(VLOOKUP(F236,'Base Sectores'!$A$5:$J$47,5,FALSE),"")</x:f>
      </x:c>
      <x:c r="K236" s="151" t="str">
        <x:f>IFERROR(VLOOKUP(F236,'Base Sectores'!$A$5:$J$47,6,FALSE),"")</x:f>
      </x:c>
      <x:c r="L236" s="151" t="str">
        <x:f>IFERROR(VLOOKUP(F236,'Base Sectores'!$A$5:$J$47,7,FALSE),"")</x:f>
      </x:c>
      <x:c r="M236" s="151" t="str">
        <x:f>IFERROR(VLOOKUP(F236,'Base Sectores'!$A$5:$J$47,9,FALSE),"")</x:f>
      </x:c>
      <x:c r="N236" s="154"/>
      <x:c r="O236" s="151" t="str">
        <x:f>IFERROR(VLOOKUP(N236,'Configuracion'!$D$4:$H$15,2,FALSE),"")</x:f>
      </x:c>
      <x:c r="P236" s="151" t="str">
        <x:f>IFERROR(VLOOKUP(N236,'Configuracion'!$D$4:$H$15,3,FALSE),"")</x:f>
      </x:c>
      <x:c r="Q236" s="155"/>
      <x:c r="R236" s="156" t="str">
        <x:f>IFERROR(VLOOKUP(N236,'Configuracion'!$D$4:$H$15,4,FALSE),"")</x:f>
      </x:c>
      <x:c r="S236" s="153"/>
      <x:c r="T236" s="153"/>
      <x:c r="U236" s="156" t="str">
        <x:f>IF(OR(S236="",T236=""),"",MOD(T236-S236,1)*24)</x:f>
      </x:c>
      <x:c r="V236" s="154"/>
      <x:c r="W236" s="154"/>
      <x:c r="X236" s="151" t="str">
        <x:f>IFERROR(VLOOKUP(N236,'Configuracion'!$D$4:$H$15,5,FALSE),"")</x:f>
      </x:c>
      <x:c r="Y236" s="151" t="str">
        <x:f>IFERROR(VLOOKUP(V236,'Cuadrillas'!$A$5:$J$14,2,FALSE),"")</x:f>
      </x:c>
      <x:c r="Z236" s="154"/>
      <x:c r="AA236" s="154"/>
      <x:c r="AB236" s="154"/>
      <x:c r="AC236" s="153"/>
      <x:c r="AD236" s="153"/>
      <x:c r="AE236" s="156" t="str">
        <x:f>IF(OR(AC236="",AD236=""),"",MOD(AD236-AC236,1)*24)</x:f>
      </x:c>
      <x:c r="AF236" s="154"/>
      <x:c r="AG236" s="156" t="str">
        <x:f>IF(AE236="","",MAX(0,AE236-IF(AF236="",0,AF236/60)))</x:f>
      </x:c>
      <x:c r="AH236" s="155"/>
      <x:c r="AI236" s="154"/>
      <x:c r="AJ236" s="154"/>
      <x:c r="AK236" s="156" t="n">
        <x:f>IFERROR(U236*W236,"")</x:f>
        <x:v>0</x:v>
      </x:c>
      <x:c r="AL236" s="156" t="n">
        <x:f>IFERROR(AE236*AI236,"")</x:f>
        <x:v>0</x:v>
      </x:c>
      <x:c r="AM236" s="157" t="str">
        <x:f>IFERROR(AH236/Q236,"")</x:f>
      </x:c>
      <x:c r="AN236" s="156" t="str">
        <x:f>IFERROR(AH236/AG236,"")</x:f>
      </x:c>
      <x:c r="AO236" s="156" t="str">
        <x:f>IFERROR(AL236/AH236,"")</x:f>
      </x:c>
      <x:c r="AP236" s="157" t="str">
        <x:f>IFERROR(AG236/AE236,"")</x:f>
      </x:c>
      <x:c r="AQ236" s="157" t="str">
        <x:f>IFERROR(AN236/(R236/'Configuracion'!$B$13),"")</x:f>
      </x:c>
      <x:c r="AR236" s="156" t="n">
        <x:f>IFERROR(AE236-U236,"")</x:f>
        <x:v>0</x:v>
      </x:c>
      <x:c r="AS236" s="154"/>
      <x:c r="AT236" s="154"/>
      <x:c r="AU236" s="154"/>
      <x:c r="AV236" s="154"/>
      <x:c r="AW236" s="152"/>
      <x:c r="AX236" s="154"/>
      <x:c r="AY236" s="154"/>
      <x:c r="AZ236" s="151"/>
      <x:c r="BA236" s="151"/>
    </x:row>
    <x:row r="237">
      <x:c r="A237" s="151" t="str">
        <x:f>IF(B237="","",TEXT(B237,"yyyymmdd")&amp;"-"&amp;TEXT(COUNTIF($B$5:B237,B237),"000"))</x:f>
      </x:c>
      <x:c r="B237" s="152"/>
      <x:c r="C237" s="153"/>
      <x:c r="D237" s="151" t="str">
        <x:f>IF(B237="","",'Configuracion'!$B$4)</x:f>
      </x:c>
      <x:c r="E237" s="154"/>
      <x:c r="F237" s="154"/>
      <x:c r="G237" s="151" t="str">
        <x:f>IFERROR(VLOOKUP(F237,'Base Sectores'!$A$5:$J$47,2,FALSE),"")</x:f>
      </x:c>
      <x:c r="H237" s="151" t="str">
        <x:f>IFERROR(VLOOKUP(F237,'Base Sectores'!$A$5:$J$47,3,FALSE),"")</x:f>
      </x:c>
      <x:c r="I237" s="151" t="str">
        <x:f>IFERROR(VLOOKUP(F237,'Base Sectores'!$A$5:$J$47,4,FALSE),"")</x:f>
      </x:c>
      <x:c r="J237" s="151" t="str">
        <x:f>IFERROR(VLOOKUP(F237,'Base Sectores'!$A$5:$J$47,5,FALSE),"")</x:f>
      </x:c>
      <x:c r="K237" s="151" t="str">
        <x:f>IFERROR(VLOOKUP(F237,'Base Sectores'!$A$5:$J$47,6,FALSE),"")</x:f>
      </x:c>
      <x:c r="L237" s="151" t="str">
        <x:f>IFERROR(VLOOKUP(F237,'Base Sectores'!$A$5:$J$47,7,FALSE),"")</x:f>
      </x:c>
      <x:c r="M237" s="151" t="str">
        <x:f>IFERROR(VLOOKUP(F237,'Base Sectores'!$A$5:$J$47,9,FALSE),"")</x:f>
      </x:c>
      <x:c r="N237" s="154"/>
      <x:c r="O237" s="151" t="str">
        <x:f>IFERROR(VLOOKUP(N237,'Configuracion'!$D$4:$H$15,2,FALSE),"")</x:f>
      </x:c>
      <x:c r="P237" s="151" t="str">
        <x:f>IFERROR(VLOOKUP(N237,'Configuracion'!$D$4:$H$15,3,FALSE),"")</x:f>
      </x:c>
      <x:c r="Q237" s="155"/>
      <x:c r="R237" s="156" t="str">
        <x:f>IFERROR(VLOOKUP(N237,'Configuracion'!$D$4:$H$15,4,FALSE),"")</x:f>
      </x:c>
      <x:c r="S237" s="153"/>
      <x:c r="T237" s="153"/>
      <x:c r="U237" s="156" t="str">
        <x:f>IF(OR(S237="",T237=""),"",MOD(T237-S237,1)*24)</x:f>
      </x:c>
      <x:c r="V237" s="154"/>
      <x:c r="W237" s="154"/>
      <x:c r="X237" s="151" t="str">
        <x:f>IFERROR(VLOOKUP(N237,'Configuracion'!$D$4:$H$15,5,FALSE),"")</x:f>
      </x:c>
      <x:c r="Y237" s="151" t="str">
        <x:f>IFERROR(VLOOKUP(V237,'Cuadrillas'!$A$5:$J$14,2,FALSE),"")</x:f>
      </x:c>
      <x:c r="Z237" s="154"/>
      <x:c r="AA237" s="154"/>
      <x:c r="AB237" s="154"/>
      <x:c r="AC237" s="153"/>
      <x:c r="AD237" s="153"/>
      <x:c r="AE237" s="156" t="str">
        <x:f>IF(OR(AC237="",AD237=""),"",MOD(AD237-AC237,1)*24)</x:f>
      </x:c>
      <x:c r="AF237" s="154"/>
      <x:c r="AG237" s="156" t="str">
        <x:f>IF(AE237="","",MAX(0,AE237-IF(AF237="",0,AF237/60)))</x:f>
      </x:c>
      <x:c r="AH237" s="155"/>
      <x:c r="AI237" s="154"/>
      <x:c r="AJ237" s="154"/>
      <x:c r="AK237" s="156" t="n">
        <x:f>IFERROR(U237*W237,"")</x:f>
        <x:v>0</x:v>
      </x:c>
      <x:c r="AL237" s="156" t="n">
        <x:f>IFERROR(AE237*AI237,"")</x:f>
        <x:v>0</x:v>
      </x:c>
      <x:c r="AM237" s="157" t="str">
        <x:f>IFERROR(AH237/Q237,"")</x:f>
      </x:c>
      <x:c r="AN237" s="156" t="str">
        <x:f>IFERROR(AH237/AG237,"")</x:f>
      </x:c>
      <x:c r="AO237" s="156" t="str">
        <x:f>IFERROR(AL237/AH237,"")</x:f>
      </x:c>
      <x:c r="AP237" s="157" t="str">
        <x:f>IFERROR(AG237/AE237,"")</x:f>
      </x:c>
      <x:c r="AQ237" s="157" t="str">
        <x:f>IFERROR(AN237/(R237/'Configuracion'!$B$13),"")</x:f>
      </x:c>
      <x:c r="AR237" s="156" t="n">
        <x:f>IFERROR(AE237-U237,"")</x:f>
        <x:v>0</x:v>
      </x:c>
      <x:c r="AS237" s="154"/>
      <x:c r="AT237" s="154"/>
      <x:c r="AU237" s="154"/>
      <x:c r="AV237" s="154"/>
      <x:c r="AW237" s="152"/>
      <x:c r="AX237" s="154"/>
      <x:c r="AY237" s="154"/>
      <x:c r="AZ237" s="151"/>
      <x:c r="BA237" s="151"/>
    </x:row>
    <x:row r="238">
      <x:c r="A238" s="151" t="str">
        <x:f>IF(B238="","",TEXT(B238,"yyyymmdd")&amp;"-"&amp;TEXT(COUNTIF($B$5:B238,B238),"000"))</x:f>
      </x:c>
      <x:c r="B238" s="152"/>
      <x:c r="C238" s="153"/>
      <x:c r="D238" s="151" t="str">
        <x:f>IF(B238="","",'Configuracion'!$B$4)</x:f>
      </x:c>
      <x:c r="E238" s="154"/>
      <x:c r="F238" s="154"/>
      <x:c r="G238" s="151" t="str">
        <x:f>IFERROR(VLOOKUP(F238,'Base Sectores'!$A$5:$J$47,2,FALSE),"")</x:f>
      </x:c>
      <x:c r="H238" s="151" t="str">
        <x:f>IFERROR(VLOOKUP(F238,'Base Sectores'!$A$5:$J$47,3,FALSE),"")</x:f>
      </x:c>
      <x:c r="I238" s="151" t="str">
        <x:f>IFERROR(VLOOKUP(F238,'Base Sectores'!$A$5:$J$47,4,FALSE),"")</x:f>
      </x:c>
      <x:c r="J238" s="151" t="str">
        <x:f>IFERROR(VLOOKUP(F238,'Base Sectores'!$A$5:$J$47,5,FALSE),"")</x:f>
      </x:c>
      <x:c r="K238" s="151" t="str">
        <x:f>IFERROR(VLOOKUP(F238,'Base Sectores'!$A$5:$J$47,6,FALSE),"")</x:f>
      </x:c>
      <x:c r="L238" s="151" t="str">
        <x:f>IFERROR(VLOOKUP(F238,'Base Sectores'!$A$5:$J$47,7,FALSE),"")</x:f>
      </x:c>
      <x:c r="M238" s="151" t="str">
        <x:f>IFERROR(VLOOKUP(F238,'Base Sectores'!$A$5:$J$47,9,FALSE),"")</x:f>
      </x:c>
      <x:c r="N238" s="154"/>
      <x:c r="O238" s="151" t="str">
        <x:f>IFERROR(VLOOKUP(N238,'Configuracion'!$D$4:$H$15,2,FALSE),"")</x:f>
      </x:c>
      <x:c r="P238" s="151" t="str">
        <x:f>IFERROR(VLOOKUP(N238,'Configuracion'!$D$4:$H$15,3,FALSE),"")</x:f>
      </x:c>
      <x:c r="Q238" s="155"/>
      <x:c r="R238" s="156" t="str">
        <x:f>IFERROR(VLOOKUP(N238,'Configuracion'!$D$4:$H$15,4,FALSE),"")</x:f>
      </x:c>
      <x:c r="S238" s="153"/>
      <x:c r="T238" s="153"/>
      <x:c r="U238" s="156" t="str">
        <x:f>IF(OR(S238="",T238=""),"",MOD(T238-S238,1)*24)</x:f>
      </x:c>
      <x:c r="V238" s="154"/>
      <x:c r="W238" s="154"/>
      <x:c r="X238" s="151" t="str">
        <x:f>IFERROR(VLOOKUP(N238,'Configuracion'!$D$4:$H$15,5,FALSE),"")</x:f>
      </x:c>
      <x:c r="Y238" s="151" t="str">
        <x:f>IFERROR(VLOOKUP(V238,'Cuadrillas'!$A$5:$J$14,2,FALSE),"")</x:f>
      </x:c>
      <x:c r="Z238" s="154"/>
      <x:c r="AA238" s="154"/>
      <x:c r="AB238" s="154"/>
      <x:c r="AC238" s="153"/>
      <x:c r="AD238" s="153"/>
      <x:c r="AE238" s="156" t="str">
        <x:f>IF(OR(AC238="",AD238=""),"",MOD(AD238-AC238,1)*24)</x:f>
      </x:c>
      <x:c r="AF238" s="154"/>
      <x:c r="AG238" s="156" t="str">
        <x:f>IF(AE238="","",MAX(0,AE238-IF(AF238="",0,AF238/60)))</x:f>
      </x:c>
      <x:c r="AH238" s="155"/>
      <x:c r="AI238" s="154"/>
      <x:c r="AJ238" s="154"/>
      <x:c r="AK238" s="156" t="n">
        <x:f>IFERROR(U238*W238,"")</x:f>
        <x:v>0</x:v>
      </x:c>
      <x:c r="AL238" s="156" t="n">
        <x:f>IFERROR(AE238*AI238,"")</x:f>
        <x:v>0</x:v>
      </x:c>
      <x:c r="AM238" s="157" t="str">
        <x:f>IFERROR(AH238/Q238,"")</x:f>
      </x:c>
      <x:c r="AN238" s="156" t="str">
        <x:f>IFERROR(AH238/AG238,"")</x:f>
      </x:c>
      <x:c r="AO238" s="156" t="str">
        <x:f>IFERROR(AL238/AH238,"")</x:f>
      </x:c>
      <x:c r="AP238" s="157" t="str">
        <x:f>IFERROR(AG238/AE238,"")</x:f>
      </x:c>
      <x:c r="AQ238" s="157" t="str">
        <x:f>IFERROR(AN238/(R238/'Configuracion'!$B$13),"")</x:f>
      </x:c>
      <x:c r="AR238" s="156" t="n">
        <x:f>IFERROR(AE238-U238,"")</x:f>
        <x:v>0</x:v>
      </x:c>
      <x:c r="AS238" s="154"/>
      <x:c r="AT238" s="154"/>
      <x:c r="AU238" s="154"/>
      <x:c r="AV238" s="154"/>
      <x:c r="AW238" s="152"/>
      <x:c r="AX238" s="154"/>
      <x:c r="AY238" s="154"/>
      <x:c r="AZ238" s="151"/>
      <x:c r="BA238" s="151"/>
    </x:row>
    <x:row r="239">
      <x:c r="A239" s="151" t="str">
        <x:f>IF(B239="","",TEXT(B239,"yyyymmdd")&amp;"-"&amp;TEXT(COUNTIF($B$5:B239,B239),"000"))</x:f>
      </x:c>
      <x:c r="B239" s="152"/>
      <x:c r="C239" s="153"/>
      <x:c r="D239" s="151" t="str">
        <x:f>IF(B239="","",'Configuracion'!$B$4)</x:f>
      </x:c>
      <x:c r="E239" s="154"/>
      <x:c r="F239" s="154"/>
      <x:c r="G239" s="151" t="str">
        <x:f>IFERROR(VLOOKUP(F239,'Base Sectores'!$A$5:$J$47,2,FALSE),"")</x:f>
      </x:c>
      <x:c r="H239" s="151" t="str">
        <x:f>IFERROR(VLOOKUP(F239,'Base Sectores'!$A$5:$J$47,3,FALSE),"")</x:f>
      </x:c>
      <x:c r="I239" s="151" t="str">
        <x:f>IFERROR(VLOOKUP(F239,'Base Sectores'!$A$5:$J$47,4,FALSE),"")</x:f>
      </x:c>
      <x:c r="J239" s="151" t="str">
        <x:f>IFERROR(VLOOKUP(F239,'Base Sectores'!$A$5:$J$47,5,FALSE),"")</x:f>
      </x:c>
      <x:c r="K239" s="151" t="str">
        <x:f>IFERROR(VLOOKUP(F239,'Base Sectores'!$A$5:$J$47,6,FALSE),"")</x:f>
      </x:c>
      <x:c r="L239" s="151" t="str">
        <x:f>IFERROR(VLOOKUP(F239,'Base Sectores'!$A$5:$J$47,7,FALSE),"")</x:f>
      </x:c>
      <x:c r="M239" s="151" t="str">
        <x:f>IFERROR(VLOOKUP(F239,'Base Sectores'!$A$5:$J$47,9,FALSE),"")</x:f>
      </x:c>
      <x:c r="N239" s="154"/>
      <x:c r="O239" s="151" t="str">
        <x:f>IFERROR(VLOOKUP(N239,'Configuracion'!$D$4:$H$15,2,FALSE),"")</x:f>
      </x:c>
      <x:c r="P239" s="151" t="str">
        <x:f>IFERROR(VLOOKUP(N239,'Configuracion'!$D$4:$H$15,3,FALSE),"")</x:f>
      </x:c>
      <x:c r="Q239" s="155"/>
      <x:c r="R239" s="156" t="str">
        <x:f>IFERROR(VLOOKUP(N239,'Configuracion'!$D$4:$H$15,4,FALSE),"")</x:f>
      </x:c>
      <x:c r="S239" s="153"/>
      <x:c r="T239" s="153"/>
      <x:c r="U239" s="156" t="str">
        <x:f>IF(OR(S239="",T239=""),"",MOD(T239-S239,1)*24)</x:f>
      </x:c>
      <x:c r="V239" s="154"/>
      <x:c r="W239" s="154"/>
      <x:c r="X239" s="151" t="str">
        <x:f>IFERROR(VLOOKUP(N239,'Configuracion'!$D$4:$H$15,5,FALSE),"")</x:f>
      </x:c>
      <x:c r="Y239" s="151" t="str">
        <x:f>IFERROR(VLOOKUP(V239,'Cuadrillas'!$A$5:$J$14,2,FALSE),"")</x:f>
      </x:c>
      <x:c r="Z239" s="154"/>
      <x:c r="AA239" s="154"/>
      <x:c r="AB239" s="154"/>
      <x:c r="AC239" s="153"/>
      <x:c r="AD239" s="153"/>
      <x:c r="AE239" s="156" t="str">
        <x:f>IF(OR(AC239="",AD239=""),"",MOD(AD239-AC239,1)*24)</x:f>
      </x:c>
      <x:c r="AF239" s="154"/>
      <x:c r="AG239" s="156" t="str">
        <x:f>IF(AE239="","",MAX(0,AE239-IF(AF239="",0,AF239/60)))</x:f>
      </x:c>
      <x:c r="AH239" s="155"/>
      <x:c r="AI239" s="154"/>
      <x:c r="AJ239" s="154"/>
      <x:c r="AK239" s="156" t="n">
        <x:f>IFERROR(U239*W239,"")</x:f>
        <x:v>0</x:v>
      </x:c>
      <x:c r="AL239" s="156" t="n">
        <x:f>IFERROR(AE239*AI239,"")</x:f>
        <x:v>0</x:v>
      </x:c>
      <x:c r="AM239" s="157" t="str">
        <x:f>IFERROR(AH239/Q239,"")</x:f>
      </x:c>
      <x:c r="AN239" s="156" t="str">
        <x:f>IFERROR(AH239/AG239,"")</x:f>
      </x:c>
      <x:c r="AO239" s="156" t="str">
        <x:f>IFERROR(AL239/AH239,"")</x:f>
      </x:c>
      <x:c r="AP239" s="157" t="str">
        <x:f>IFERROR(AG239/AE239,"")</x:f>
      </x:c>
      <x:c r="AQ239" s="157" t="str">
        <x:f>IFERROR(AN239/(R239/'Configuracion'!$B$13),"")</x:f>
      </x:c>
      <x:c r="AR239" s="156" t="n">
        <x:f>IFERROR(AE239-U239,"")</x:f>
        <x:v>0</x:v>
      </x:c>
      <x:c r="AS239" s="154"/>
      <x:c r="AT239" s="154"/>
      <x:c r="AU239" s="154"/>
      <x:c r="AV239" s="154"/>
      <x:c r="AW239" s="152"/>
      <x:c r="AX239" s="154"/>
      <x:c r="AY239" s="154"/>
      <x:c r="AZ239" s="151"/>
      <x:c r="BA239" s="151"/>
    </x:row>
    <x:row r="240">
      <x:c r="A240" s="151" t="str">
        <x:f>IF(B240="","",TEXT(B240,"yyyymmdd")&amp;"-"&amp;TEXT(COUNTIF($B$5:B240,B240),"000"))</x:f>
      </x:c>
      <x:c r="B240" s="152"/>
      <x:c r="C240" s="153"/>
      <x:c r="D240" s="151" t="str">
        <x:f>IF(B240="","",'Configuracion'!$B$4)</x:f>
      </x:c>
      <x:c r="E240" s="154"/>
      <x:c r="F240" s="154"/>
      <x:c r="G240" s="151" t="str">
        <x:f>IFERROR(VLOOKUP(F240,'Base Sectores'!$A$5:$J$47,2,FALSE),"")</x:f>
      </x:c>
      <x:c r="H240" s="151" t="str">
        <x:f>IFERROR(VLOOKUP(F240,'Base Sectores'!$A$5:$J$47,3,FALSE),"")</x:f>
      </x:c>
      <x:c r="I240" s="151" t="str">
        <x:f>IFERROR(VLOOKUP(F240,'Base Sectores'!$A$5:$J$47,4,FALSE),"")</x:f>
      </x:c>
      <x:c r="J240" s="151" t="str">
        <x:f>IFERROR(VLOOKUP(F240,'Base Sectores'!$A$5:$J$47,5,FALSE),"")</x:f>
      </x:c>
      <x:c r="K240" s="151" t="str">
        <x:f>IFERROR(VLOOKUP(F240,'Base Sectores'!$A$5:$J$47,6,FALSE),"")</x:f>
      </x:c>
      <x:c r="L240" s="151" t="str">
        <x:f>IFERROR(VLOOKUP(F240,'Base Sectores'!$A$5:$J$47,7,FALSE),"")</x:f>
      </x:c>
      <x:c r="M240" s="151" t="str">
        <x:f>IFERROR(VLOOKUP(F240,'Base Sectores'!$A$5:$J$47,9,FALSE),"")</x:f>
      </x:c>
      <x:c r="N240" s="154"/>
      <x:c r="O240" s="151" t="str">
        <x:f>IFERROR(VLOOKUP(N240,'Configuracion'!$D$4:$H$15,2,FALSE),"")</x:f>
      </x:c>
      <x:c r="P240" s="151" t="str">
        <x:f>IFERROR(VLOOKUP(N240,'Configuracion'!$D$4:$H$15,3,FALSE),"")</x:f>
      </x:c>
      <x:c r="Q240" s="155"/>
      <x:c r="R240" s="156" t="str">
        <x:f>IFERROR(VLOOKUP(N240,'Configuracion'!$D$4:$H$15,4,FALSE),"")</x:f>
      </x:c>
      <x:c r="S240" s="153"/>
      <x:c r="T240" s="153"/>
      <x:c r="U240" s="156" t="str">
        <x:f>IF(OR(S240="",T240=""),"",MOD(T240-S240,1)*24)</x:f>
      </x:c>
      <x:c r="V240" s="154"/>
      <x:c r="W240" s="154"/>
      <x:c r="X240" s="151" t="str">
        <x:f>IFERROR(VLOOKUP(N240,'Configuracion'!$D$4:$H$15,5,FALSE),"")</x:f>
      </x:c>
      <x:c r="Y240" s="151" t="str">
        <x:f>IFERROR(VLOOKUP(V240,'Cuadrillas'!$A$5:$J$14,2,FALSE),"")</x:f>
      </x:c>
      <x:c r="Z240" s="154"/>
      <x:c r="AA240" s="154"/>
      <x:c r="AB240" s="154"/>
      <x:c r="AC240" s="153"/>
      <x:c r="AD240" s="153"/>
      <x:c r="AE240" s="156" t="str">
        <x:f>IF(OR(AC240="",AD240=""),"",MOD(AD240-AC240,1)*24)</x:f>
      </x:c>
      <x:c r="AF240" s="154"/>
      <x:c r="AG240" s="156" t="str">
        <x:f>IF(AE240="","",MAX(0,AE240-IF(AF240="",0,AF240/60)))</x:f>
      </x:c>
      <x:c r="AH240" s="155"/>
      <x:c r="AI240" s="154"/>
      <x:c r="AJ240" s="154"/>
      <x:c r="AK240" s="156" t="n">
        <x:f>IFERROR(U240*W240,"")</x:f>
        <x:v>0</x:v>
      </x:c>
      <x:c r="AL240" s="156" t="n">
        <x:f>IFERROR(AE240*AI240,"")</x:f>
        <x:v>0</x:v>
      </x:c>
      <x:c r="AM240" s="157" t="str">
        <x:f>IFERROR(AH240/Q240,"")</x:f>
      </x:c>
      <x:c r="AN240" s="156" t="str">
        <x:f>IFERROR(AH240/AG240,"")</x:f>
      </x:c>
      <x:c r="AO240" s="156" t="str">
        <x:f>IFERROR(AL240/AH240,"")</x:f>
      </x:c>
      <x:c r="AP240" s="157" t="str">
        <x:f>IFERROR(AG240/AE240,"")</x:f>
      </x:c>
      <x:c r="AQ240" s="157" t="str">
        <x:f>IFERROR(AN240/(R240/'Configuracion'!$B$13),"")</x:f>
      </x:c>
      <x:c r="AR240" s="156" t="n">
        <x:f>IFERROR(AE240-U240,"")</x:f>
        <x:v>0</x:v>
      </x:c>
      <x:c r="AS240" s="154"/>
      <x:c r="AT240" s="154"/>
      <x:c r="AU240" s="154"/>
      <x:c r="AV240" s="154"/>
      <x:c r="AW240" s="152"/>
      <x:c r="AX240" s="154"/>
      <x:c r="AY240" s="154"/>
      <x:c r="AZ240" s="151"/>
      <x:c r="BA240" s="151"/>
    </x:row>
    <x:row r="241">
      <x:c r="A241" s="151" t="str">
        <x:f>IF(B241="","",TEXT(B241,"yyyymmdd")&amp;"-"&amp;TEXT(COUNTIF($B$5:B241,B241),"000"))</x:f>
      </x:c>
      <x:c r="B241" s="152"/>
      <x:c r="C241" s="153"/>
      <x:c r="D241" s="151" t="str">
        <x:f>IF(B241="","",'Configuracion'!$B$4)</x:f>
      </x:c>
      <x:c r="E241" s="154"/>
      <x:c r="F241" s="154"/>
      <x:c r="G241" s="151" t="str">
        <x:f>IFERROR(VLOOKUP(F241,'Base Sectores'!$A$5:$J$47,2,FALSE),"")</x:f>
      </x:c>
      <x:c r="H241" s="151" t="str">
        <x:f>IFERROR(VLOOKUP(F241,'Base Sectores'!$A$5:$J$47,3,FALSE),"")</x:f>
      </x:c>
      <x:c r="I241" s="151" t="str">
        <x:f>IFERROR(VLOOKUP(F241,'Base Sectores'!$A$5:$J$47,4,FALSE),"")</x:f>
      </x:c>
      <x:c r="J241" s="151" t="str">
        <x:f>IFERROR(VLOOKUP(F241,'Base Sectores'!$A$5:$J$47,5,FALSE),"")</x:f>
      </x:c>
      <x:c r="K241" s="151" t="str">
        <x:f>IFERROR(VLOOKUP(F241,'Base Sectores'!$A$5:$J$47,6,FALSE),"")</x:f>
      </x:c>
      <x:c r="L241" s="151" t="str">
        <x:f>IFERROR(VLOOKUP(F241,'Base Sectores'!$A$5:$J$47,7,FALSE),"")</x:f>
      </x:c>
      <x:c r="M241" s="151" t="str">
        <x:f>IFERROR(VLOOKUP(F241,'Base Sectores'!$A$5:$J$47,9,FALSE),"")</x:f>
      </x:c>
      <x:c r="N241" s="154"/>
      <x:c r="O241" s="151" t="str">
        <x:f>IFERROR(VLOOKUP(N241,'Configuracion'!$D$4:$H$15,2,FALSE),"")</x:f>
      </x:c>
      <x:c r="P241" s="151" t="str">
        <x:f>IFERROR(VLOOKUP(N241,'Configuracion'!$D$4:$H$15,3,FALSE),"")</x:f>
      </x:c>
      <x:c r="Q241" s="155"/>
      <x:c r="R241" s="156" t="str">
        <x:f>IFERROR(VLOOKUP(N241,'Configuracion'!$D$4:$H$15,4,FALSE),"")</x:f>
      </x:c>
      <x:c r="S241" s="153"/>
      <x:c r="T241" s="153"/>
      <x:c r="U241" s="156" t="str">
        <x:f>IF(OR(S241="",T241=""),"",MOD(T241-S241,1)*24)</x:f>
      </x:c>
      <x:c r="V241" s="154"/>
      <x:c r="W241" s="154"/>
      <x:c r="X241" s="151" t="str">
        <x:f>IFERROR(VLOOKUP(N241,'Configuracion'!$D$4:$H$15,5,FALSE),"")</x:f>
      </x:c>
      <x:c r="Y241" s="151" t="str">
        <x:f>IFERROR(VLOOKUP(V241,'Cuadrillas'!$A$5:$J$14,2,FALSE),"")</x:f>
      </x:c>
      <x:c r="Z241" s="154"/>
      <x:c r="AA241" s="154"/>
      <x:c r="AB241" s="154"/>
      <x:c r="AC241" s="153"/>
      <x:c r="AD241" s="153"/>
      <x:c r="AE241" s="156" t="str">
        <x:f>IF(OR(AC241="",AD241=""),"",MOD(AD241-AC241,1)*24)</x:f>
      </x:c>
      <x:c r="AF241" s="154"/>
      <x:c r="AG241" s="156" t="str">
        <x:f>IF(AE241="","",MAX(0,AE241-IF(AF241="",0,AF241/60)))</x:f>
      </x:c>
      <x:c r="AH241" s="155"/>
      <x:c r="AI241" s="154"/>
      <x:c r="AJ241" s="154"/>
      <x:c r="AK241" s="156" t="n">
        <x:f>IFERROR(U241*W241,"")</x:f>
        <x:v>0</x:v>
      </x:c>
      <x:c r="AL241" s="156" t="n">
        <x:f>IFERROR(AE241*AI241,"")</x:f>
        <x:v>0</x:v>
      </x:c>
      <x:c r="AM241" s="157" t="str">
        <x:f>IFERROR(AH241/Q241,"")</x:f>
      </x:c>
      <x:c r="AN241" s="156" t="str">
        <x:f>IFERROR(AH241/AG241,"")</x:f>
      </x:c>
      <x:c r="AO241" s="156" t="str">
        <x:f>IFERROR(AL241/AH241,"")</x:f>
      </x:c>
      <x:c r="AP241" s="157" t="str">
        <x:f>IFERROR(AG241/AE241,"")</x:f>
      </x:c>
      <x:c r="AQ241" s="157" t="str">
        <x:f>IFERROR(AN241/(R241/'Configuracion'!$B$13),"")</x:f>
      </x:c>
      <x:c r="AR241" s="156" t="n">
        <x:f>IFERROR(AE241-U241,"")</x:f>
        <x:v>0</x:v>
      </x:c>
      <x:c r="AS241" s="154"/>
      <x:c r="AT241" s="154"/>
      <x:c r="AU241" s="154"/>
      <x:c r="AV241" s="154"/>
      <x:c r="AW241" s="152"/>
      <x:c r="AX241" s="154"/>
      <x:c r="AY241" s="154"/>
      <x:c r="AZ241" s="151"/>
      <x:c r="BA241" s="151"/>
    </x:row>
    <x:row r="242">
      <x:c r="A242" s="151" t="str">
        <x:f>IF(B242="","",TEXT(B242,"yyyymmdd")&amp;"-"&amp;TEXT(COUNTIF($B$5:B242,B242),"000"))</x:f>
      </x:c>
      <x:c r="B242" s="152"/>
      <x:c r="C242" s="153"/>
      <x:c r="D242" s="151" t="str">
        <x:f>IF(B242="","",'Configuracion'!$B$4)</x:f>
      </x:c>
      <x:c r="E242" s="154"/>
      <x:c r="F242" s="154"/>
      <x:c r="G242" s="151" t="str">
        <x:f>IFERROR(VLOOKUP(F242,'Base Sectores'!$A$5:$J$47,2,FALSE),"")</x:f>
      </x:c>
      <x:c r="H242" s="151" t="str">
        <x:f>IFERROR(VLOOKUP(F242,'Base Sectores'!$A$5:$J$47,3,FALSE),"")</x:f>
      </x:c>
      <x:c r="I242" s="151" t="str">
        <x:f>IFERROR(VLOOKUP(F242,'Base Sectores'!$A$5:$J$47,4,FALSE),"")</x:f>
      </x:c>
      <x:c r="J242" s="151" t="str">
        <x:f>IFERROR(VLOOKUP(F242,'Base Sectores'!$A$5:$J$47,5,FALSE),"")</x:f>
      </x:c>
      <x:c r="K242" s="151" t="str">
        <x:f>IFERROR(VLOOKUP(F242,'Base Sectores'!$A$5:$J$47,6,FALSE),"")</x:f>
      </x:c>
      <x:c r="L242" s="151" t="str">
        <x:f>IFERROR(VLOOKUP(F242,'Base Sectores'!$A$5:$J$47,7,FALSE),"")</x:f>
      </x:c>
      <x:c r="M242" s="151" t="str">
        <x:f>IFERROR(VLOOKUP(F242,'Base Sectores'!$A$5:$J$47,9,FALSE),"")</x:f>
      </x:c>
      <x:c r="N242" s="154"/>
      <x:c r="O242" s="151" t="str">
        <x:f>IFERROR(VLOOKUP(N242,'Configuracion'!$D$4:$H$15,2,FALSE),"")</x:f>
      </x:c>
      <x:c r="P242" s="151" t="str">
        <x:f>IFERROR(VLOOKUP(N242,'Configuracion'!$D$4:$H$15,3,FALSE),"")</x:f>
      </x:c>
      <x:c r="Q242" s="155"/>
      <x:c r="R242" s="156" t="str">
        <x:f>IFERROR(VLOOKUP(N242,'Configuracion'!$D$4:$H$15,4,FALSE),"")</x:f>
      </x:c>
      <x:c r="S242" s="153"/>
      <x:c r="T242" s="153"/>
      <x:c r="U242" s="156" t="str">
        <x:f>IF(OR(S242="",T242=""),"",MOD(T242-S242,1)*24)</x:f>
      </x:c>
      <x:c r="V242" s="154"/>
      <x:c r="W242" s="154"/>
      <x:c r="X242" s="151" t="str">
        <x:f>IFERROR(VLOOKUP(N242,'Configuracion'!$D$4:$H$15,5,FALSE),"")</x:f>
      </x:c>
      <x:c r="Y242" s="151" t="str">
        <x:f>IFERROR(VLOOKUP(V242,'Cuadrillas'!$A$5:$J$14,2,FALSE),"")</x:f>
      </x:c>
      <x:c r="Z242" s="154"/>
      <x:c r="AA242" s="154"/>
      <x:c r="AB242" s="154"/>
      <x:c r="AC242" s="153"/>
      <x:c r="AD242" s="153"/>
      <x:c r="AE242" s="156" t="str">
        <x:f>IF(OR(AC242="",AD242=""),"",MOD(AD242-AC242,1)*24)</x:f>
      </x:c>
      <x:c r="AF242" s="154"/>
      <x:c r="AG242" s="156" t="str">
        <x:f>IF(AE242="","",MAX(0,AE242-IF(AF242="",0,AF242/60)))</x:f>
      </x:c>
      <x:c r="AH242" s="155"/>
      <x:c r="AI242" s="154"/>
      <x:c r="AJ242" s="154"/>
      <x:c r="AK242" s="156" t="n">
        <x:f>IFERROR(U242*W242,"")</x:f>
        <x:v>0</x:v>
      </x:c>
      <x:c r="AL242" s="156" t="n">
        <x:f>IFERROR(AE242*AI242,"")</x:f>
        <x:v>0</x:v>
      </x:c>
      <x:c r="AM242" s="157" t="str">
        <x:f>IFERROR(AH242/Q242,"")</x:f>
      </x:c>
      <x:c r="AN242" s="156" t="str">
        <x:f>IFERROR(AH242/AG242,"")</x:f>
      </x:c>
      <x:c r="AO242" s="156" t="str">
        <x:f>IFERROR(AL242/AH242,"")</x:f>
      </x:c>
      <x:c r="AP242" s="157" t="str">
        <x:f>IFERROR(AG242/AE242,"")</x:f>
      </x:c>
      <x:c r="AQ242" s="157" t="str">
        <x:f>IFERROR(AN242/(R242/'Configuracion'!$B$13),"")</x:f>
      </x:c>
      <x:c r="AR242" s="156" t="n">
        <x:f>IFERROR(AE242-U242,"")</x:f>
        <x:v>0</x:v>
      </x:c>
      <x:c r="AS242" s="154"/>
      <x:c r="AT242" s="154"/>
      <x:c r="AU242" s="154"/>
      <x:c r="AV242" s="154"/>
      <x:c r="AW242" s="152"/>
      <x:c r="AX242" s="154"/>
      <x:c r="AY242" s="154"/>
      <x:c r="AZ242" s="151"/>
      <x:c r="BA242" s="151"/>
    </x:row>
    <x:row r="243">
      <x:c r="A243" s="151" t="str">
        <x:f>IF(B243="","",TEXT(B243,"yyyymmdd")&amp;"-"&amp;TEXT(COUNTIF($B$5:B243,B243),"000"))</x:f>
      </x:c>
      <x:c r="B243" s="152"/>
      <x:c r="C243" s="153"/>
      <x:c r="D243" s="151" t="str">
        <x:f>IF(B243="","",'Configuracion'!$B$4)</x:f>
      </x:c>
      <x:c r="E243" s="154"/>
      <x:c r="F243" s="154"/>
      <x:c r="G243" s="151" t="str">
        <x:f>IFERROR(VLOOKUP(F243,'Base Sectores'!$A$5:$J$47,2,FALSE),"")</x:f>
      </x:c>
      <x:c r="H243" s="151" t="str">
        <x:f>IFERROR(VLOOKUP(F243,'Base Sectores'!$A$5:$J$47,3,FALSE),"")</x:f>
      </x:c>
      <x:c r="I243" s="151" t="str">
        <x:f>IFERROR(VLOOKUP(F243,'Base Sectores'!$A$5:$J$47,4,FALSE),"")</x:f>
      </x:c>
      <x:c r="J243" s="151" t="str">
        <x:f>IFERROR(VLOOKUP(F243,'Base Sectores'!$A$5:$J$47,5,FALSE),"")</x:f>
      </x:c>
      <x:c r="K243" s="151" t="str">
        <x:f>IFERROR(VLOOKUP(F243,'Base Sectores'!$A$5:$J$47,6,FALSE),"")</x:f>
      </x:c>
      <x:c r="L243" s="151" t="str">
        <x:f>IFERROR(VLOOKUP(F243,'Base Sectores'!$A$5:$J$47,7,FALSE),"")</x:f>
      </x:c>
      <x:c r="M243" s="151" t="str">
        <x:f>IFERROR(VLOOKUP(F243,'Base Sectores'!$A$5:$J$47,9,FALSE),"")</x:f>
      </x:c>
      <x:c r="N243" s="154"/>
      <x:c r="O243" s="151" t="str">
        <x:f>IFERROR(VLOOKUP(N243,'Configuracion'!$D$4:$H$15,2,FALSE),"")</x:f>
      </x:c>
      <x:c r="P243" s="151" t="str">
        <x:f>IFERROR(VLOOKUP(N243,'Configuracion'!$D$4:$H$15,3,FALSE),"")</x:f>
      </x:c>
      <x:c r="Q243" s="155"/>
      <x:c r="R243" s="156" t="str">
        <x:f>IFERROR(VLOOKUP(N243,'Configuracion'!$D$4:$H$15,4,FALSE),"")</x:f>
      </x:c>
      <x:c r="S243" s="153"/>
      <x:c r="T243" s="153"/>
      <x:c r="U243" s="156" t="str">
        <x:f>IF(OR(S243="",T243=""),"",MOD(T243-S243,1)*24)</x:f>
      </x:c>
      <x:c r="V243" s="154"/>
      <x:c r="W243" s="154"/>
      <x:c r="X243" s="151" t="str">
        <x:f>IFERROR(VLOOKUP(N243,'Configuracion'!$D$4:$H$15,5,FALSE),"")</x:f>
      </x:c>
      <x:c r="Y243" s="151" t="str">
        <x:f>IFERROR(VLOOKUP(V243,'Cuadrillas'!$A$5:$J$14,2,FALSE),"")</x:f>
      </x:c>
      <x:c r="Z243" s="154"/>
      <x:c r="AA243" s="154"/>
      <x:c r="AB243" s="154"/>
      <x:c r="AC243" s="153"/>
      <x:c r="AD243" s="153"/>
      <x:c r="AE243" s="156" t="str">
        <x:f>IF(OR(AC243="",AD243=""),"",MOD(AD243-AC243,1)*24)</x:f>
      </x:c>
      <x:c r="AF243" s="154"/>
      <x:c r="AG243" s="156" t="str">
        <x:f>IF(AE243="","",MAX(0,AE243-IF(AF243="",0,AF243/60)))</x:f>
      </x:c>
      <x:c r="AH243" s="155"/>
      <x:c r="AI243" s="154"/>
      <x:c r="AJ243" s="154"/>
      <x:c r="AK243" s="156" t="n">
        <x:f>IFERROR(U243*W243,"")</x:f>
        <x:v>0</x:v>
      </x:c>
      <x:c r="AL243" s="156" t="n">
        <x:f>IFERROR(AE243*AI243,"")</x:f>
        <x:v>0</x:v>
      </x:c>
      <x:c r="AM243" s="157" t="str">
        <x:f>IFERROR(AH243/Q243,"")</x:f>
      </x:c>
      <x:c r="AN243" s="156" t="str">
        <x:f>IFERROR(AH243/AG243,"")</x:f>
      </x:c>
      <x:c r="AO243" s="156" t="str">
        <x:f>IFERROR(AL243/AH243,"")</x:f>
      </x:c>
      <x:c r="AP243" s="157" t="str">
        <x:f>IFERROR(AG243/AE243,"")</x:f>
      </x:c>
      <x:c r="AQ243" s="157" t="str">
        <x:f>IFERROR(AN243/(R243/'Configuracion'!$B$13),"")</x:f>
      </x:c>
      <x:c r="AR243" s="156" t="n">
        <x:f>IFERROR(AE243-U243,"")</x:f>
        <x:v>0</x:v>
      </x:c>
      <x:c r="AS243" s="154"/>
      <x:c r="AT243" s="154"/>
      <x:c r="AU243" s="154"/>
      <x:c r="AV243" s="154"/>
      <x:c r="AW243" s="152"/>
      <x:c r="AX243" s="154"/>
      <x:c r="AY243" s="154"/>
      <x:c r="AZ243" s="151"/>
      <x:c r="BA243" s="151"/>
    </x:row>
    <x:row r="244">
      <x:c r="A244" s="151" t="str">
        <x:f>IF(B244="","",TEXT(B244,"yyyymmdd")&amp;"-"&amp;TEXT(COUNTIF($B$5:B244,B244),"000"))</x:f>
      </x:c>
      <x:c r="B244" s="152"/>
      <x:c r="C244" s="153"/>
      <x:c r="D244" s="151" t="str">
        <x:f>IF(B244="","",'Configuracion'!$B$4)</x:f>
      </x:c>
      <x:c r="E244" s="154"/>
      <x:c r="F244" s="154"/>
      <x:c r="G244" s="151" t="str">
        <x:f>IFERROR(VLOOKUP(F244,'Base Sectores'!$A$5:$J$47,2,FALSE),"")</x:f>
      </x:c>
      <x:c r="H244" s="151" t="str">
        <x:f>IFERROR(VLOOKUP(F244,'Base Sectores'!$A$5:$J$47,3,FALSE),"")</x:f>
      </x:c>
      <x:c r="I244" s="151" t="str">
        <x:f>IFERROR(VLOOKUP(F244,'Base Sectores'!$A$5:$J$47,4,FALSE),"")</x:f>
      </x:c>
      <x:c r="J244" s="151" t="str">
        <x:f>IFERROR(VLOOKUP(F244,'Base Sectores'!$A$5:$J$47,5,FALSE),"")</x:f>
      </x:c>
      <x:c r="K244" s="151" t="str">
        <x:f>IFERROR(VLOOKUP(F244,'Base Sectores'!$A$5:$J$47,6,FALSE),"")</x:f>
      </x:c>
      <x:c r="L244" s="151" t="str">
        <x:f>IFERROR(VLOOKUP(F244,'Base Sectores'!$A$5:$J$47,7,FALSE),"")</x:f>
      </x:c>
      <x:c r="M244" s="151" t="str">
        <x:f>IFERROR(VLOOKUP(F244,'Base Sectores'!$A$5:$J$47,9,FALSE),"")</x:f>
      </x:c>
      <x:c r="N244" s="154"/>
      <x:c r="O244" s="151" t="str">
        <x:f>IFERROR(VLOOKUP(N244,'Configuracion'!$D$4:$H$15,2,FALSE),"")</x:f>
      </x:c>
      <x:c r="P244" s="151" t="str">
        <x:f>IFERROR(VLOOKUP(N244,'Configuracion'!$D$4:$H$15,3,FALSE),"")</x:f>
      </x:c>
      <x:c r="Q244" s="155"/>
      <x:c r="R244" s="156" t="str">
        <x:f>IFERROR(VLOOKUP(N244,'Configuracion'!$D$4:$H$15,4,FALSE),"")</x:f>
      </x:c>
      <x:c r="S244" s="153"/>
      <x:c r="T244" s="153"/>
      <x:c r="U244" s="156" t="str">
        <x:f>IF(OR(S244="",T244=""),"",MOD(T244-S244,1)*24)</x:f>
      </x:c>
      <x:c r="V244" s="154"/>
      <x:c r="W244" s="154"/>
      <x:c r="X244" s="151" t="str">
        <x:f>IFERROR(VLOOKUP(N244,'Configuracion'!$D$4:$H$15,5,FALSE),"")</x:f>
      </x:c>
      <x:c r="Y244" s="151" t="str">
        <x:f>IFERROR(VLOOKUP(V244,'Cuadrillas'!$A$5:$J$14,2,FALSE),"")</x:f>
      </x:c>
      <x:c r="Z244" s="154"/>
      <x:c r="AA244" s="154"/>
      <x:c r="AB244" s="154"/>
      <x:c r="AC244" s="153"/>
      <x:c r="AD244" s="153"/>
      <x:c r="AE244" s="156" t="str">
        <x:f>IF(OR(AC244="",AD244=""),"",MOD(AD244-AC244,1)*24)</x:f>
      </x:c>
      <x:c r="AF244" s="154"/>
      <x:c r="AG244" s="156" t="str">
        <x:f>IF(AE244="","",MAX(0,AE244-IF(AF244="",0,AF244/60)))</x:f>
      </x:c>
      <x:c r="AH244" s="155"/>
      <x:c r="AI244" s="154"/>
      <x:c r="AJ244" s="154"/>
      <x:c r="AK244" s="156" t="n">
        <x:f>IFERROR(U244*W244,"")</x:f>
        <x:v>0</x:v>
      </x:c>
      <x:c r="AL244" s="156" t="n">
        <x:f>IFERROR(AE244*AI244,"")</x:f>
        <x:v>0</x:v>
      </x:c>
      <x:c r="AM244" s="157" t="str">
        <x:f>IFERROR(AH244/Q244,"")</x:f>
      </x:c>
      <x:c r="AN244" s="156" t="str">
        <x:f>IFERROR(AH244/AG244,"")</x:f>
      </x:c>
      <x:c r="AO244" s="156" t="str">
        <x:f>IFERROR(AL244/AH244,"")</x:f>
      </x:c>
      <x:c r="AP244" s="157" t="str">
        <x:f>IFERROR(AG244/AE244,"")</x:f>
      </x:c>
      <x:c r="AQ244" s="157" t="str">
        <x:f>IFERROR(AN244/(R244/'Configuracion'!$B$13),"")</x:f>
      </x:c>
      <x:c r="AR244" s="156" t="n">
        <x:f>IFERROR(AE244-U244,"")</x:f>
        <x:v>0</x:v>
      </x:c>
      <x:c r="AS244" s="154"/>
      <x:c r="AT244" s="154"/>
      <x:c r="AU244" s="154"/>
      <x:c r="AV244" s="154"/>
      <x:c r="AW244" s="152"/>
      <x:c r="AX244" s="154"/>
      <x:c r="AY244" s="154"/>
      <x:c r="AZ244" s="151"/>
      <x:c r="BA244" s="151"/>
    </x:row>
    <x:row r="245">
      <x:c r="A245" s="151" t="str">
        <x:f>IF(B245="","",TEXT(B245,"yyyymmdd")&amp;"-"&amp;TEXT(COUNTIF($B$5:B245,B245),"000"))</x:f>
      </x:c>
      <x:c r="B245" s="152"/>
      <x:c r="C245" s="153"/>
      <x:c r="D245" s="151" t="str">
        <x:f>IF(B245="","",'Configuracion'!$B$4)</x:f>
      </x:c>
      <x:c r="E245" s="154"/>
      <x:c r="F245" s="154"/>
      <x:c r="G245" s="151" t="str">
        <x:f>IFERROR(VLOOKUP(F245,'Base Sectores'!$A$5:$J$47,2,FALSE),"")</x:f>
      </x:c>
      <x:c r="H245" s="151" t="str">
        <x:f>IFERROR(VLOOKUP(F245,'Base Sectores'!$A$5:$J$47,3,FALSE),"")</x:f>
      </x:c>
      <x:c r="I245" s="151" t="str">
        <x:f>IFERROR(VLOOKUP(F245,'Base Sectores'!$A$5:$J$47,4,FALSE),"")</x:f>
      </x:c>
      <x:c r="J245" s="151" t="str">
        <x:f>IFERROR(VLOOKUP(F245,'Base Sectores'!$A$5:$J$47,5,FALSE),"")</x:f>
      </x:c>
      <x:c r="K245" s="151" t="str">
        <x:f>IFERROR(VLOOKUP(F245,'Base Sectores'!$A$5:$J$47,6,FALSE),"")</x:f>
      </x:c>
      <x:c r="L245" s="151" t="str">
        <x:f>IFERROR(VLOOKUP(F245,'Base Sectores'!$A$5:$J$47,7,FALSE),"")</x:f>
      </x:c>
      <x:c r="M245" s="151" t="str">
        <x:f>IFERROR(VLOOKUP(F245,'Base Sectores'!$A$5:$J$47,9,FALSE),"")</x:f>
      </x:c>
      <x:c r="N245" s="154"/>
      <x:c r="O245" s="151" t="str">
        <x:f>IFERROR(VLOOKUP(N245,'Configuracion'!$D$4:$H$15,2,FALSE),"")</x:f>
      </x:c>
      <x:c r="P245" s="151" t="str">
        <x:f>IFERROR(VLOOKUP(N245,'Configuracion'!$D$4:$H$15,3,FALSE),"")</x:f>
      </x:c>
      <x:c r="Q245" s="155"/>
      <x:c r="R245" s="156" t="str">
        <x:f>IFERROR(VLOOKUP(N245,'Configuracion'!$D$4:$H$15,4,FALSE),"")</x:f>
      </x:c>
      <x:c r="S245" s="153"/>
      <x:c r="T245" s="153"/>
      <x:c r="U245" s="156" t="str">
        <x:f>IF(OR(S245="",T245=""),"",MOD(T245-S245,1)*24)</x:f>
      </x:c>
      <x:c r="V245" s="154"/>
      <x:c r="W245" s="154"/>
      <x:c r="X245" s="151" t="str">
        <x:f>IFERROR(VLOOKUP(N245,'Configuracion'!$D$4:$H$15,5,FALSE),"")</x:f>
      </x:c>
      <x:c r="Y245" s="151" t="str">
        <x:f>IFERROR(VLOOKUP(V245,'Cuadrillas'!$A$5:$J$14,2,FALSE),"")</x:f>
      </x:c>
      <x:c r="Z245" s="154"/>
      <x:c r="AA245" s="154"/>
      <x:c r="AB245" s="154"/>
      <x:c r="AC245" s="153"/>
      <x:c r="AD245" s="153"/>
      <x:c r="AE245" s="156" t="str">
        <x:f>IF(OR(AC245="",AD245=""),"",MOD(AD245-AC245,1)*24)</x:f>
      </x:c>
      <x:c r="AF245" s="154"/>
      <x:c r="AG245" s="156" t="str">
        <x:f>IF(AE245="","",MAX(0,AE245-IF(AF245="",0,AF245/60)))</x:f>
      </x:c>
      <x:c r="AH245" s="155"/>
      <x:c r="AI245" s="154"/>
      <x:c r="AJ245" s="154"/>
      <x:c r="AK245" s="156" t="n">
        <x:f>IFERROR(U245*W245,"")</x:f>
        <x:v>0</x:v>
      </x:c>
      <x:c r="AL245" s="156" t="n">
        <x:f>IFERROR(AE245*AI245,"")</x:f>
        <x:v>0</x:v>
      </x:c>
      <x:c r="AM245" s="157" t="str">
        <x:f>IFERROR(AH245/Q245,"")</x:f>
      </x:c>
      <x:c r="AN245" s="156" t="str">
        <x:f>IFERROR(AH245/AG245,"")</x:f>
      </x:c>
      <x:c r="AO245" s="156" t="str">
        <x:f>IFERROR(AL245/AH245,"")</x:f>
      </x:c>
      <x:c r="AP245" s="157" t="str">
        <x:f>IFERROR(AG245/AE245,"")</x:f>
      </x:c>
      <x:c r="AQ245" s="157" t="str">
        <x:f>IFERROR(AN245/(R245/'Configuracion'!$B$13),"")</x:f>
      </x:c>
      <x:c r="AR245" s="156" t="n">
        <x:f>IFERROR(AE245-U245,"")</x:f>
        <x:v>0</x:v>
      </x:c>
      <x:c r="AS245" s="154"/>
      <x:c r="AT245" s="154"/>
      <x:c r="AU245" s="154"/>
      <x:c r="AV245" s="154"/>
      <x:c r="AW245" s="152"/>
      <x:c r="AX245" s="154"/>
      <x:c r="AY245" s="154"/>
      <x:c r="AZ245" s="151"/>
      <x:c r="BA245" s="151"/>
    </x:row>
    <x:row r="246">
      <x:c r="A246" s="151" t="str">
        <x:f>IF(B246="","",TEXT(B246,"yyyymmdd")&amp;"-"&amp;TEXT(COUNTIF($B$5:B246,B246),"000"))</x:f>
      </x:c>
      <x:c r="B246" s="152"/>
      <x:c r="C246" s="153"/>
      <x:c r="D246" s="151" t="str">
        <x:f>IF(B246="","",'Configuracion'!$B$4)</x:f>
      </x:c>
      <x:c r="E246" s="154"/>
      <x:c r="F246" s="154"/>
      <x:c r="G246" s="151" t="str">
        <x:f>IFERROR(VLOOKUP(F246,'Base Sectores'!$A$5:$J$47,2,FALSE),"")</x:f>
      </x:c>
      <x:c r="H246" s="151" t="str">
        <x:f>IFERROR(VLOOKUP(F246,'Base Sectores'!$A$5:$J$47,3,FALSE),"")</x:f>
      </x:c>
      <x:c r="I246" s="151" t="str">
        <x:f>IFERROR(VLOOKUP(F246,'Base Sectores'!$A$5:$J$47,4,FALSE),"")</x:f>
      </x:c>
      <x:c r="J246" s="151" t="str">
        <x:f>IFERROR(VLOOKUP(F246,'Base Sectores'!$A$5:$J$47,5,FALSE),"")</x:f>
      </x:c>
      <x:c r="K246" s="151" t="str">
        <x:f>IFERROR(VLOOKUP(F246,'Base Sectores'!$A$5:$J$47,6,FALSE),"")</x:f>
      </x:c>
      <x:c r="L246" s="151" t="str">
        <x:f>IFERROR(VLOOKUP(F246,'Base Sectores'!$A$5:$J$47,7,FALSE),"")</x:f>
      </x:c>
      <x:c r="M246" s="151" t="str">
        <x:f>IFERROR(VLOOKUP(F246,'Base Sectores'!$A$5:$J$47,9,FALSE),"")</x:f>
      </x:c>
      <x:c r="N246" s="154"/>
      <x:c r="O246" s="151" t="str">
        <x:f>IFERROR(VLOOKUP(N246,'Configuracion'!$D$4:$H$15,2,FALSE),"")</x:f>
      </x:c>
      <x:c r="P246" s="151" t="str">
        <x:f>IFERROR(VLOOKUP(N246,'Configuracion'!$D$4:$H$15,3,FALSE),"")</x:f>
      </x:c>
      <x:c r="Q246" s="155"/>
      <x:c r="R246" s="156" t="str">
        <x:f>IFERROR(VLOOKUP(N246,'Configuracion'!$D$4:$H$15,4,FALSE),"")</x:f>
      </x:c>
      <x:c r="S246" s="153"/>
      <x:c r="T246" s="153"/>
      <x:c r="U246" s="156" t="str">
        <x:f>IF(OR(S246="",T246=""),"",MOD(T246-S246,1)*24)</x:f>
      </x:c>
      <x:c r="V246" s="154"/>
      <x:c r="W246" s="154"/>
      <x:c r="X246" s="151" t="str">
        <x:f>IFERROR(VLOOKUP(N246,'Configuracion'!$D$4:$H$15,5,FALSE),"")</x:f>
      </x:c>
      <x:c r="Y246" s="151" t="str">
        <x:f>IFERROR(VLOOKUP(V246,'Cuadrillas'!$A$5:$J$14,2,FALSE),"")</x:f>
      </x:c>
      <x:c r="Z246" s="154"/>
      <x:c r="AA246" s="154"/>
      <x:c r="AB246" s="154"/>
      <x:c r="AC246" s="153"/>
      <x:c r="AD246" s="153"/>
      <x:c r="AE246" s="156" t="str">
        <x:f>IF(OR(AC246="",AD246=""),"",MOD(AD246-AC246,1)*24)</x:f>
      </x:c>
      <x:c r="AF246" s="154"/>
      <x:c r="AG246" s="156" t="str">
        <x:f>IF(AE246="","",MAX(0,AE246-IF(AF246="",0,AF246/60)))</x:f>
      </x:c>
      <x:c r="AH246" s="155"/>
      <x:c r="AI246" s="154"/>
      <x:c r="AJ246" s="154"/>
      <x:c r="AK246" s="156" t="n">
        <x:f>IFERROR(U246*W246,"")</x:f>
        <x:v>0</x:v>
      </x:c>
      <x:c r="AL246" s="156" t="n">
        <x:f>IFERROR(AE246*AI246,"")</x:f>
        <x:v>0</x:v>
      </x:c>
      <x:c r="AM246" s="157" t="str">
        <x:f>IFERROR(AH246/Q246,"")</x:f>
      </x:c>
      <x:c r="AN246" s="156" t="str">
        <x:f>IFERROR(AH246/AG246,"")</x:f>
      </x:c>
      <x:c r="AO246" s="156" t="str">
        <x:f>IFERROR(AL246/AH246,"")</x:f>
      </x:c>
      <x:c r="AP246" s="157" t="str">
        <x:f>IFERROR(AG246/AE246,"")</x:f>
      </x:c>
      <x:c r="AQ246" s="157" t="str">
        <x:f>IFERROR(AN246/(R246/'Configuracion'!$B$13),"")</x:f>
      </x:c>
      <x:c r="AR246" s="156" t="n">
        <x:f>IFERROR(AE246-U246,"")</x:f>
        <x:v>0</x:v>
      </x:c>
      <x:c r="AS246" s="154"/>
      <x:c r="AT246" s="154"/>
      <x:c r="AU246" s="154"/>
      <x:c r="AV246" s="154"/>
      <x:c r="AW246" s="152"/>
      <x:c r="AX246" s="154"/>
      <x:c r="AY246" s="154"/>
      <x:c r="AZ246" s="151"/>
      <x:c r="BA246" s="151"/>
    </x:row>
    <x:row r="247">
      <x:c r="A247" s="151" t="str">
        <x:f>IF(B247="","",TEXT(B247,"yyyymmdd")&amp;"-"&amp;TEXT(COUNTIF($B$5:B247,B247),"000"))</x:f>
      </x:c>
      <x:c r="B247" s="152"/>
      <x:c r="C247" s="153"/>
      <x:c r="D247" s="151" t="str">
        <x:f>IF(B247="","",'Configuracion'!$B$4)</x:f>
      </x:c>
      <x:c r="E247" s="154"/>
      <x:c r="F247" s="154"/>
      <x:c r="G247" s="151" t="str">
        <x:f>IFERROR(VLOOKUP(F247,'Base Sectores'!$A$5:$J$47,2,FALSE),"")</x:f>
      </x:c>
      <x:c r="H247" s="151" t="str">
        <x:f>IFERROR(VLOOKUP(F247,'Base Sectores'!$A$5:$J$47,3,FALSE),"")</x:f>
      </x:c>
      <x:c r="I247" s="151" t="str">
        <x:f>IFERROR(VLOOKUP(F247,'Base Sectores'!$A$5:$J$47,4,FALSE),"")</x:f>
      </x:c>
      <x:c r="J247" s="151" t="str">
        <x:f>IFERROR(VLOOKUP(F247,'Base Sectores'!$A$5:$J$47,5,FALSE),"")</x:f>
      </x:c>
      <x:c r="K247" s="151" t="str">
        <x:f>IFERROR(VLOOKUP(F247,'Base Sectores'!$A$5:$J$47,6,FALSE),"")</x:f>
      </x:c>
      <x:c r="L247" s="151" t="str">
        <x:f>IFERROR(VLOOKUP(F247,'Base Sectores'!$A$5:$J$47,7,FALSE),"")</x:f>
      </x:c>
      <x:c r="M247" s="151" t="str">
        <x:f>IFERROR(VLOOKUP(F247,'Base Sectores'!$A$5:$J$47,9,FALSE),"")</x:f>
      </x:c>
      <x:c r="N247" s="154"/>
      <x:c r="O247" s="151" t="str">
        <x:f>IFERROR(VLOOKUP(N247,'Configuracion'!$D$4:$H$15,2,FALSE),"")</x:f>
      </x:c>
      <x:c r="P247" s="151" t="str">
        <x:f>IFERROR(VLOOKUP(N247,'Configuracion'!$D$4:$H$15,3,FALSE),"")</x:f>
      </x:c>
      <x:c r="Q247" s="155"/>
      <x:c r="R247" s="156" t="str">
        <x:f>IFERROR(VLOOKUP(N247,'Configuracion'!$D$4:$H$15,4,FALSE),"")</x:f>
      </x:c>
      <x:c r="S247" s="153"/>
      <x:c r="T247" s="153"/>
      <x:c r="U247" s="156" t="str">
        <x:f>IF(OR(S247="",T247=""),"",MOD(T247-S247,1)*24)</x:f>
      </x:c>
      <x:c r="V247" s="154"/>
      <x:c r="W247" s="154"/>
      <x:c r="X247" s="151" t="str">
        <x:f>IFERROR(VLOOKUP(N247,'Configuracion'!$D$4:$H$15,5,FALSE),"")</x:f>
      </x:c>
      <x:c r="Y247" s="151" t="str">
        <x:f>IFERROR(VLOOKUP(V247,'Cuadrillas'!$A$5:$J$14,2,FALSE),"")</x:f>
      </x:c>
      <x:c r="Z247" s="154"/>
      <x:c r="AA247" s="154"/>
      <x:c r="AB247" s="154"/>
      <x:c r="AC247" s="153"/>
      <x:c r="AD247" s="153"/>
      <x:c r="AE247" s="156" t="str">
        <x:f>IF(OR(AC247="",AD247=""),"",MOD(AD247-AC247,1)*24)</x:f>
      </x:c>
      <x:c r="AF247" s="154"/>
      <x:c r="AG247" s="156" t="str">
        <x:f>IF(AE247="","",MAX(0,AE247-IF(AF247="",0,AF247/60)))</x:f>
      </x:c>
      <x:c r="AH247" s="155"/>
      <x:c r="AI247" s="154"/>
      <x:c r="AJ247" s="154"/>
      <x:c r="AK247" s="156" t="n">
        <x:f>IFERROR(U247*W247,"")</x:f>
        <x:v>0</x:v>
      </x:c>
      <x:c r="AL247" s="156" t="n">
        <x:f>IFERROR(AE247*AI247,"")</x:f>
        <x:v>0</x:v>
      </x:c>
      <x:c r="AM247" s="157" t="str">
        <x:f>IFERROR(AH247/Q247,"")</x:f>
      </x:c>
      <x:c r="AN247" s="156" t="str">
        <x:f>IFERROR(AH247/AG247,"")</x:f>
      </x:c>
      <x:c r="AO247" s="156" t="str">
        <x:f>IFERROR(AL247/AH247,"")</x:f>
      </x:c>
      <x:c r="AP247" s="157" t="str">
        <x:f>IFERROR(AG247/AE247,"")</x:f>
      </x:c>
      <x:c r="AQ247" s="157" t="str">
        <x:f>IFERROR(AN247/(R247/'Configuracion'!$B$13),"")</x:f>
      </x:c>
      <x:c r="AR247" s="156" t="n">
        <x:f>IFERROR(AE247-U247,"")</x:f>
        <x:v>0</x:v>
      </x:c>
      <x:c r="AS247" s="154"/>
      <x:c r="AT247" s="154"/>
      <x:c r="AU247" s="154"/>
      <x:c r="AV247" s="154"/>
      <x:c r="AW247" s="152"/>
      <x:c r="AX247" s="154"/>
      <x:c r="AY247" s="154"/>
      <x:c r="AZ247" s="151"/>
      <x:c r="BA247" s="151"/>
    </x:row>
    <x:row r="248">
      <x:c r="A248" s="151" t="str">
        <x:f>IF(B248="","",TEXT(B248,"yyyymmdd")&amp;"-"&amp;TEXT(COUNTIF($B$5:B248,B248),"000"))</x:f>
      </x:c>
      <x:c r="B248" s="152"/>
      <x:c r="C248" s="153"/>
      <x:c r="D248" s="151" t="str">
        <x:f>IF(B248="","",'Configuracion'!$B$4)</x:f>
      </x:c>
      <x:c r="E248" s="154"/>
      <x:c r="F248" s="154"/>
      <x:c r="G248" s="151" t="str">
        <x:f>IFERROR(VLOOKUP(F248,'Base Sectores'!$A$5:$J$47,2,FALSE),"")</x:f>
      </x:c>
      <x:c r="H248" s="151" t="str">
        <x:f>IFERROR(VLOOKUP(F248,'Base Sectores'!$A$5:$J$47,3,FALSE),"")</x:f>
      </x:c>
      <x:c r="I248" s="151" t="str">
        <x:f>IFERROR(VLOOKUP(F248,'Base Sectores'!$A$5:$J$47,4,FALSE),"")</x:f>
      </x:c>
      <x:c r="J248" s="151" t="str">
        <x:f>IFERROR(VLOOKUP(F248,'Base Sectores'!$A$5:$J$47,5,FALSE),"")</x:f>
      </x:c>
      <x:c r="K248" s="151" t="str">
        <x:f>IFERROR(VLOOKUP(F248,'Base Sectores'!$A$5:$J$47,6,FALSE),"")</x:f>
      </x:c>
      <x:c r="L248" s="151" t="str">
        <x:f>IFERROR(VLOOKUP(F248,'Base Sectores'!$A$5:$J$47,7,FALSE),"")</x:f>
      </x:c>
      <x:c r="M248" s="151" t="str">
        <x:f>IFERROR(VLOOKUP(F248,'Base Sectores'!$A$5:$J$47,9,FALSE),"")</x:f>
      </x:c>
      <x:c r="N248" s="154"/>
      <x:c r="O248" s="151" t="str">
        <x:f>IFERROR(VLOOKUP(N248,'Configuracion'!$D$4:$H$15,2,FALSE),"")</x:f>
      </x:c>
      <x:c r="P248" s="151" t="str">
        <x:f>IFERROR(VLOOKUP(N248,'Configuracion'!$D$4:$H$15,3,FALSE),"")</x:f>
      </x:c>
      <x:c r="Q248" s="155"/>
      <x:c r="R248" s="156" t="str">
        <x:f>IFERROR(VLOOKUP(N248,'Configuracion'!$D$4:$H$15,4,FALSE),"")</x:f>
      </x:c>
      <x:c r="S248" s="153"/>
      <x:c r="T248" s="153"/>
      <x:c r="U248" s="156" t="str">
        <x:f>IF(OR(S248="",T248=""),"",MOD(T248-S248,1)*24)</x:f>
      </x:c>
      <x:c r="V248" s="154"/>
      <x:c r="W248" s="154"/>
      <x:c r="X248" s="151" t="str">
        <x:f>IFERROR(VLOOKUP(N248,'Configuracion'!$D$4:$H$15,5,FALSE),"")</x:f>
      </x:c>
      <x:c r="Y248" s="151" t="str">
        <x:f>IFERROR(VLOOKUP(V248,'Cuadrillas'!$A$5:$J$14,2,FALSE),"")</x:f>
      </x:c>
      <x:c r="Z248" s="154"/>
      <x:c r="AA248" s="154"/>
      <x:c r="AB248" s="154"/>
      <x:c r="AC248" s="153"/>
      <x:c r="AD248" s="153"/>
      <x:c r="AE248" s="156" t="str">
        <x:f>IF(OR(AC248="",AD248=""),"",MOD(AD248-AC248,1)*24)</x:f>
      </x:c>
      <x:c r="AF248" s="154"/>
      <x:c r="AG248" s="156" t="str">
        <x:f>IF(AE248="","",MAX(0,AE248-IF(AF248="",0,AF248/60)))</x:f>
      </x:c>
      <x:c r="AH248" s="155"/>
      <x:c r="AI248" s="154"/>
      <x:c r="AJ248" s="154"/>
      <x:c r="AK248" s="156" t="n">
        <x:f>IFERROR(U248*W248,"")</x:f>
        <x:v>0</x:v>
      </x:c>
      <x:c r="AL248" s="156" t="n">
        <x:f>IFERROR(AE248*AI248,"")</x:f>
        <x:v>0</x:v>
      </x:c>
      <x:c r="AM248" s="157" t="str">
        <x:f>IFERROR(AH248/Q248,"")</x:f>
      </x:c>
      <x:c r="AN248" s="156" t="str">
        <x:f>IFERROR(AH248/AG248,"")</x:f>
      </x:c>
      <x:c r="AO248" s="156" t="str">
        <x:f>IFERROR(AL248/AH248,"")</x:f>
      </x:c>
      <x:c r="AP248" s="157" t="str">
        <x:f>IFERROR(AG248/AE248,"")</x:f>
      </x:c>
      <x:c r="AQ248" s="157" t="str">
        <x:f>IFERROR(AN248/(R248/'Configuracion'!$B$13),"")</x:f>
      </x:c>
      <x:c r="AR248" s="156" t="n">
        <x:f>IFERROR(AE248-U248,"")</x:f>
        <x:v>0</x:v>
      </x:c>
      <x:c r="AS248" s="154"/>
      <x:c r="AT248" s="154"/>
      <x:c r="AU248" s="154"/>
      <x:c r="AV248" s="154"/>
      <x:c r="AW248" s="152"/>
      <x:c r="AX248" s="154"/>
      <x:c r="AY248" s="154"/>
      <x:c r="AZ248" s="151"/>
      <x:c r="BA248" s="151"/>
    </x:row>
    <x:row r="249">
      <x:c r="A249" s="151" t="str">
        <x:f>IF(B249="","",TEXT(B249,"yyyymmdd")&amp;"-"&amp;TEXT(COUNTIF($B$5:B249,B249),"000"))</x:f>
      </x:c>
      <x:c r="B249" s="152"/>
      <x:c r="C249" s="153"/>
      <x:c r="D249" s="151" t="str">
        <x:f>IF(B249="","",'Configuracion'!$B$4)</x:f>
      </x:c>
      <x:c r="E249" s="154"/>
      <x:c r="F249" s="154"/>
      <x:c r="G249" s="151" t="str">
        <x:f>IFERROR(VLOOKUP(F249,'Base Sectores'!$A$5:$J$47,2,FALSE),"")</x:f>
      </x:c>
      <x:c r="H249" s="151" t="str">
        <x:f>IFERROR(VLOOKUP(F249,'Base Sectores'!$A$5:$J$47,3,FALSE),"")</x:f>
      </x:c>
      <x:c r="I249" s="151" t="str">
        <x:f>IFERROR(VLOOKUP(F249,'Base Sectores'!$A$5:$J$47,4,FALSE),"")</x:f>
      </x:c>
      <x:c r="J249" s="151" t="str">
        <x:f>IFERROR(VLOOKUP(F249,'Base Sectores'!$A$5:$J$47,5,FALSE),"")</x:f>
      </x:c>
      <x:c r="K249" s="151" t="str">
        <x:f>IFERROR(VLOOKUP(F249,'Base Sectores'!$A$5:$J$47,6,FALSE),"")</x:f>
      </x:c>
      <x:c r="L249" s="151" t="str">
        <x:f>IFERROR(VLOOKUP(F249,'Base Sectores'!$A$5:$J$47,7,FALSE),"")</x:f>
      </x:c>
      <x:c r="M249" s="151" t="str">
        <x:f>IFERROR(VLOOKUP(F249,'Base Sectores'!$A$5:$J$47,9,FALSE),"")</x:f>
      </x:c>
      <x:c r="N249" s="154"/>
      <x:c r="O249" s="151" t="str">
        <x:f>IFERROR(VLOOKUP(N249,'Configuracion'!$D$4:$H$15,2,FALSE),"")</x:f>
      </x:c>
      <x:c r="P249" s="151" t="str">
        <x:f>IFERROR(VLOOKUP(N249,'Configuracion'!$D$4:$H$15,3,FALSE),"")</x:f>
      </x:c>
      <x:c r="Q249" s="155"/>
      <x:c r="R249" s="156" t="str">
        <x:f>IFERROR(VLOOKUP(N249,'Configuracion'!$D$4:$H$15,4,FALSE),"")</x:f>
      </x:c>
      <x:c r="S249" s="153"/>
      <x:c r="T249" s="153"/>
      <x:c r="U249" s="156" t="str">
        <x:f>IF(OR(S249="",T249=""),"",MOD(T249-S249,1)*24)</x:f>
      </x:c>
      <x:c r="V249" s="154"/>
      <x:c r="W249" s="154"/>
      <x:c r="X249" s="151" t="str">
        <x:f>IFERROR(VLOOKUP(N249,'Configuracion'!$D$4:$H$15,5,FALSE),"")</x:f>
      </x:c>
      <x:c r="Y249" s="151" t="str">
        <x:f>IFERROR(VLOOKUP(V249,'Cuadrillas'!$A$5:$J$14,2,FALSE),"")</x:f>
      </x:c>
      <x:c r="Z249" s="154"/>
      <x:c r="AA249" s="154"/>
      <x:c r="AB249" s="154"/>
      <x:c r="AC249" s="153"/>
      <x:c r="AD249" s="153"/>
      <x:c r="AE249" s="156" t="str">
        <x:f>IF(OR(AC249="",AD249=""),"",MOD(AD249-AC249,1)*24)</x:f>
      </x:c>
      <x:c r="AF249" s="154"/>
      <x:c r="AG249" s="156" t="str">
        <x:f>IF(AE249="","",MAX(0,AE249-IF(AF249="",0,AF249/60)))</x:f>
      </x:c>
      <x:c r="AH249" s="155"/>
      <x:c r="AI249" s="154"/>
      <x:c r="AJ249" s="154"/>
      <x:c r="AK249" s="156" t="n">
        <x:f>IFERROR(U249*W249,"")</x:f>
        <x:v>0</x:v>
      </x:c>
      <x:c r="AL249" s="156" t="n">
        <x:f>IFERROR(AE249*AI249,"")</x:f>
        <x:v>0</x:v>
      </x:c>
      <x:c r="AM249" s="157" t="str">
        <x:f>IFERROR(AH249/Q249,"")</x:f>
      </x:c>
      <x:c r="AN249" s="156" t="str">
        <x:f>IFERROR(AH249/AG249,"")</x:f>
      </x:c>
      <x:c r="AO249" s="156" t="str">
        <x:f>IFERROR(AL249/AH249,"")</x:f>
      </x:c>
      <x:c r="AP249" s="157" t="str">
        <x:f>IFERROR(AG249/AE249,"")</x:f>
      </x:c>
      <x:c r="AQ249" s="157" t="str">
        <x:f>IFERROR(AN249/(R249/'Configuracion'!$B$13),"")</x:f>
      </x:c>
      <x:c r="AR249" s="156" t="n">
        <x:f>IFERROR(AE249-U249,"")</x:f>
        <x:v>0</x:v>
      </x:c>
      <x:c r="AS249" s="154"/>
      <x:c r="AT249" s="154"/>
      <x:c r="AU249" s="154"/>
      <x:c r="AV249" s="154"/>
      <x:c r="AW249" s="152"/>
      <x:c r="AX249" s="154"/>
      <x:c r="AY249" s="154"/>
      <x:c r="AZ249" s="151"/>
      <x:c r="BA249" s="151"/>
    </x:row>
    <x:row r="250">
      <x:c r="A250" s="151" t="str">
        <x:f>IF(B250="","",TEXT(B250,"yyyymmdd")&amp;"-"&amp;TEXT(COUNTIF($B$5:B250,B250),"000"))</x:f>
      </x:c>
      <x:c r="B250" s="152"/>
      <x:c r="C250" s="153"/>
      <x:c r="D250" s="151" t="str">
        <x:f>IF(B250="","",'Configuracion'!$B$4)</x:f>
      </x:c>
      <x:c r="E250" s="154"/>
      <x:c r="F250" s="154"/>
      <x:c r="G250" s="151" t="str">
        <x:f>IFERROR(VLOOKUP(F250,'Base Sectores'!$A$5:$J$47,2,FALSE),"")</x:f>
      </x:c>
      <x:c r="H250" s="151" t="str">
        <x:f>IFERROR(VLOOKUP(F250,'Base Sectores'!$A$5:$J$47,3,FALSE),"")</x:f>
      </x:c>
      <x:c r="I250" s="151" t="str">
        <x:f>IFERROR(VLOOKUP(F250,'Base Sectores'!$A$5:$J$47,4,FALSE),"")</x:f>
      </x:c>
      <x:c r="J250" s="151" t="str">
        <x:f>IFERROR(VLOOKUP(F250,'Base Sectores'!$A$5:$J$47,5,FALSE),"")</x:f>
      </x:c>
      <x:c r="K250" s="151" t="str">
        <x:f>IFERROR(VLOOKUP(F250,'Base Sectores'!$A$5:$J$47,6,FALSE),"")</x:f>
      </x:c>
      <x:c r="L250" s="151" t="str">
        <x:f>IFERROR(VLOOKUP(F250,'Base Sectores'!$A$5:$J$47,7,FALSE),"")</x:f>
      </x:c>
      <x:c r="M250" s="151" t="str">
        <x:f>IFERROR(VLOOKUP(F250,'Base Sectores'!$A$5:$J$47,9,FALSE),"")</x:f>
      </x:c>
      <x:c r="N250" s="154"/>
      <x:c r="O250" s="151" t="str">
        <x:f>IFERROR(VLOOKUP(N250,'Configuracion'!$D$4:$H$15,2,FALSE),"")</x:f>
      </x:c>
      <x:c r="P250" s="151" t="str">
        <x:f>IFERROR(VLOOKUP(N250,'Configuracion'!$D$4:$H$15,3,FALSE),"")</x:f>
      </x:c>
      <x:c r="Q250" s="155"/>
      <x:c r="R250" s="156" t="str">
        <x:f>IFERROR(VLOOKUP(N250,'Configuracion'!$D$4:$H$15,4,FALSE),"")</x:f>
      </x:c>
      <x:c r="S250" s="153"/>
      <x:c r="T250" s="153"/>
      <x:c r="U250" s="156" t="str">
        <x:f>IF(OR(S250="",T250=""),"",MOD(T250-S250,1)*24)</x:f>
      </x:c>
      <x:c r="V250" s="154"/>
      <x:c r="W250" s="154"/>
      <x:c r="X250" s="151" t="str">
        <x:f>IFERROR(VLOOKUP(N250,'Configuracion'!$D$4:$H$15,5,FALSE),"")</x:f>
      </x:c>
      <x:c r="Y250" s="151" t="str">
        <x:f>IFERROR(VLOOKUP(V250,'Cuadrillas'!$A$5:$J$14,2,FALSE),"")</x:f>
      </x:c>
      <x:c r="Z250" s="154"/>
      <x:c r="AA250" s="154"/>
      <x:c r="AB250" s="154"/>
      <x:c r="AC250" s="153"/>
      <x:c r="AD250" s="153"/>
      <x:c r="AE250" s="156" t="str">
        <x:f>IF(OR(AC250="",AD250=""),"",MOD(AD250-AC250,1)*24)</x:f>
      </x:c>
      <x:c r="AF250" s="154"/>
      <x:c r="AG250" s="156" t="str">
        <x:f>IF(AE250="","",MAX(0,AE250-IF(AF250="",0,AF250/60)))</x:f>
      </x:c>
      <x:c r="AH250" s="155"/>
      <x:c r="AI250" s="154"/>
      <x:c r="AJ250" s="154"/>
      <x:c r="AK250" s="156" t="n">
        <x:f>IFERROR(U250*W250,"")</x:f>
        <x:v>0</x:v>
      </x:c>
      <x:c r="AL250" s="156" t="n">
        <x:f>IFERROR(AE250*AI250,"")</x:f>
        <x:v>0</x:v>
      </x:c>
      <x:c r="AM250" s="157" t="str">
        <x:f>IFERROR(AH250/Q250,"")</x:f>
      </x:c>
      <x:c r="AN250" s="156" t="str">
        <x:f>IFERROR(AH250/AG250,"")</x:f>
      </x:c>
      <x:c r="AO250" s="156" t="str">
        <x:f>IFERROR(AL250/AH250,"")</x:f>
      </x:c>
      <x:c r="AP250" s="157" t="str">
        <x:f>IFERROR(AG250/AE250,"")</x:f>
      </x:c>
      <x:c r="AQ250" s="157" t="str">
        <x:f>IFERROR(AN250/(R250/'Configuracion'!$B$13),"")</x:f>
      </x:c>
      <x:c r="AR250" s="156" t="n">
        <x:f>IFERROR(AE250-U250,"")</x:f>
        <x:v>0</x:v>
      </x:c>
      <x:c r="AS250" s="154"/>
      <x:c r="AT250" s="154"/>
      <x:c r="AU250" s="154"/>
      <x:c r="AV250" s="154"/>
      <x:c r="AW250" s="152"/>
      <x:c r="AX250" s="154"/>
      <x:c r="AY250" s="154"/>
      <x:c r="AZ250" s="151"/>
      <x:c r="BA250" s="151"/>
    </x:row>
    <x:row r="251">
      <x:c r="A251" s="151" t="str">
        <x:f>IF(B251="","",TEXT(B251,"yyyymmdd")&amp;"-"&amp;TEXT(COUNTIF($B$5:B251,B251),"000"))</x:f>
      </x:c>
      <x:c r="B251" s="152"/>
      <x:c r="C251" s="153"/>
      <x:c r="D251" s="151" t="str">
        <x:f>IF(B251="","",'Configuracion'!$B$4)</x:f>
      </x:c>
      <x:c r="E251" s="154"/>
      <x:c r="F251" s="154"/>
      <x:c r="G251" s="151" t="str">
        <x:f>IFERROR(VLOOKUP(F251,'Base Sectores'!$A$5:$J$47,2,FALSE),"")</x:f>
      </x:c>
      <x:c r="H251" s="151" t="str">
        <x:f>IFERROR(VLOOKUP(F251,'Base Sectores'!$A$5:$J$47,3,FALSE),"")</x:f>
      </x:c>
      <x:c r="I251" s="151" t="str">
        <x:f>IFERROR(VLOOKUP(F251,'Base Sectores'!$A$5:$J$47,4,FALSE),"")</x:f>
      </x:c>
      <x:c r="J251" s="151" t="str">
        <x:f>IFERROR(VLOOKUP(F251,'Base Sectores'!$A$5:$J$47,5,FALSE),"")</x:f>
      </x:c>
      <x:c r="K251" s="151" t="str">
        <x:f>IFERROR(VLOOKUP(F251,'Base Sectores'!$A$5:$J$47,6,FALSE),"")</x:f>
      </x:c>
      <x:c r="L251" s="151" t="str">
        <x:f>IFERROR(VLOOKUP(F251,'Base Sectores'!$A$5:$J$47,7,FALSE),"")</x:f>
      </x:c>
      <x:c r="M251" s="151" t="str">
        <x:f>IFERROR(VLOOKUP(F251,'Base Sectores'!$A$5:$J$47,9,FALSE),"")</x:f>
      </x:c>
      <x:c r="N251" s="154"/>
      <x:c r="O251" s="151" t="str">
        <x:f>IFERROR(VLOOKUP(N251,'Configuracion'!$D$4:$H$15,2,FALSE),"")</x:f>
      </x:c>
      <x:c r="P251" s="151" t="str">
        <x:f>IFERROR(VLOOKUP(N251,'Configuracion'!$D$4:$H$15,3,FALSE),"")</x:f>
      </x:c>
      <x:c r="Q251" s="155"/>
      <x:c r="R251" s="156" t="str">
        <x:f>IFERROR(VLOOKUP(N251,'Configuracion'!$D$4:$H$15,4,FALSE),"")</x:f>
      </x:c>
      <x:c r="S251" s="153"/>
      <x:c r="T251" s="153"/>
      <x:c r="U251" s="156" t="str">
        <x:f>IF(OR(S251="",T251=""),"",MOD(T251-S251,1)*24)</x:f>
      </x:c>
      <x:c r="V251" s="154"/>
      <x:c r="W251" s="154"/>
      <x:c r="X251" s="151" t="str">
        <x:f>IFERROR(VLOOKUP(N251,'Configuracion'!$D$4:$H$15,5,FALSE),"")</x:f>
      </x:c>
      <x:c r="Y251" s="151" t="str">
        <x:f>IFERROR(VLOOKUP(V251,'Cuadrillas'!$A$5:$J$14,2,FALSE),"")</x:f>
      </x:c>
      <x:c r="Z251" s="154"/>
      <x:c r="AA251" s="154"/>
      <x:c r="AB251" s="154"/>
      <x:c r="AC251" s="153"/>
      <x:c r="AD251" s="153"/>
      <x:c r="AE251" s="156" t="str">
        <x:f>IF(OR(AC251="",AD251=""),"",MOD(AD251-AC251,1)*24)</x:f>
      </x:c>
      <x:c r="AF251" s="154"/>
      <x:c r="AG251" s="156" t="str">
        <x:f>IF(AE251="","",MAX(0,AE251-IF(AF251="",0,AF251/60)))</x:f>
      </x:c>
      <x:c r="AH251" s="155"/>
      <x:c r="AI251" s="154"/>
      <x:c r="AJ251" s="154"/>
      <x:c r="AK251" s="156" t="n">
        <x:f>IFERROR(U251*W251,"")</x:f>
        <x:v>0</x:v>
      </x:c>
      <x:c r="AL251" s="156" t="n">
        <x:f>IFERROR(AE251*AI251,"")</x:f>
        <x:v>0</x:v>
      </x:c>
      <x:c r="AM251" s="157" t="str">
        <x:f>IFERROR(AH251/Q251,"")</x:f>
      </x:c>
      <x:c r="AN251" s="156" t="str">
        <x:f>IFERROR(AH251/AG251,"")</x:f>
      </x:c>
      <x:c r="AO251" s="156" t="str">
        <x:f>IFERROR(AL251/AH251,"")</x:f>
      </x:c>
      <x:c r="AP251" s="157" t="str">
        <x:f>IFERROR(AG251/AE251,"")</x:f>
      </x:c>
      <x:c r="AQ251" s="157" t="str">
        <x:f>IFERROR(AN251/(R251/'Configuracion'!$B$13),"")</x:f>
      </x:c>
      <x:c r="AR251" s="156" t="n">
        <x:f>IFERROR(AE251-U251,"")</x:f>
        <x:v>0</x:v>
      </x:c>
      <x:c r="AS251" s="154"/>
      <x:c r="AT251" s="154"/>
      <x:c r="AU251" s="154"/>
      <x:c r="AV251" s="154"/>
      <x:c r="AW251" s="152"/>
      <x:c r="AX251" s="154"/>
      <x:c r="AY251" s="154"/>
      <x:c r="AZ251" s="151"/>
      <x:c r="BA251" s="151"/>
    </x:row>
    <x:row r="252">
      <x:c r="A252" s="151" t="str">
        <x:f>IF(B252="","",TEXT(B252,"yyyymmdd")&amp;"-"&amp;TEXT(COUNTIF($B$5:B252,B252),"000"))</x:f>
      </x:c>
      <x:c r="B252" s="152"/>
      <x:c r="C252" s="153"/>
      <x:c r="D252" s="151" t="str">
        <x:f>IF(B252="","",'Configuracion'!$B$4)</x:f>
      </x:c>
      <x:c r="E252" s="154"/>
      <x:c r="F252" s="154"/>
      <x:c r="G252" s="151" t="str">
        <x:f>IFERROR(VLOOKUP(F252,'Base Sectores'!$A$5:$J$47,2,FALSE),"")</x:f>
      </x:c>
      <x:c r="H252" s="151" t="str">
        <x:f>IFERROR(VLOOKUP(F252,'Base Sectores'!$A$5:$J$47,3,FALSE),"")</x:f>
      </x:c>
      <x:c r="I252" s="151" t="str">
        <x:f>IFERROR(VLOOKUP(F252,'Base Sectores'!$A$5:$J$47,4,FALSE),"")</x:f>
      </x:c>
      <x:c r="J252" s="151" t="str">
        <x:f>IFERROR(VLOOKUP(F252,'Base Sectores'!$A$5:$J$47,5,FALSE),"")</x:f>
      </x:c>
      <x:c r="K252" s="151" t="str">
        <x:f>IFERROR(VLOOKUP(F252,'Base Sectores'!$A$5:$J$47,6,FALSE),"")</x:f>
      </x:c>
      <x:c r="L252" s="151" t="str">
        <x:f>IFERROR(VLOOKUP(F252,'Base Sectores'!$A$5:$J$47,7,FALSE),"")</x:f>
      </x:c>
      <x:c r="M252" s="151" t="str">
        <x:f>IFERROR(VLOOKUP(F252,'Base Sectores'!$A$5:$J$47,9,FALSE),"")</x:f>
      </x:c>
      <x:c r="N252" s="154"/>
      <x:c r="O252" s="151" t="str">
        <x:f>IFERROR(VLOOKUP(N252,'Configuracion'!$D$4:$H$15,2,FALSE),"")</x:f>
      </x:c>
      <x:c r="P252" s="151" t="str">
        <x:f>IFERROR(VLOOKUP(N252,'Configuracion'!$D$4:$H$15,3,FALSE),"")</x:f>
      </x:c>
      <x:c r="Q252" s="155"/>
      <x:c r="R252" s="156" t="str">
        <x:f>IFERROR(VLOOKUP(N252,'Configuracion'!$D$4:$H$15,4,FALSE),"")</x:f>
      </x:c>
      <x:c r="S252" s="153"/>
      <x:c r="T252" s="153"/>
      <x:c r="U252" s="156" t="str">
        <x:f>IF(OR(S252="",T252=""),"",MOD(T252-S252,1)*24)</x:f>
      </x:c>
      <x:c r="V252" s="154"/>
      <x:c r="W252" s="154"/>
      <x:c r="X252" s="151" t="str">
        <x:f>IFERROR(VLOOKUP(N252,'Configuracion'!$D$4:$H$15,5,FALSE),"")</x:f>
      </x:c>
      <x:c r="Y252" s="151" t="str">
        <x:f>IFERROR(VLOOKUP(V252,'Cuadrillas'!$A$5:$J$14,2,FALSE),"")</x:f>
      </x:c>
      <x:c r="Z252" s="154"/>
      <x:c r="AA252" s="154"/>
      <x:c r="AB252" s="154"/>
      <x:c r="AC252" s="153"/>
      <x:c r="AD252" s="153"/>
      <x:c r="AE252" s="156" t="str">
        <x:f>IF(OR(AC252="",AD252=""),"",MOD(AD252-AC252,1)*24)</x:f>
      </x:c>
      <x:c r="AF252" s="154"/>
      <x:c r="AG252" s="156" t="str">
        <x:f>IF(AE252="","",MAX(0,AE252-IF(AF252="",0,AF252/60)))</x:f>
      </x:c>
      <x:c r="AH252" s="155"/>
      <x:c r="AI252" s="154"/>
      <x:c r="AJ252" s="154"/>
      <x:c r="AK252" s="156" t="n">
        <x:f>IFERROR(U252*W252,"")</x:f>
        <x:v>0</x:v>
      </x:c>
      <x:c r="AL252" s="156" t="n">
        <x:f>IFERROR(AE252*AI252,"")</x:f>
        <x:v>0</x:v>
      </x:c>
      <x:c r="AM252" s="157" t="str">
        <x:f>IFERROR(AH252/Q252,"")</x:f>
      </x:c>
      <x:c r="AN252" s="156" t="str">
        <x:f>IFERROR(AH252/AG252,"")</x:f>
      </x:c>
      <x:c r="AO252" s="156" t="str">
        <x:f>IFERROR(AL252/AH252,"")</x:f>
      </x:c>
      <x:c r="AP252" s="157" t="str">
        <x:f>IFERROR(AG252/AE252,"")</x:f>
      </x:c>
      <x:c r="AQ252" s="157" t="str">
        <x:f>IFERROR(AN252/(R252/'Configuracion'!$B$13),"")</x:f>
      </x:c>
      <x:c r="AR252" s="156" t="n">
        <x:f>IFERROR(AE252-U252,"")</x:f>
        <x:v>0</x:v>
      </x:c>
      <x:c r="AS252" s="154"/>
      <x:c r="AT252" s="154"/>
      <x:c r="AU252" s="154"/>
      <x:c r="AV252" s="154"/>
      <x:c r="AW252" s="152"/>
      <x:c r="AX252" s="154"/>
      <x:c r="AY252" s="154"/>
      <x:c r="AZ252" s="151"/>
      <x:c r="BA252" s="151"/>
    </x:row>
    <x:row r="253">
      <x:c r="A253" s="151" t="str">
        <x:f>IF(B253="","",TEXT(B253,"yyyymmdd")&amp;"-"&amp;TEXT(COUNTIF($B$5:B253,B253),"000"))</x:f>
      </x:c>
      <x:c r="B253" s="152"/>
      <x:c r="C253" s="153"/>
      <x:c r="D253" s="151" t="str">
        <x:f>IF(B253="","",'Configuracion'!$B$4)</x:f>
      </x:c>
      <x:c r="E253" s="154"/>
      <x:c r="F253" s="154"/>
      <x:c r="G253" s="151" t="str">
        <x:f>IFERROR(VLOOKUP(F253,'Base Sectores'!$A$5:$J$47,2,FALSE),"")</x:f>
      </x:c>
      <x:c r="H253" s="151" t="str">
        <x:f>IFERROR(VLOOKUP(F253,'Base Sectores'!$A$5:$J$47,3,FALSE),"")</x:f>
      </x:c>
      <x:c r="I253" s="151" t="str">
        <x:f>IFERROR(VLOOKUP(F253,'Base Sectores'!$A$5:$J$47,4,FALSE),"")</x:f>
      </x:c>
      <x:c r="J253" s="151" t="str">
        <x:f>IFERROR(VLOOKUP(F253,'Base Sectores'!$A$5:$J$47,5,FALSE),"")</x:f>
      </x:c>
      <x:c r="K253" s="151" t="str">
        <x:f>IFERROR(VLOOKUP(F253,'Base Sectores'!$A$5:$J$47,6,FALSE),"")</x:f>
      </x:c>
      <x:c r="L253" s="151" t="str">
        <x:f>IFERROR(VLOOKUP(F253,'Base Sectores'!$A$5:$J$47,7,FALSE),"")</x:f>
      </x:c>
      <x:c r="M253" s="151" t="str">
        <x:f>IFERROR(VLOOKUP(F253,'Base Sectores'!$A$5:$J$47,9,FALSE),"")</x:f>
      </x:c>
      <x:c r="N253" s="154"/>
      <x:c r="O253" s="151" t="str">
        <x:f>IFERROR(VLOOKUP(N253,'Configuracion'!$D$4:$H$15,2,FALSE),"")</x:f>
      </x:c>
      <x:c r="P253" s="151" t="str">
        <x:f>IFERROR(VLOOKUP(N253,'Configuracion'!$D$4:$H$15,3,FALSE),"")</x:f>
      </x:c>
      <x:c r="Q253" s="155"/>
      <x:c r="R253" s="156" t="str">
        <x:f>IFERROR(VLOOKUP(N253,'Configuracion'!$D$4:$H$15,4,FALSE),"")</x:f>
      </x:c>
      <x:c r="S253" s="153"/>
      <x:c r="T253" s="153"/>
      <x:c r="U253" s="156" t="str">
        <x:f>IF(OR(S253="",T253=""),"",MOD(T253-S253,1)*24)</x:f>
      </x:c>
      <x:c r="V253" s="154"/>
      <x:c r="W253" s="154"/>
      <x:c r="X253" s="151" t="str">
        <x:f>IFERROR(VLOOKUP(N253,'Configuracion'!$D$4:$H$15,5,FALSE),"")</x:f>
      </x:c>
      <x:c r="Y253" s="151" t="str">
        <x:f>IFERROR(VLOOKUP(V253,'Cuadrillas'!$A$5:$J$14,2,FALSE),"")</x:f>
      </x:c>
      <x:c r="Z253" s="154"/>
      <x:c r="AA253" s="154"/>
      <x:c r="AB253" s="154"/>
      <x:c r="AC253" s="153"/>
      <x:c r="AD253" s="153"/>
      <x:c r="AE253" s="156" t="str">
        <x:f>IF(OR(AC253="",AD253=""),"",MOD(AD253-AC253,1)*24)</x:f>
      </x:c>
      <x:c r="AF253" s="154"/>
      <x:c r="AG253" s="156" t="str">
        <x:f>IF(AE253="","",MAX(0,AE253-IF(AF253="",0,AF253/60)))</x:f>
      </x:c>
      <x:c r="AH253" s="155"/>
      <x:c r="AI253" s="154"/>
      <x:c r="AJ253" s="154"/>
      <x:c r="AK253" s="156" t="n">
        <x:f>IFERROR(U253*W253,"")</x:f>
        <x:v>0</x:v>
      </x:c>
      <x:c r="AL253" s="156" t="n">
        <x:f>IFERROR(AE253*AI253,"")</x:f>
        <x:v>0</x:v>
      </x:c>
      <x:c r="AM253" s="157" t="str">
        <x:f>IFERROR(AH253/Q253,"")</x:f>
      </x:c>
      <x:c r="AN253" s="156" t="str">
        <x:f>IFERROR(AH253/AG253,"")</x:f>
      </x:c>
      <x:c r="AO253" s="156" t="str">
        <x:f>IFERROR(AL253/AH253,"")</x:f>
      </x:c>
      <x:c r="AP253" s="157" t="str">
        <x:f>IFERROR(AG253/AE253,"")</x:f>
      </x:c>
      <x:c r="AQ253" s="157" t="str">
        <x:f>IFERROR(AN253/(R253/'Configuracion'!$B$13),"")</x:f>
      </x:c>
      <x:c r="AR253" s="156" t="n">
        <x:f>IFERROR(AE253-U253,"")</x:f>
        <x:v>0</x:v>
      </x:c>
      <x:c r="AS253" s="154"/>
      <x:c r="AT253" s="154"/>
      <x:c r="AU253" s="154"/>
      <x:c r="AV253" s="154"/>
      <x:c r="AW253" s="152"/>
      <x:c r="AX253" s="154"/>
      <x:c r="AY253" s="154"/>
      <x:c r="AZ253" s="151"/>
      <x:c r="BA253" s="151"/>
    </x:row>
    <x:row r="254">
      <x:c r="A254" s="151" t="str">
        <x:f>IF(B254="","",TEXT(B254,"yyyymmdd")&amp;"-"&amp;TEXT(COUNTIF($B$5:B254,B254),"000"))</x:f>
      </x:c>
      <x:c r="B254" s="152"/>
      <x:c r="C254" s="153"/>
      <x:c r="D254" s="151" t="str">
        <x:f>IF(B254="","",'Configuracion'!$B$4)</x:f>
      </x:c>
      <x:c r="E254" s="154"/>
      <x:c r="F254" s="154"/>
      <x:c r="G254" s="151" t="str">
        <x:f>IFERROR(VLOOKUP(F254,'Base Sectores'!$A$5:$J$47,2,FALSE),"")</x:f>
      </x:c>
      <x:c r="H254" s="151" t="str">
        <x:f>IFERROR(VLOOKUP(F254,'Base Sectores'!$A$5:$J$47,3,FALSE),"")</x:f>
      </x:c>
      <x:c r="I254" s="151" t="str">
        <x:f>IFERROR(VLOOKUP(F254,'Base Sectores'!$A$5:$J$47,4,FALSE),"")</x:f>
      </x:c>
      <x:c r="J254" s="151" t="str">
        <x:f>IFERROR(VLOOKUP(F254,'Base Sectores'!$A$5:$J$47,5,FALSE),"")</x:f>
      </x:c>
      <x:c r="K254" s="151" t="str">
        <x:f>IFERROR(VLOOKUP(F254,'Base Sectores'!$A$5:$J$47,6,FALSE),"")</x:f>
      </x:c>
      <x:c r="L254" s="151" t="str">
        <x:f>IFERROR(VLOOKUP(F254,'Base Sectores'!$A$5:$J$47,7,FALSE),"")</x:f>
      </x:c>
      <x:c r="M254" s="151" t="str">
        <x:f>IFERROR(VLOOKUP(F254,'Base Sectores'!$A$5:$J$47,9,FALSE),"")</x:f>
      </x:c>
      <x:c r="N254" s="154"/>
      <x:c r="O254" s="151" t="str">
        <x:f>IFERROR(VLOOKUP(N254,'Configuracion'!$D$4:$H$15,2,FALSE),"")</x:f>
      </x:c>
      <x:c r="P254" s="151" t="str">
        <x:f>IFERROR(VLOOKUP(N254,'Configuracion'!$D$4:$H$15,3,FALSE),"")</x:f>
      </x:c>
      <x:c r="Q254" s="155"/>
      <x:c r="R254" s="156" t="str">
        <x:f>IFERROR(VLOOKUP(N254,'Configuracion'!$D$4:$H$15,4,FALSE),"")</x:f>
      </x:c>
      <x:c r="S254" s="153"/>
      <x:c r="T254" s="153"/>
      <x:c r="U254" s="156" t="str">
        <x:f>IF(OR(S254="",T254=""),"",MOD(T254-S254,1)*24)</x:f>
      </x:c>
      <x:c r="V254" s="154"/>
      <x:c r="W254" s="154"/>
      <x:c r="X254" s="151" t="str">
        <x:f>IFERROR(VLOOKUP(N254,'Configuracion'!$D$4:$H$15,5,FALSE),"")</x:f>
      </x:c>
      <x:c r="Y254" s="151" t="str">
        <x:f>IFERROR(VLOOKUP(V254,'Cuadrillas'!$A$5:$J$14,2,FALSE),"")</x:f>
      </x:c>
      <x:c r="Z254" s="154"/>
      <x:c r="AA254" s="154"/>
      <x:c r="AB254" s="154"/>
      <x:c r="AC254" s="153"/>
      <x:c r="AD254" s="153"/>
      <x:c r="AE254" s="156" t="str">
        <x:f>IF(OR(AC254="",AD254=""),"",MOD(AD254-AC254,1)*24)</x:f>
      </x:c>
      <x:c r="AF254" s="154"/>
      <x:c r="AG254" s="156" t="str">
        <x:f>IF(AE254="","",MAX(0,AE254-IF(AF254="",0,AF254/60)))</x:f>
      </x:c>
      <x:c r="AH254" s="155"/>
      <x:c r="AI254" s="154"/>
      <x:c r="AJ254" s="154"/>
      <x:c r="AK254" s="156" t="n">
        <x:f>IFERROR(U254*W254,"")</x:f>
        <x:v>0</x:v>
      </x:c>
      <x:c r="AL254" s="156" t="n">
        <x:f>IFERROR(AE254*AI254,"")</x:f>
        <x:v>0</x:v>
      </x:c>
      <x:c r="AM254" s="157" t="str">
        <x:f>IFERROR(AH254/Q254,"")</x:f>
      </x:c>
      <x:c r="AN254" s="156" t="str">
        <x:f>IFERROR(AH254/AG254,"")</x:f>
      </x:c>
      <x:c r="AO254" s="156" t="str">
        <x:f>IFERROR(AL254/AH254,"")</x:f>
      </x:c>
      <x:c r="AP254" s="157" t="str">
        <x:f>IFERROR(AG254/AE254,"")</x:f>
      </x:c>
      <x:c r="AQ254" s="157" t="str">
        <x:f>IFERROR(AN254/(R254/'Configuracion'!$B$13),"")</x:f>
      </x:c>
      <x:c r="AR254" s="156" t="n">
        <x:f>IFERROR(AE254-U254,"")</x:f>
        <x:v>0</x:v>
      </x:c>
      <x:c r="AS254" s="154"/>
      <x:c r="AT254" s="154"/>
      <x:c r="AU254" s="154"/>
      <x:c r="AV254" s="154"/>
      <x:c r="AW254" s="152"/>
      <x:c r="AX254" s="154"/>
      <x:c r="AY254" s="154"/>
      <x:c r="AZ254" s="151"/>
      <x:c r="BA254" s="151"/>
    </x:row>
    <x:row r="255">
      <x:c r="A255" s="151" t="str">
        <x:f>IF(B255="","",TEXT(B255,"yyyymmdd")&amp;"-"&amp;TEXT(COUNTIF($B$5:B255,B255),"000"))</x:f>
      </x:c>
      <x:c r="B255" s="152"/>
      <x:c r="C255" s="153"/>
      <x:c r="D255" s="151" t="str">
        <x:f>IF(B255="","",'Configuracion'!$B$4)</x:f>
      </x:c>
      <x:c r="E255" s="154"/>
      <x:c r="F255" s="154"/>
      <x:c r="G255" s="151" t="str">
        <x:f>IFERROR(VLOOKUP(F255,'Base Sectores'!$A$5:$J$47,2,FALSE),"")</x:f>
      </x:c>
      <x:c r="H255" s="151" t="str">
        <x:f>IFERROR(VLOOKUP(F255,'Base Sectores'!$A$5:$J$47,3,FALSE),"")</x:f>
      </x:c>
      <x:c r="I255" s="151" t="str">
        <x:f>IFERROR(VLOOKUP(F255,'Base Sectores'!$A$5:$J$47,4,FALSE),"")</x:f>
      </x:c>
      <x:c r="J255" s="151" t="str">
        <x:f>IFERROR(VLOOKUP(F255,'Base Sectores'!$A$5:$J$47,5,FALSE),"")</x:f>
      </x:c>
      <x:c r="K255" s="151" t="str">
        <x:f>IFERROR(VLOOKUP(F255,'Base Sectores'!$A$5:$J$47,6,FALSE),"")</x:f>
      </x:c>
      <x:c r="L255" s="151" t="str">
        <x:f>IFERROR(VLOOKUP(F255,'Base Sectores'!$A$5:$J$47,7,FALSE),"")</x:f>
      </x:c>
      <x:c r="M255" s="151" t="str">
        <x:f>IFERROR(VLOOKUP(F255,'Base Sectores'!$A$5:$J$47,9,FALSE),"")</x:f>
      </x:c>
      <x:c r="N255" s="154"/>
      <x:c r="O255" s="151" t="str">
        <x:f>IFERROR(VLOOKUP(N255,'Configuracion'!$D$4:$H$15,2,FALSE),"")</x:f>
      </x:c>
      <x:c r="P255" s="151" t="str">
        <x:f>IFERROR(VLOOKUP(N255,'Configuracion'!$D$4:$H$15,3,FALSE),"")</x:f>
      </x:c>
      <x:c r="Q255" s="155"/>
      <x:c r="R255" s="156" t="str">
        <x:f>IFERROR(VLOOKUP(N255,'Configuracion'!$D$4:$H$15,4,FALSE),"")</x:f>
      </x:c>
      <x:c r="S255" s="153"/>
      <x:c r="T255" s="153"/>
      <x:c r="U255" s="156" t="str">
        <x:f>IF(OR(S255="",T255=""),"",MOD(T255-S255,1)*24)</x:f>
      </x:c>
      <x:c r="V255" s="154"/>
      <x:c r="W255" s="154"/>
      <x:c r="X255" s="151" t="str">
        <x:f>IFERROR(VLOOKUP(N255,'Configuracion'!$D$4:$H$15,5,FALSE),"")</x:f>
      </x:c>
      <x:c r="Y255" s="151" t="str">
        <x:f>IFERROR(VLOOKUP(V255,'Cuadrillas'!$A$5:$J$14,2,FALSE),"")</x:f>
      </x:c>
      <x:c r="Z255" s="154"/>
      <x:c r="AA255" s="154"/>
      <x:c r="AB255" s="154"/>
      <x:c r="AC255" s="153"/>
      <x:c r="AD255" s="153"/>
      <x:c r="AE255" s="156" t="str">
        <x:f>IF(OR(AC255="",AD255=""),"",MOD(AD255-AC255,1)*24)</x:f>
      </x:c>
      <x:c r="AF255" s="154"/>
      <x:c r="AG255" s="156" t="str">
        <x:f>IF(AE255="","",MAX(0,AE255-IF(AF255="",0,AF255/60)))</x:f>
      </x:c>
      <x:c r="AH255" s="155"/>
      <x:c r="AI255" s="154"/>
      <x:c r="AJ255" s="154"/>
      <x:c r="AK255" s="156" t="n">
        <x:f>IFERROR(U255*W255,"")</x:f>
        <x:v>0</x:v>
      </x:c>
      <x:c r="AL255" s="156" t="n">
        <x:f>IFERROR(AE255*AI255,"")</x:f>
        <x:v>0</x:v>
      </x:c>
      <x:c r="AM255" s="157" t="str">
        <x:f>IFERROR(AH255/Q255,"")</x:f>
      </x:c>
      <x:c r="AN255" s="156" t="str">
        <x:f>IFERROR(AH255/AG255,"")</x:f>
      </x:c>
      <x:c r="AO255" s="156" t="str">
        <x:f>IFERROR(AL255/AH255,"")</x:f>
      </x:c>
      <x:c r="AP255" s="157" t="str">
        <x:f>IFERROR(AG255/AE255,"")</x:f>
      </x:c>
      <x:c r="AQ255" s="157" t="str">
        <x:f>IFERROR(AN255/(R255/'Configuracion'!$B$13),"")</x:f>
      </x:c>
      <x:c r="AR255" s="156" t="n">
        <x:f>IFERROR(AE255-U255,"")</x:f>
        <x:v>0</x:v>
      </x:c>
      <x:c r="AS255" s="154"/>
      <x:c r="AT255" s="154"/>
      <x:c r="AU255" s="154"/>
      <x:c r="AV255" s="154"/>
      <x:c r="AW255" s="152"/>
      <x:c r="AX255" s="154"/>
      <x:c r="AY255" s="154"/>
      <x:c r="AZ255" s="151"/>
      <x:c r="BA255" s="151"/>
    </x:row>
    <x:row r="256">
      <x:c r="A256" s="151" t="str">
        <x:f>IF(B256="","",TEXT(B256,"yyyymmdd")&amp;"-"&amp;TEXT(COUNTIF($B$5:B256,B256),"000"))</x:f>
      </x:c>
      <x:c r="B256" s="152"/>
      <x:c r="C256" s="153"/>
      <x:c r="D256" s="151" t="str">
        <x:f>IF(B256="","",'Configuracion'!$B$4)</x:f>
      </x:c>
      <x:c r="E256" s="154"/>
      <x:c r="F256" s="154"/>
      <x:c r="G256" s="151" t="str">
        <x:f>IFERROR(VLOOKUP(F256,'Base Sectores'!$A$5:$J$47,2,FALSE),"")</x:f>
      </x:c>
      <x:c r="H256" s="151" t="str">
        <x:f>IFERROR(VLOOKUP(F256,'Base Sectores'!$A$5:$J$47,3,FALSE),"")</x:f>
      </x:c>
      <x:c r="I256" s="151" t="str">
        <x:f>IFERROR(VLOOKUP(F256,'Base Sectores'!$A$5:$J$47,4,FALSE),"")</x:f>
      </x:c>
      <x:c r="J256" s="151" t="str">
        <x:f>IFERROR(VLOOKUP(F256,'Base Sectores'!$A$5:$J$47,5,FALSE),"")</x:f>
      </x:c>
      <x:c r="K256" s="151" t="str">
        <x:f>IFERROR(VLOOKUP(F256,'Base Sectores'!$A$5:$J$47,6,FALSE),"")</x:f>
      </x:c>
      <x:c r="L256" s="151" t="str">
        <x:f>IFERROR(VLOOKUP(F256,'Base Sectores'!$A$5:$J$47,7,FALSE),"")</x:f>
      </x:c>
      <x:c r="M256" s="151" t="str">
        <x:f>IFERROR(VLOOKUP(F256,'Base Sectores'!$A$5:$J$47,9,FALSE),"")</x:f>
      </x:c>
      <x:c r="N256" s="154"/>
      <x:c r="O256" s="151" t="str">
        <x:f>IFERROR(VLOOKUP(N256,'Configuracion'!$D$4:$H$15,2,FALSE),"")</x:f>
      </x:c>
      <x:c r="P256" s="151" t="str">
        <x:f>IFERROR(VLOOKUP(N256,'Configuracion'!$D$4:$H$15,3,FALSE),"")</x:f>
      </x:c>
      <x:c r="Q256" s="155"/>
      <x:c r="R256" s="156" t="str">
        <x:f>IFERROR(VLOOKUP(N256,'Configuracion'!$D$4:$H$15,4,FALSE),"")</x:f>
      </x:c>
      <x:c r="S256" s="153"/>
      <x:c r="T256" s="153"/>
      <x:c r="U256" s="156" t="str">
        <x:f>IF(OR(S256="",T256=""),"",MOD(T256-S256,1)*24)</x:f>
      </x:c>
      <x:c r="V256" s="154"/>
      <x:c r="W256" s="154"/>
      <x:c r="X256" s="151" t="str">
        <x:f>IFERROR(VLOOKUP(N256,'Configuracion'!$D$4:$H$15,5,FALSE),"")</x:f>
      </x:c>
      <x:c r="Y256" s="151" t="str">
        <x:f>IFERROR(VLOOKUP(V256,'Cuadrillas'!$A$5:$J$14,2,FALSE),"")</x:f>
      </x:c>
      <x:c r="Z256" s="154"/>
      <x:c r="AA256" s="154"/>
      <x:c r="AB256" s="154"/>
      <x:c r="AC256" s="153"/>
      <x:c r="AD256" s="153"/>
      <x:c r="AE256" s="156" t="str">
        <x:f>IF(OR(AC256="",AD256=""),"",MOD(AD256-AC256,1)*24)</x:f>
      </x:c>
      <x:c r="AF256" s="154"/>
      <x:c r="AG256" s="156" t="str">
        <x:f>IF(AE256="","",MAX(0,AE256-IF(AF256="",0,AF256/60)))</x:f>
      </x:c>
      <x:c r="AH256" s="155"/>
      <x:c r="AI256" s="154"/>
      <x:c r="AJ256" s="154"/>
      <x:c r="AK256" s="156" t="n">
        <x:f>IFERROR(U256*W256,"")</x:f>
        <x:v>0</x:v>
      </x:c>
      <x:c r="AL256" s="156" t="n">
        <x:f>IFERROR(AE256*AI256,"")</x:f>
        <x:v>0</x:v>
      </x:c>
      <x:c r="AM256" s="157" t="str">
        <x:f>IFERROR(AH256/Q256,"")</x:f>
      </x:c>
      <x:c r="AN256" s="156" t="str">
        <x:f>IFERROR(AH256/AG256,"")</x:f>
      </x:c>
      <x:c r="AO256" s="156" t="str">
        <x:f>IFERROR(AL256/AH256,"")</x:f>
      </x:c>
      <x:c r="AP256" s="157" t="str">
        <x:f>IFERROR(AG256/AE256,"")</x:f>
      </x:c>
      <x:c r="AQ256" s="157" t="str">
        <x:f>IFERROR(AN256/(R256/'Configuracion'!$B$13),"")</x:f>
      </x:c>
      <x:c r="AR256" s="156" t="n">
        <x:f>IFERROR(AE256-U256,"")</x:f>
        <x:v>0</x:v>
      </x:c>
      <x:c r="AS256" s="154"/>
      <x:c r="AT256" s="154"/>
      <x:c r="AU256" s="154"/>
      <x:c r="AV256" s="154"/>
      <x:c r="AW256" s="152"/>
      <x:c r="AX256" s="154"/>
      <x:c r="AY256" s="154"/>
      <x:c r="AZ256" s="151"/>
      <x:c r="BA256" s="151"/>
    </x:row>
    <x:row r="257">
      <x:c r="A257" s="151" t="str">
        <x:f>IF(B257="","",TEXT(B257,"yyyymmdd")&amp;"-"&amp;TEXT(COUNTIF($B$5:B257,B257),"000"))</x:f>
      </x:c>
      <x:c r="B257" s="152"/>
      <x:c r="C257" s="153"/>
      <x:c r="D257" s="151" t="str">
        <x:f>IF(B257="","",'Configuracion'!$B$4)</x:f>
      </x:c>
      <x:c r="E257" s="154"/>
      <x:c r="F257" s="154"/>
      <x:c r="G257" s="151" t="str">
        <x:f>IFERROR(VLOOKUP(F257,'Base Sectores'!$A$5:$J$47,2,FALSE),"")</x:f>
      </x:c>
      <x:c r="H257" s="151" t="str">
        <x:f>IFERROR(VLOOKUP(F257,'Base Sectores'!$A$5:$J$47,3,FALSE),"")</x:f>
      </x:c>
      <x:c r="I257" s="151" t="str">
        <x:f>IFERROR(VLOOKUP(F257,'Base Sectores'!$A$5:$J$47,4,FALSE),"")</x:f>
      </x:c>
      <x:c r="J257" s="151" t="str">
        <x:f>IFERROR(VLOOKUP(F257,'Base Sectores'!$A$5:$J$47,5,FALSE),"")</x:f>
      </x:c>
      <x:c r="K257" s="151" t="str">
        <x:f>IFERROR(VLOOKUP(F257,'Base Sectores'!$A$5:$J$47,6,FALSE),"")</x:f>
      </x:c>
      <x:c r="L257" s="151" t="str">
        <x:f>IFERROR(VLOOKUP(F257,'Base Sectores'!$A$5:$J$47,7,FALSE),"")</x:f>
      </x:c>
      <x:c r="M257" s="151" t="str">
        <x:f>IFERROR(VLOOKUP(F257,'Base Sectores'!$A$5:$J$47,9,FALSE),"")</x:f>
      </x:c>
      <x:c r="N257" s="154"/>
      <x:c r="O257" s="151" t="str">
        <x:f>IFERROR(VLOOKUP(N257,'Configuracion'!$D$4:$H$15,2,FALSE),"")</x:f>
      </x:c>
      <x:c r="P257" s="151" t="str">
        <x:f>IFERROR(VLOOKUP(N257,'Configuracion'!$D$4:$H$15,3,FALSE),"")</x:f>
      </x:c>
      <x:c r="Q257" s="155"/>
      <x:c r="R257" s="156" t="str">
        <x:f>IFERROR(VLOOKUP(N257,'Configuracion'!$D$4:$H$15,4,FALSE),"")</x:f>
      </x:c>
      <x:c r="S257" s="153"/>
      <x:c r="T257" s="153"/>
      <x:c r="U257" s="156" t="str">
        <x:f>IF(OR(S257="",T257=""),"",MOD(T257-S257,1)*24)</x:f>
      </x:c>
      <x:c r="V257" s="154"/>
      <x:c r="W257" s="154"/>
      <x:c r="X257" s="151" t="str">
        <x:f>IFERROR(VLOOKUP(N257,'Configuracion'!$D$4:$H$15,5,FALSE),"")</x:f>
      </x:c>
      <x:c r="Y257" s="151" t="str">
        <x:f>IFERROR(VLOOKUP(V257,'Cuadrillas'!$A$5:$J$14,2,FALSE),"")</x:f>
      </x:c>
      <x:c r="Z257" s="154"/>
      <x:c r="AA257" s="154"/>
      <x:c r="AB257" s="154"/>
      <x:c r="AC257" s="153"/>
      <x:c r="AD257" s="153"/>
      <x:c r="AE257" s="156" t="str">
        <x:f>IF(OR(AC257="",AD257=""),"",MOD(AD257-AC257,1)*24)</x:f>
      </x:c>
      <x:c r="AF257" s="154"/>
      <x:c r="AG257" s="156" t="str">
        <x:f>IF(AE257="","",MAX(0,AE257-IF(AF257="",0,AF257/60)))</x:f>
      </x:c>
      <x:c r="AH257" s="155"/>
      <x:c r="AI257" s="154"/>
      <x:c r="AJ257" s="154"/>
      <x:c r="AK257" s="156" t="n">
        <x:f>IFERROR(U257*W257,"")</x:f>
        <x:v>0</x:v>
      </x:c>
      <x:c r="AL257" s="156" t="n">
        <x:f>IFERROR(AE257*AI257,"")</x:f>
        <x:v>0</x:v>
      </x:c>
      <x:c r="AM257" s="157" t="str">
        <x:f>IFERROR(AH257/Q257,"")</x:f>
      </x:c>
      <x:c r="AN257" s="156" t="str">
        <x:f>IFERROR(AH257/AG257,"")</x:f>
      </x:c>
      <x:c r="AO257" s="156" t="str">
        <x:f>IFERROR(AL257/AH257,"")</x:f>
      </x:c>
      <x:c r="AP257" s="157" t="str">
        <x:f>IFERROR(AG257/AE257,"")</x:f>
      </x:c>
      <x:c r="AQ257" s="157" t="str">
        <x:f>IFERROR(AN257/(R257/'Configuracion'!$B$13),"")</x:f>
      </x:c>
      <x:c r="AR257" s="156" t="n">
        <x:f>IFERROR(AE257-U257,"")</x:f>
        <x:v>0</x:v>
      </x:c>
      <x:c r="AS257" s="154"/>
      <x:c r="AT257" s="154"/>
      <x:c r="AU257" s="154"/>
      <x:c r="AV257" s="154"/>
      <x:c r="AW257" s="152"/>
      <x:c r="AX257" s="154"/>
      <x:c r="AY257" s="154"/>
      <x:c r="AZ257" s="151"/>
      <x:c r="BA257" s="151"/>
    </x:row>
    <x:row r="258">
      <x:c r="A258" s="151" t="str">
        <x:f>IF(B258="","",TEXT(B258,"yyyymmdd")&amp;"-"&amp;TEXT(COUNTIF($B$5:B258,B258),"000"))</x:f>
      </x:c>
      <x:c r="B258" s="152"/>
      <x:c r="C258" s="153"/>
      <x:c r="D258" s="151" t="str">
        <x:f>IF(B258="","",'Configuracion'!$B$4)</x:f>
      </x:c>
      <x:c r="E258" s="154"/>
      <x:c r="F258" s="154"/>
      <x:c r="G258" s="151" t="str">
        <x:f>IFERROR(VLOOKUP(F258,'Base Sectores'!$A$5:$J$47,2,FALSE),"")</x:f>
      </x:c>
      <x:c r="H258" s="151" t="str">
        <x:f>IFERROR(VLOOKUP(F258,'Base Sectores'!$A$5:$J$47,3,FALSE),"")</x:f>
      </x:c>
      <x:c r="I258" s="151" t="str">
        <x:f>IFERROR(VLOOKUP(F258,'Base Sectores'!$A$5:$J$47,4,FALSE),"")</x:f>
      </x:c>
      <x:c r="J258" s="151" t="str">
        <x:f>IFERROR(VLOOKUP(F258,'Base Sectores'!$A$5:$J$47,5,FALSE),"")</x:f>
      </x:c>
      <x:c r="K258" s="151" t="str">
        <x:f>IFERROR(VLOOKUP(F258,'Base Sectores'!$A$5:$J$47,6,FALSE),"")</x:f>
      </x:c>
      <x:c r="L258" s="151" t="str">
        <x:f>IFERROR(VLOOKUP(F258,'Base Sectores'!$A$5:$J$47,7,FALSE),"")</x:f>
      </x:c>
      <x:c r="M258" s="151" t="str">
        <x:f>IFERROR(VLOOKUP(F258,'Base Sectores'!$A$5:$J$47,9,FALSE),"")</x:f>
      </x:c>
      <x:c r="N258" s="154"/>
      <x:c r="O258" s="151" t="str">
        <x:f>IFERROR(VLOOKUP(N258,'Configuracion'!$D$4:$H$15,2,FALSE),"")</x:f>
      </x:c>
      <x:c r="P258" s="151" t="str">
        <x:f>IFERROR(VLOOKUP(N258,'Configuracion'!$D$4:$H$15,3,FALSE),"")</x:f>
      </x:c>
      <x:c r="Q258" s="155"/>
      <x:c r="R258" s="156" t="str">
        <x:f>IFERROR(VLOOKUP(N258,'Configuracion'!$D$4:$H$15,4,FALSE),"")</x:f>
      </x:c>
      <x:c r="S258" s="153"/>
      <x:c r="T258" s="153"/>
      <x:c r="U258" s="156" t="str">
        <x:f>IF(OR(S258="",T258=""),"",MOD(T258-S258,1)*24)</x:f>
      </x:c>
      <x:c r="V258" s="154"/>
      <x:c r="W258" s="154"/>
      <x:c r="X258" s="151" t="str">
        <x:f>IFERROR(VLOOKUP(N258,'Configuracion'!$D$4:$H$15,5,FALSE),"")</x:f>
      </x:c>
      <x:c r="Y258" s="151" t="str">
        <x:f>IFERROR(VLOOKUP(V258,'Cuadrillas'!$A$5:$J$14,2,FALSE),"")</x:f>
      </x:c>
      <x:c r="Z258" s="154"/>
      <x:c r="AA258" s="154"/>
      <x:c r="AB258" s="154"/>
      <x:c r="AC258" s="153"/>
      <x:c r="AD258" s="153"/>
      <x:c r="AE258" s="156" t="str">
        <x:f>IF(OR(AC258="",AD258=""),"",MOD(AD258-AC258,1)*24)</x:f>
      </x:c>
      <x:c r="AF258" s="154"/>
      <x:c r="AG258" s="156" t="str">
        <x:f>IF(AE258="","",MAX(0,AE258-IF(AF258="",0,AF258/60)))</x:f>
      </x:c>
      <x:c r="AH258" s="155"/>
      <x:c r="AI258" s="154"/>
      <x:c r="AJ258" s="154"/>
      <x:c r="AK258" s="156" t="n">
        <x:f>IFERROR(U258*W258,"")</x:f>
        <x:v>0</x:v>
      </x:c>
      <x:c r="AL258" s="156" t="n">
        <x:f>IFERROR(AE258*AI258,"")</x:f>
        <x:v>0</x:v>
      </x:c>
      <x:c r="AM258" s="157" t="str">
        <x:f>IFERROR(AH258/Q258,"")</x:f>
      </x:c>
      <x:c r="AN258" s="156" t="str">
        <x:f>IFERROR(AH258/AG258,"")</x:f>
      </x:c>
      <x:c r="AO258" s="156" t="str">
        <x:f>IFERROR(AL258/AH258,"")</x:f>
      </x:c>
      <x:c r="AP258" s="157" t="str">
        <x:f>IFERROR(AG258/AE258,"")</x:f>
      </x:c>
      <x:c r="AQ258" s="157" t="str">
        <x:f>IFERROR(AN258/(R258/'Configuracion'!$B$13),"")</x:f>
      </x:c>
      <x:c r="AR258" s="156" t="n">
        <x:f>IFERROR(AE258-U258,"")</x:f>
        <x:v>0</x:v>
      </x:c>
      <x:c r="AS258" s="154"/>
      <x:c r="AT258" s="154"/>
      <x:c r="AU258" s="154"/>
      <x:c r="AV258" s="154"/>
      <x:c r="AW258" s="152"/>
      <x:c r="AX258" s="154"/>
      <x:c r="AY258" s="154"/>
      <x:c r="AZ258" s="151"/>
      <x:c r="BA258" s="151"/>
    </x:row>
    <x:row r="259">
      <x:c r="A259" s="151" t="str">
        <x:f>IF(B259="","",TEXT(B259,"yyyymmdd")&amp;"-"&amp;TEXT(COUNTIF($B$5:B259,B259),"000"))</x:f>
      </x:c>
      <x:c r="B259" s="152"/>
      <x:c r="C259" s="153"/>
      <x:c r="D259" s="151" t="str">
        <x:f>IF(B259="","",'Configuracion'!$B$4)</x:f>
      </x:c>
      <x:c r="E259" s="154"/>
      <x:c r="F259" s="154"/>
      <x:c r="G259" s="151" t="str">
        <x:f>IFERROR(VLOOKUP(F259,'Base Sectores'!$A$5:$J$47,2,FALSE),"")</x:f>
      </x:c>
      <x:c r="H259" s="151" t="str">
        <x:f>IFERROR(VLOOKUP(F259,'Base Sectores'!$A$5:$J$47,3,FALSE),"")</x:f>
      </x:c>
      <x:c r="I259" s="151" t="str">
        <x:f>IFERROR(VLOOKUP(F259,'Base Sectores'!$A$5:$J$47,4,FALSE),"")</x:f>
      </x:c>
      <x:c r="J259" s="151" t="str">
        <x:f>IFERROR(VLOOKUP(F259,'Base Sectores'!$A$5:$J$47,5,FALSE),"")</x:f>
      </x:c>
      <x:c r="K259" s="151" t="str">
        <x:f>IFERROR(VLOOKUP(F259,'Base Sectores'!$A$5:$J$47,6,FALSE),"")</x:f>
      </x:c>
      <x:c r="L259" s="151" t="str">
        <x:f>IFERROR(VLOOKUP(F259,'Base Sectores'!$A$5:$J$47,7,FALSE),"")</x:f>
      </x:c>
      <x:c r="M259" s="151" t="str">
        <x:f>IFERROR(VLOOKUP(F259,'Base Sectores'!$A$5:$J$47,9,FALSE),"")</x:f>
      </x:c>
      <x:c r="N259" s="154"/>
      <x:c r="O259" s="151" t="str">
        <x:f>IFERROR(VLOOKUP(N259,'Configuracion'!$D$4:$H$15,2,FALSE),"")</x:f>
      </x:c>
      <x:c r="P259" s="151" t="str">
        <x:f>IFERROR(VLOOKUP(N259,'Configuracion'!$D$4:$H$15,3,FALSE),"")</x:f>
      </x:c>
      <x:c r="Q259" s="155"/>
      <x:c r="R259" s="156" t="str">
        <x:f>IFERROR(VLOOKUP(N259,'Configuracion'!$D$4:$H$15,4,FALSE),"")</x:f>
      </x:c>
      <x:c r="S259" s="153"/>
      <x:c r="T259" s="153"/>
      <x:c r="U259" s="156" t="str">
        <x:f>IF(OR(S259="",T259=""),"",MOD(T259-S259,1)*24)</x:f>
      </x:c>
      <x:c r="V259" s="154"/>
      <x:c r="W259" s="154"/>
      <x:c r="X259" s="151" t="str">
        <x:f>IFERROR(VLOOKUP(N259,'Configuracion'!$D$4:$H$15,5,FALSE),"")</x:f>
      </x:c>
      <x:c r="Y259" s="151" t="str">
        <x:f>IFERROR(VLOOKUP(V259,'Cuadrillas'!$A$5:$J$14,2,FALSE),"")</x:f>
      </x:c>
      <x:c r="Z259" s="154"/>
      <x:c r="AA259" s="154"/>
      <x:c r="AB259" s="154"/>
      <x:c r="AC259" s="153"/>
      <x:c r="AD259" s="153"/>
      <x:c r="AE259" s="156" t="str">
        <x:f>IF(OR(AC259="",AD259=""),"",MOD(AD259-AC259,1)*24)</x:f>
      </x:c>
      <x:c r="AF259" s="154"/>
      <x:c r="AG259" s="156" t="str">
        <x:f>IF(AE259="","",MAX(0,AE259-IF(AF259="",0,AF259/60)))</x:f>
      </x:c>
      <x:c r="AH259" s="155"/>
      <x:c r="AI259" s="154"/>
      <x:c r="AJ259" s="154"/>
      <x:c r="AK259" s="156" t="n">
        <x:f>IFERROR(U259*W259,"")</x:f>
        <x:v>0</x:v>
      </x:c>
      <x:c r="AL259" s="156" t="n">
        <x:f>IFERROR(AE259*AI259,"")</x:f>
        <x:v>0</x:v>
      </x:c>
      <x:c r="AM259" s="157" t="str">
        <x:f>IFERROR(AH259/Q259,"")</x:f>
      </x:c>
      <x:c r="AN259" s="156" t="str">
        <x:f>IFERROR(AH259/AG259,"")</x:f>
      </x:c>
      <x:c r="AO259" s="156" t="str">
        <x:f>IFERROR(AL259/AH259,"")</x:f>
      </x:c>
      <x:c r="AP259" s="157" t="str">
        <x:f>IFERROR(AG259/AE259,"")</x:f>
      </x:c>
      <x:c r="AQ259" s="157" t="str">
        <x:f>IFERROR(AN259/(R259/'Configuracion'!$B$13),"")</x:f>
      </x:c>
      <x:c r="AR259" s="156" t="n">
        <x:f>IFERROR(AE259-U259,"")</x:f>
        <x:v>0</x:v>
      </x:c>
      <x:c r="AS259" s="154"/>
      <x:c r="AT259" s="154"/>
      <x:c r="AU259" s="154"/>
      <x:c r="AV259" s="154"/>
      <x:c r="AW259" s="152"/>
      <x:c r="AX259" s="154"/>
      <x:c r="AY259" s="154"/>
      <x:c r="AZ259" s="151"/>
      <x:c r="BA259" s="151"/>
    </x:row>
    <x:row r="260">
      <x:c r="A260" s="151" t="str">
        <x:f>IF(B260="","",TEXT(B260,"yyyymmdd")&amp;"-"&amp;TEXT(COUNTIF($B$5:B260,B260),"000"))</x:f>
      </x:c>
      <x:c r="B260" s="152"/>
      <x:c r="C260" s="153"/>
      <x:c r="D260" s="151" t="str">
        <x:f>IF(B260="","",'Configuracion'!$B$4)</x:f>
      </x:c>
      <x:c r="E260" s="154"/>
      <x:c r="F260" s="154"/>
      <x:c r="G260" s="151" t="str">
        <x:f>IFERROR(VLOOKUP(F260,'Base Sectores'!$A$5:$J$47,2,FALSE),"")</x:f>
      </x:c>
      <x:c r="H260" s="151" t="str">
        <x:f>IFERROR(VLOOKUP(F260,'Base Sectores'!$A$5:$J$47,3,FALSE),"")</x:f>
      </x:c>
      <x:c r="I260" s="151" t="str">
        <x:f>IFERROR(VLOOKUP(F260,'Base Sectores'!$A$5:$J$47,4,FALSE),"")</x:f>
      </x:c>
      <x:c r="J260" s="151" t="str">
        <x:f>IFERROR(VLOOKUP(F260,'Base Sectores'!$A$5:$J$47,5,FALSE),"")</x:f>
      </x:c>
      <x:c r="K260" s="151" t="str">
        <x:f>IFERROR(VLOOKUP(F260,'Base Sectores'!$A$5:$J$47,6,FALSE),"")</x:f>
      </x:c>
      <x:c r="L260" s="151" t="str">
        <x:f>IFERROR(VLOOKUP(F260,'Base Sectores'!$A$5:$J$47,7,FALSE),"")</x:f>
      </x:c>
      <x:c r="M260" s="151" t="str">
        <x:f>IFERROR(VLOOKUP(F260,'Base Sectores'!$A$5:$J$47,9,FALSE),"")</x:f>
      </x:c>
      <x:c r="N260" s="154"/>
      <x:c r="O260" s="151" t="str">
        <x:f>IFERROR(VLOOKUP(N260,'Configuracion'!$D$4:$H$15,2,FALSE),"")</x:f>
      </x:c>
      <x:c r="P260" s="151" t="str">
        <x:f>IFERROR(VLOOKUP(N260,'Configuracion'!$D$4:$H$15,3,FALSE),"")</x:f>
      </x:c>
      <x:c r="Q260" s="155"/>
      <x:c r="R260" s="156" t="str">
        <x:f>IFERROR(VLOOKUP(N260,'Configuracion'!$D$4:$H$15,4,FALSE),"")</x:f>
      </x:c>
      <x:c r="S260" s="153"/>
      <x:c r="T260" s="153"/>
      <x:c r="U260" s="156" t="str">
        <x:f>IF(OR(S260="",T260=""),"",MOD(T260-S260,1)*24)</x:f>
      </x:c>
      <x:c r="V260" s="154"/>
      <x:c r="W260" s="154"/>
      <x:c r="X260" s="151" t="str">
        <x:f>IFERROR(VLOOKUP(N260,'Configuracion'!$D$4:$H$15,5,FALSE),"")</x:f>
      </x:c>
      <x:c r="Y260" s="151" t="str">
        <x:f>IFERROR(VLOOKUP(V260,'Cuadrillas'!$A$5:$J$14,2,FALSE),"")</x:f>
      </x:c>
      <x:c r="Z260" s="154"/>
      <x:c r="AA260" s="154"/>
      <x:c r="AB260" s="154"/>
      <x:c r="AC260" s="153"/>
      <x:c r="AD260" s="153"/>
      <x:c r="AE260" s="156" t="str">
        <x:f>IF(OR(AC260="",AD260=""),"",MOD(AD260-AC260,1)*24)</x:f>
      </x:c>
      <x:c r="AF260" s="154"/>
      <x:c r="AG260" s="156" t="str">
        <x:f>IF(AE260="","",MAX(0,AE260-IF(AF260="",0,AF260/60)))</x:f>
      </x:c>
      <x:c r="AH260" s="155"/>
      <x:c r="AI260" s="154"/>
      <x:c r="AJ260" s="154"/>
      <x:c r="AK260" s="156" t="n">
        <x:f>IFERROR(U260*W260,"")</x:f>
        <x:v>0</x:v>
      </x:c>
      <x:c r="AL260" s="156" t="n">
        <x:f>IFERROR(AE260*AI260,"")</x:f>
        <x:v>0</x:v>
      </x:c>
      <x:c r="AM260" s="157" t="str">
        <x:f>IFERROR(AH260/Q260,"")</x:f>
      </x:c>
      <x:c r="AN260" s="156" t="str">
        <x:f>IFERROR(AH260/AG260,"")</x:f>
      </x:c>
      <x:c r="AO260" s="156" t="str">
        <x:f>IFERROR(AL260/AH260,"")</x:f>
      </x:c>
      <x:c r="AP260" s="157" t="str">
        <x:f>IFERROR(AG260/AE260,"")</x:f>
      </x:c>
      <x:c r="AQ260" s="157" t="str">
        <x:f>IFERROR(AN260/(R260/'Configuracion'!$B$13),"")</x:f>
      </x:c>
      <x:c r="AR260" s="156" t="n">
        <x:f>IFERROR(AE260-U260,"")</x:f>
        <x:v>0</x:v>
      </x:c>
      <x:c r="AS260" s="154"/>
      <x:c r="AT260" s="154"/>
      <x:c r="AU260" s="154"/>
      <x:c r="AV260" s="154"/>
      <x:c r="AW260" s="152"/>
      <x:c r="AX260" s="154"/>
      <x:c r="AY260" s="154"/>
      <x:c r="AZ260" s="151"/>
      <x:c r="BA260" s="151"/>
    </x:row>
    <x:row r="261">
      <x:c r="A261" s="151" t="str">
        <x:f>IF(B261="","",TEXT(B261,"yyyymmdd")&amp;"-"&amp;TEXT(COUNTIF($B$5:B261,B261),"000"))</x:f>
      </x:c>
      <x:c r="B261" s="152"/>
      <x:c r="C261" s="153"/>
      <x:c r="D261" s="151" t="str">
        <x:f>IF(B261="","",'Configuracion'!$B$4)</x:f>
      </x:c>
      <x:c r="E261" s="154"/>
      <x:c r="F261" s="154"/>
      <x:c r="G261" s="151" t="str">
        <x:f>IFERROR(VLOOKUP(F261,'Base Sectores'!$A$5:$J$47,2,FALSE),"")</x:f>
      </x:c>
      <x:c r="H261" s="151" t="str">
        <x:f>IFERROR(VLOOKUP(F261,'Base Sectores'!$A$5:$J$47,3,FALSE),"")</x:f>
      </x:c>
      <x:c r="I261" s="151" t="str">
        <x:f>IFERROR(VLOOKUP(F261,'Base Sectores'!$A$5:$J$47,4,FALSE),"")</x:f>
      </x:c>
      <x:c r="J261" s="151" t="str">
        <x:f>IFERROR(VLOOKUP(F261,'Base Sectores'!$A$5:$J$47,5,FALSE),"")</x:f>
      </x:c>
      <x:c r="K261" s="151" t="str">
        <x:f>IFERROR(VLOOKUP(F261,'Base Sectores'!$A$5:$J$47,6,FALSE),"")</x:f>
      </x:c>
      <x:c r="L261" s="151" t="str">
        <x:f>IFERROR(VLOOKUP(F261,'Base Sectores'!$A$5:$J$47,7,FALSE),"")</x:f>
      </x:c>
      <x:c r="M261" s="151" t="str">
        <x:f>IFERROR(VLOOKUP(F261,'Base Sectores'!$A$5:$J$47,9,FALSE),"")</x:f>
      </x:c>
      <x:c r="N261" s="154"/>
      <x:c r="O261" s="151" t="str">
        <x:f>IFERROR(VLOOKUP(N261,'Configuracion'!$D$4:$H$15,2,FALSE),"")</x:f>
      </x:c>
      <x:c r="P261" s="151" t="str">
        <x:f>IFERROR(VLOOKUP(N261,'Configuracion'!$D$4:$H$15,3,FALSE),"")</x:f>
      </x:c>
      <x:c r="Q261" s="155"/>
      <x:c r="R261" s="156" t="str">
        <x:f>IFERROR(VLOOKUP(N261,'Configuracion'!$D$4:$H$15,4,FALSE),"")</x:f>
      </x:c>
      <x:c r="S261" s="153"/>
      <x:c r="T261" s="153"/>
      <x:c r="U261" s="156" t="str">
        <x:f>IF(OR(S261="",T261=""),"",MOD(T261-S261,1)*24)</x:f>
      </x:c>
      <x:c r="V261" s="154"/>
      <x:c r="W261" s="154"/>
      <x:c r="X261" s="151" t="str">
        <x:f>IFERROR(VLOOKUP(N261,'Configuracion'!$D$4:$H$15,5,FALSE),"")</x:f>
      </x:c>
      <x:c r="Y261" s="151" t="str">
        <x:f>IFERROR(VLOOKUP(V261,'Cuadrillas'!$A$5:$J$14,2,FALSE),"")</x:f>
      </x:c>
      <x:c r="Z261" s="154"/>
      <x:c r="AA261" s="154"/>
      <x:c r="AB261" s="154"/>
      <x:c r="AC261" s="153"/>
      <x:c r="AD261" s="153"/>
      <x:c r="AE261" s="156" t="str">
        <x:f>IF(OR(AC261="",AD261=""),"",MOD(AD261-AC261,1)*24)</x:f>
      </x:c>
      <x:c r="AF261" s="154"/>
      <x:c r="AG261" s="156" t="str">
        <x:f>IF(AE261="","",MAX(0,AE261-IF(AF261="",0,AF261/60)))</x:f>
      </x:c>
      <x:c r="AH261" s="155"/>
      <x:c r="AI261" s="154"/>
      <x:c r="AJ261" s="154"/>
      <x:c r="AK261" s="156" t="n">
        <x:f>IFERROR(U261*W261,"")</x:f>
        <x:v>0</x:v>
      </x:c>
      <x:c r="AL261" s="156" t="n">
        <x:f>IFERROR(AE261*AI261,"")</x:f>
        <x:v>0</x:v>
      </x:c>
      <x:c r="AM261" s="157" t="str">
        <x:f>IFERROR(AH261/Q261,"")</x:f>
      </x:c>
      <x:c r="AN261" s="156" t="str">
        <x:f>IFERROR(AH261/AG261,"")</x:f>
      </x:c>
      <x:c r="AO261" s="156" t="str">
        <x:f>IFERROR(AL261/AH261,"")</x:f>
      </x:c>
      <x:c r="AP261" s="157" t="str">
        <x:f>IFERROR(AG261/AE261,"")</x:f>
      </x:c>
      <x:c r="AQ261" s="157" t="str">
        <x:f>IFERROR(AN261/(R261/'Configuracion'!$B$13),"")</x:f>
      </x:c>
      <x:c r="AR261" s="156" t="n">
        <x:f>IFERROR(AE261-U261,"")</x:f>
        <x:v>0</x:v>
      </x:c>
      <x:c r="AS261" s="154"/>
      <x:c r="AT261" s="154"/>
      <x:c r="AU261" s="154"/>
      <x:c r="AV261" s="154"/>
      <x:c r="AW261" s="152"/>
      <x:c r="AX261" s="154"/>
      <x:c r="AY261" s="154"/>
      <x:c r="AZ261" s="151"/>
      <x:c r="BA261" s="151"/>
    </x:row>
    <x:row r="262">
      <x:c r="A262" s="151" t="str">
        <x:f>IF(B262="","",TEXT(B262,"yyyymmdd")&amp;"-"&amp;TEXT(COUNTIF($B$5:B262,B262),"000"))</x:f>
      </x:c>
      <x:c r="B262" s="152"/>
      <x:c r="C262" s="153"/>
      <x:c r="D262" s="151" t="str">
        <x:f>IF(B262="","",'Configuracion'!$B$4)</x:f>
      </x:c>
      <x:c r="E262" s="154"/>
      <x:c r="F262" s="154"/>
      <x:c r="G262" s="151" t="str">
        <x:f>IFERROR(VLOOKUP(F262,'Base Sectores'!$A$5:$J$47,2,FALSE),"")</x:f>
      </x:c>
      <x:c r="H262" s="151" t="str">
        <x:f>IFERROR(VLOOKUP(F262,'Base Sectores'!$A$5:$J$47,3,FALSE),"")</x:f>
      </x:c>
      <x:c r="I262" s="151" t="str">
        <x:f>IFERROR(VLOOKUP(F262,'Base Sectores'!$A$5:$J$47,4,FALSE),"")</x:f>
      </x:c>
      <x:c r="J262" s="151" t="str">
        <x:f>IFERROR(VLOOKUP(F262,'Base Sectores'!$A$5:$J$47,5,FALSE),"")</x:f>
      </x:c>
      <x:c r="K262" s="151" t="str">
        <x:f>IFERROR(VLOOKUP(F262,'Base Sectores'!$A$5:$J$47,6,FALSE),"")</x:f>
      </x:c>
      <x:c r="L262" s="151" t="str">
        <x:f>IFERROR(VLOOKUP(F262,'Base Sectores'!$A$5:$J$47,7,FALSE),"")</x:f>
      </x:c>
      <x:c r="M262" s="151" t="str">
        <x:f>IFERROR(VLOOKUP(F262,'Base Sectores'!$A$5:$J$47,9,FALSE),"")</x:f>
      </x:c>
      <x:c r="N262" s="154"/>
      <x:c r="O262" s="151" t="str">
        <x:f>IFERROR(VLOOKUP(N262,'Configuracion'!$D$4:$H$15,2,FALSE),"")</x:f>
      </x:c>
      <x:c r="P262" s="151" t="str">
        <x:f>IFERROR(VLOOKUP(N262,'Configuracion'!$D$4:$H$15,3,FALSE),"")</x:f>
      </x:c>
      <x:c r="Q262" s="155"/>
      <x:c r="R262" s="156" t="str">
        <x:f>IFERROR(VLOOKUP(N262,'Configuracion'!$D$4:$H$15,4,FALSE),"")</x:f>
      </x:c>
      <x:c r="S262" s="153"/>
      <x:c r="T262" s="153"/>
      <x:c r="U262" s="156" t="str">
        <x:f>IF(OR(S262="",T262=""),"",MOD(T262-S262,1)*24)</x:f>
      </x:c>
      <x:c r="V262" s="154"/>
      <x:c r="W262" s="154"/>
      <x:c r="X262" s="151" t="str">
        <x:f>IFERROR(VLOOKUP(N262,'Configuracion'!$D$4:$H$15,5,FALSE),"")</x:f>
      </x:c>
      <x:c r="Y262" s="151" t="str">
        <x:f>IFERROR(VLOOKUP(V262,'Cuadrillas'!$A$5:$J$14,2,FALSE),"")</x:f>
      </x:c>
      <x:c r="Z262" s="154"/>
      <x:c r="AA262" s="154"/>
      <x:c r="AB262" s="154"/>
      <x:c r="AC262" s="153"/>
      <x:c r="AD262" s="153"/>
      <x:c r="AE262" s="156" t="str">
        <x:f>IF(OR(AC262="",AD262=""),"",MOD(AD262-AC262,1)*24)</x:f>
      </x:c>
      <x:c r="AF262" s="154"/>
      <x:c r="AG262" s="156" t="str">
        <x:f>IF(AE262="","",MAX(0,AE262-IF(AF262="",0,AF262/60)))</x:f>
      </x:c>
      <x:c r="AH262" s="155"/>
      <x:c r="AI262" s="154"/>
      <x:c r="AJ262" s="154"/>
      <x:c r="AK262" s="156" t="n">
        <x:f>IFERROR(U262*W262,"")</x:f>
        <x:v>0</x:v>
      </x:c>
      <x:c r="AL262" s="156" t="n">
        <x:f>IFERROR(AE262*AI262,"")</x:f>
        <x:v>0</x:v>
      </x:c>
      <x:c r="AM262" s="157" t="str">
        <x:f>IFERROR(AH262/Q262,"")</x:f>
      </x:c>
      <x:c r="AN262" s="156" t="str">
        <x:f>IFERROR(AH262/AG262,"")</x:f>
      </x:c>
      <x:c r="AO262" s="156" t="str">
        <x:f>IFERROR(AL262/AH262,"")</x:f>
      </x:c>
      <x:c r="AP262" s="157" t="str">
        <x:f>IFERROR(AG262/AE262,"")</x:f>
      </x:c>
      <x:c r="AQ262" s="157" t="str">
        <x:f>IFERROR(AN262/(R262/'Configuracion'!$B$13),"")</x:f>
      </x:c>
      <x:c r="AR262" s="156" t="n">
        <x:f>IFERROR(AE262-U262,"")</x:f>
        <x:v>0</x:v>
      </x:c>
      <x:c r="AS262" s="154"/>
      <x:c r="AT262" s="154"/>
      <x:c r="AU262" s="154"/>
      <x:c r="AV262" s="154"/>
      <x:c r="AW262" s="152"/>
      <x:c r="AX262" s="154"/>
      <x:c r="AY262" s="154"/>
      <x:c r="AZ262" s="151"/>
      <x:c r="BA262" s="151"/>
    </x:row>
    <x:row r="263">
      <x:c r="A263" s="151" t="str">
        <x:f>IF(B263="","",TEXT(B263,"yyyymmdd")&amp;"-"&amp;TEXT(COUNTIF($B$5:B263,B263),"000"))</x:f>
      </x:c>
      <x:c r="B263" s="152"/>
      <x:c r="C263" s="153"/>
      <x:c r="D263" s="151" t="str">
        <x:f>IF(B263="","",'Configuracion'!$B$4)</x:f>
      </x:c>
      <x:c r="E263" s="154"/>
      <x:c r="F263" s="154"/>
      <x:c r="G263" s="151" t="str">
        <x:f>IFERROR(VLOOKUP(F263,'Base Sectores'!$A$5:$J$47,2,FALSE),"")</x:f>
      </x:c>
      <x:c r="H263" s="151" t="str">
        <x:f>IFERROR(VLOOKUP(F263,'Base Sectores'!$A$5:$J$47,3,FALSE),"")</x:f>
      </x:c>
      <x:c r="I263" s="151" t="str">
        <x:f>IFERROR(VLOOKUP(F263,'Base Sectores'!$A$5:$J$47,4,FALSE),"")</x:f>
      </x:c>
      <x:c r="J263" s="151" t="str">
        <x:f>IFERROR(VLOOKUP(F263,'Base Sectores'!$A$5:$J$47,5,FALSE),"")</x:f>
      </x:c>
      <x:c r="K263" s="151" t="str">
        <x:f>IFERROR(VLOOKUP(F263,'Base Sectores'!$A$5:$J$47,6,FALSE),"")</x:f>
      </x:c>
      <x:c r="L263" s="151" t="str">
        <x:f>IFERROR(VLOOKUP(F263,'Base Sectores'!$A$5:$J$47,7,FALSE),"")</x:f>
      </x:c>
      <x:c r="M263" s="151" t="str">
        <x:f>IFERROR(VLOOKUP(F263,'Base Sectores'!$A$5:$J$47,9,FALSE),"")</x:f>
      </x:c>
      <x:c r="N263" s="154"/>
      <x:c r="O263" s="151" t="str">
        <x:f>IFERROR(VLOOKUP(N263,'Configuracion'!$D$4:$H$15,2,FALSE),"")</x:f>
      </x:c>
      <x:c r="P263" s="151" t="str">
        <x:f>IFERROR(VLOOKUP(N263,'Configuracion'!$D$4:$H$15,3,FALSE),"")</x:f>
      </x:c>
      <x:c r="Q263" s="155"/>
      <x:c r="R263" s="156" t="str">
        <x:f>IFERROR(VLOOKUP(N263,'Configuracion'!$D$4:$H$15,4,FALSE),"")</x:f>
      </x:c>
      <x:c r="S263" s="153"/>
      <x:c r="T263" s="153"/>
      <x:c r="U263" s="156" t="str">
        <x:f>IF(OR(S263="",T263=""),"",MOD(T263-S263,1)*24)</x:f>
      </x:c>
      <x:c r="V263" s="154"/>
      <x:c r="W263" s="154"/>
      <x:c r="X263" s="151" t="str">
        <x:f>IFERROR(VLOOKUP(N263,'Configuracion'!$D$4:$H$15,5,FALSE),"")</x:f>
      </x:c>
      <x:c r="Y263" s="151" t="str">
        <x:f>IFERROR(VLOOKUP(V263,'Cuadrillas'!$A$5:$J$14,2,FALSE),"")</x:f>
      </x:c>
      <x:c r="Z263" s="154"/>
      <x:c r="AA263" s="154"/>
      <x:c r="AB263" s="154"/>
      <x:c r="AC263" s="153"/>
      <x:c r="AD263" s="153"/>
      <x:c r="AE263" s="156" t="str">
        <x:f>IF(OR(AC263="",AD263=""),"",MOD(AD263-AC263,1)*24)</x:f>
      </x:c>
      <x:c r="AF263" s="154"/>
      <x:c r="AG263" s="156" t="str">
        <x:f>IF(AE263="","",MAX(0,AE263-IF(AF263="",0,AF263/60)))</x:f>
      </x:c>
      <x:c r="AH263" s="155"/>
      <x:c r="AI263" s="154"/>
      <x:c r="AJ263" s="154"/>
      <x:c r="AK263" s="156" t="n">
        <x:f>IFERROR(U263*W263,"")</x:f>
        <x:v>0</x:v>
      </x:c>
      <x:c r="AL263" s="156" t="n">
        <x:f>IFERROR(AE263*AI263,"")</x:f>
        <x:v>0</x:v>
      </x:c>
      <x:c r="AM263" s="157" t="str">
        <x:f>IFERROR(AH263/Q263,"")</x:f>
      </x:c>
      <x:c r="AN263" s="156" t="str">
        <x:f>IFERROR(AH263/AG263,"")</x:f>
      </x:c>
      <x:c r="AO263" s="156" t="str">
        <x:f>IFERROR(AL263/AH263,"")</x:f>
      </x:c>
      <x:c r="AP263" s="157" t="str">
        <x:f>IFERROR(AG263/AE263,"")</x:f>
      </x:c>
      <x:c r="AQ263" s="157" t="str">
        <x:f>IFERROR(AN263/(R263/'Configuracion'!$B$13),"")</x:f>
      </x:c>
      <x:c r="AR263" s="156" t="n">
        <x:f>IFERROR(AE263-U263,"")</x:f>
        <x:v>0</x:v>
      </x:c>
      <x:c r="AS263" s="154"/>
      <x:c r="AT263" s="154"/>
      <x:c r="AU263" s="154"/>
      <x:c r="AV263" s="154"/>
      <x:c r="AW263" s="152"/>
      <x:c r="AX263" s="154"/>
      <x:c r="AY263" s="154"/>
      <x:c r="AZ263" s="151"/>
      <x:c r="BA263" s="151"/>
    </x:row>
    <x:row r="264">
      <x:c r="A264" s="151" t="str">
        <x:f>IF(B264="","",TEXT(B264,"yyyymmdd")&amp;"-"&amp;TEXT(COUNTIF($B$5:B264,B264),"000"))</x:f>
      </x:c>
      <x:c r="B264" s="152"/>
      <x:c r="C264" s="153"/>
      <x:c r="D264" s="151" t="str">
        <x:f>IF(B264="","",'Configuracion'!$B$4)</x:f>
      </x:c>
      <x:c r="E264" s="154"/>
      <x:c r="F264" s="154"/>
      <x:c r="G264" s="151" t="str">
        <x:f>IFERROR(VLOOKUP(F264,'Base Sectores'!$A$5:$J$47,2,FALSE),"")</x:f>
      </x:c>
      <x:c r="H264" s="151" t="str">
        <x:f>IFERROR(VLOOKUP(F264,'Base Sectores'!$A$5:$J$47,3,FALSE),"")</x:f>
      </x:c>
      <x:c r="I264" s="151" t="str">
        <x:f>IFERROR(VLOOKUP(F264,'Base Sectores'!$A$5:$J$47,4,FALSE),"")</x:f>
      </x:c>
      <x:c r="J264" s="151" t="str">
        <x:f>IFERROR(VLOOKUP(F264,'Base Sectores'!$A$5:$J$47,5,FALSE),"")</x:f>
      </x:c>
      <x:c r="K264" s="151" t="str">
        <x:f>IFERROR(VLOOKUP(F264,'Base Sectores'!$A$5:$J$47,6,FALSE),"")</x:f>
      </x:c>
      <x:c r="L264" s="151" t="str">
        <x:f>IFERROR(VLOOKUP(F264,'Base Sectores'!$A$5:$J$47,7,FALSE),"")</x:f>
      </x:c>
      <x:c r="M264" s="151" t="str">
        <x:f>IFERROR(VLOOKUP(F264,'Base Sectores'!$A$5:$J$47,9,FALSE),"")</x:f>
      </x:c>
      <x:c r="N264" s="154"/>
      <x:c r="O264" s="151" t="str">
        <x:f>IFERROR(VLOOKUP(N264,'Configuracion'!$D$4:$H$15,2,FALSE),"")</x:f>
      </x:c>
      <x:c r="P264" s="151" t="str">
        <x:f>IFERROR(VLOOKUP(N264,'Configuracion'!$D$4:$H$15,3,FALSE),"")</x:f>
      </x:c>
      <x:c r="Q264" s="155"/>
      <x:c r="R264" s="156" t="str">
        <x:f>IFERROR(VLOOKUP(N264,'Configuracion'!$D$4:$H$15,4,FALSE),"")</x:f>
      </x:c>
      <x:c r="S264" s="153"/>
      <x:c r="T264" s="153"/>
      <x:c r="U264" s="156" t="str">
        <x:f>IF(OR(S264="",T264=""),"",MOD(T264-S264,1)*24)</x:f>
      </x:c>
      <x:c r="V264" s="154"/>
      <x:c r="W264" s="154"/>
      <x:c r="X264" s="151" t="str">
        <x:f>IFERROR(VLOOKUP(N264,'Configuracion'!$D$4:$H$15,5,FALSE),"")</x:f>
      </x:c>
      <x:c r="Y264" s="151" t="str">
        <x:f>IFERROR(VLOOKUP(V264,'Cuadrillas'!$A$5:$J$14,2,FALSE),"")</x:f>
      </x:c>
      <x:c r="Z264" s="154"/>
      <x:c r="AA264" s="154"/>
      <x:c r="AB264" s="154"/>
      <x:c r="AC264" s="153"/>
      <x:c r="AD264" s="153"/>
      <x:c r="AE264" s="156" t="str">
        <x:f>IF(OR(AC264="",AD264=""),"",MOD(AD264-AC264,1)*24)</x:f>
      </x:c>
      <x:c r="AF264" s="154"/>
      <x:c r="AG264" s="156" t="str">
        <x:f>IF(AE264="","",MAX(0,AE264-IF(AF264="",0,AF264/60)))</x:f>
      </x:c>
      <x:c r="AH264" s="155"/>
      <x:c r="AI264" s="154"/>
      <x:c r="AJ264" s="154"/>
      <x:c r="AK264" s="156" t="n">
        <x:f>IFERROR(U264*W264,"")</x:f>
        <x:v>0</x:v>
      </x:c>
      <x:c r="AL264" s="156" t="n">
        <x:f>IFERROR(AE264*AI264,"")</x:f>
        <x:v>0</x:v>
      </x:c>
      <x:c r="AM264" s="157" t="str">
        <x:f>IFERROR(AH264/Q264,"")</x:f>
      </x:c>
      <x:c r="AN264" s="156" t="str">
        <x:f>IFERROR(AH264/AG264,"")</x:f>
      </x:c>
      <x:c r="AO264" s="156" t="str">
        <x:f>IFERROR(AL264/AH264,"")</x:f>
      </x:c>
      <x:c r="AP264" s="157" t="str">
        <x:f>IFERROR(AG264/AE264,"")</x:f>
      </x:c>
      <x:c r="AQ264" s="157" t="str">
        <x:f>IFERROR(AN264/(R264/'Configuracion'!$B$13),"")</x:f>
      </x:c>
      <x:c r="AR264" s="156" t="n">
        <x:f>IFERROR(AE264-U264,"")</x:f>
        <x:v>0</x:v>
      </x:c>
      <x:c r="AS264" s="154"/>
      <x:c r="AT264" s="154"/>
      <x:c r="AU264" s="154"/>
      <x:c r="AV264" s="154"/>
      <x:c r="AW264" s="152"/>
      <x:c r="AX264" s="154"/>
      <x:c r="AY264" s="154"/>
      <x:c r="AZ264" s="151"/>
      <x:c r="BA264" s="151"/>
    </x:row>
    <x:row r="265">
      <x:c r="A265" s="151" t="str">
        <x:f>IF(B265="","",TEXT(B265,"yyyymmdd")&amp;"-"&amp;TEXT(COUNTIF($B$5:B265,B265),"000"))</x:f>
      </x:c>
      <x:c r="B265" s="152"/>
      <x:c r="C265" s="153"/>
      <x:c r="D265" s="151" t="str">
        <x:f>IF(B265="","",'Configuracion'!$B$4)</x:f>
      </x:c>
      <x:c r="E265" s="154"/>
      <x:c r="F265" s="154"/>
      <x:c r="G265" s="151" t="str">
        <x:f>IFERROR(VLOOKUP(F265,'Base Sectores'!$A$5:$J$47,2,FALSE),"")</x:f>
      </x:c>
      <x:c r="H265" s="151" t="str">
        <x:f>IFERROR(VLOOKUP(F265,'Base Sectores'!$A$5:$J$47,3,FALSE),"")</x:f>
      </x:c>
      <x:c r="I265" s="151" t="str">
        <x:f>IFERROR(VLOOKUP(F265,'Base Sectores'!$A$5:$J$47,4,FALSE),"")</x:f>
      </x:c>
      <x:c r="J265" s="151" t="str">
        <x:f>IFERROR(VLOOKUP(F265,'Base Sectores'!$A$5:$J$47,5,FALSE),"")</x:f>
      </x:c>
      <x:c r="K265" s="151" t="str">
        <x:f>IFERROR(VLOOKUP(F265,'Base Sectores'!$A$5:$J$47,6,FALSE),"")</x:f>
      </x:c>
      <x:c r="L265" s="151" t="str">
        <x:f>IFERROR(VLOOKUP(F265,'Base Sectores'!$A$5:$J$47,7,FALSE),"")</x:f>
      </x:c>
      <x:c r="M265" s="151" t="str">
        <x:f>IFERROR(VLOOKUP(F265,'Base Sectores'!$A$5:$J$47,9,FALSE),"")</x:f>
      </x:c>
      <x:c r="N265" s="154"/>
      <x:c r="O265" s="151" t="str">
        <x:f>IFERROR(VLOOKUP(N265,'Configuracion'!$D$4:$H$15,2,FALSE),"")</x:f>
      </x:c>
      <x:c r="P265" s="151" t="str">
        <x:f>IFERROR(VLOOKUP(N265,'Configuracion'!$D$4:$H$15,3,FALSE),"")</x:f>
      </x:c>
      <x:c r="Q265" s="155"/>
      <x:c r="R265" s="156" t="str">
        <x:f>IFERROR(VLOOKUP(N265,'Configuracion'!$D$4:$H$15,4,FALSE),"")</x:f>
      </x:c>
      <x:c r="S265" s="153"/>
      <x:c r="T265" s="153"/>
      <x:c r="U265" s="156" t="str">
        <x:f>IF(OR(S265="",T265=""),"",MOD(T265-S265,1)*24)</x:f>
      </x:c>
      <x:c r="V265" s="154"/>
      <x:c r="W265" s="154"/>
      <x:c r="X265" s="151" t="str">
        <x:f>IFERROR(VLOOKUP(N265,'Configuracion'!$D$4:$H$15,5,FALSE),"")</x:f>
      </x:c>
      <x:c r="Y265" s="151" t="str">
        <x:f>IFERROR(VLOOKUP(V265,'Cuadrillas'!$A$5:$J$14,2,FALSE),"")</x:f>
      </x:c>
      <x:c r="Z265" s="154"/>
      <x:c r="AA265" s="154"/>
      <x:c r="AB265" s="154"/>
      <x:c r="AC265" s="153"/>
      <x:c r="AD265" s="153"/>
      <x:c r="AE265" s="156" t="str">
        <x:f>IF(OR(AC265="",AD265=""),"",MOD(AD265-AC265,1)*24)</x:f>
      </x:c>
      <x:c r="AF265" s="154"/>
      <x:c r="AG265" s="156" t="str">
        <x:f>IF(AE265="","",MAX(0,AE265-IF(AF265="",0,AF265/60)))</x:f>
      </x:c>
      <x:c r="AH265" s="155"/>
      <x:c r="AI265" s="154"/>
      <x:c r="AJ265" s="154"/>
      <x:c r="AK265" s="156" t="n">
        <x:f>IFERROR(U265*W265,"")</x:f>
        <x:v>0</x:v>
      </x:c>
      <x:c r="AL265" s="156" t="n">
        <x:f>IFERROR(AE265*AI265,"")</x:f>
        <x:v>0</x:v>
      </x:c>
      <x:c r="AM265" s="157" t="str">
        <x:f>IFERROR(AH265/Q265,"")</x:f>
      </x:c>
      <x:c r="AN265" s="156" t="str">
        <x:f>IFERROR(AH265/AG265,"")</x:f>
      </x:c>
      <x:c r="AO265" s="156" t="str">
        <x:f>IFERROR(AL265/AH265,"")</x:f>
      </x:c>
      <x:c r="AP265" s="157" t="str">
        <x:f>IFERROR(AG265/AE265,"")</x:f>
      </x:c>
      <x:c r="AQ265" s="157" t="str">
        <x:f>IFERROR(AN265/(R265/'Configuracion'!$B$13),"")</x:f>
      </x:c>
      <x:c r="AR265" s="156" t="n">
        <x:f>IFERROR(AE265-U265,"")</x:f>
        <x:v>0</x:v>
      </x:c>
      <x:c r="AS265" s="154"/>
      <x:c r="AT265" s="154"/>
      <x:c r="AU265" s="154"/>
      <x:c r="AV265" s="154"/>
      <x:c r="AW265" s="152"/>
      <x:c r="AX265" s="154"/>
      <x:c r="AY265" s="154"/>
      <x:c r="AZ265" s="151"/>
      <x:c r="BA265" s="151"/>
    </x:row>
    <x:row r="266">
      <x:c r="A266" s="151" t="str">
        <x:f>IF(B266="","",TEXT(B266,"yyyymmdd")&amp;"-"&amp;TEXT(COUNTIF($B$5:B266,B266),"000"))</x:f>
      </x:c>
      <x:c r="B266" s="152"/>
      <x:c r="C266" s="153"/>
      <x:c r="D266" s="151" t="str">
        <x:f>IF(B266="","",'Configuracion'!$B$4)</x:f>
      </x:c>
      <x:c r="E266" s="154"/>
      <x:c r="F266" s="154"/>
      <x:c r="G266" s="151" t="str">
        <x:f>IFERROR(VLOOKUP(F266,'Base Sectores'!$A$5:$J$47,2,FALSE),"")</x:f>
      </x:c>
      <x:c r="H266" s="151" t="str">
        <x:f>IFERROR(VLOOKUP(F266,'Base Sectores'!$A$5:$J$47,3,FALSE),"")</x:f>
      </x:c>
      <x:c r="I266" s="151" t="str">
        <x:f>IFERROR(VLOOKUP(F266,'Base Sectores'!$A$5:$J$47,4,FALSE),"")</x:f>
      </x:c>
      <x:c r="J266" s="151" t="str">
        <x:f>IFERROR(VLOOKUP(F266,'Base Sectores'!$A$5:$J$47,5,FALSE),"")</x:f>
      </x:c>
      <x:c r="K266" s="151" t="str">
        <x:f>IFERROR(VLOOKUP(F266,'Base Sectores'!$A$5:$J$47,6,FALSE),"")</x:f>
      </x:c>
      <x:c r="L266" s="151" t="str">
        <x:f>IFERROR(VLOOKUP(F266,'Base Sectores'!$A$5:$J$47,7,FALSE),"")</x:f>
      </x:c>
      <x:c r="M266" s="151" t="str">
        <x:f>IFERROR(VLOOKUP(F266,'Base Sectores'!$A$5:$J$47,9,FALSE),"")</x:f>
      </x:c>
      <x:c r="N266" s="154"/>
      <x:c r="O266" s="151" t="str">
        <x:f>IFERROR(VLOOKUP(N266,'Configuracion'!$D$4:$H$15,2,FALSE),"")</x:f>
      </x:c>
      <x:c r="P266" s="151" t="str">
        <x:f>IFERROR(VLOOKUP(N266,'Configuracion'!$D$4:$H$15,3,FALSE),"")</x:f>
      </x:c>
      <x:c r="Q266" s="155"/>
      <x:c r="R266" s="156" t="str">
        <x:f>IFERROR(VLOOKUP(N266,'Configuracion'!$D$4:$H$15,4,FALSE),"")</x:f>
      </x:c>
      <x:c r="S266" s="153"/>
      <x:c r="T266" s="153"/>
      <x:c r="U266" s="156" t="str">
        <x:f>IF(OR(S266="",T266=""),"",MOD(T266-S266,1)*24)</x:f>
      </x:c>
      <x:c r="V266" s="154"/>
      <x:c r="W266" s="154"/>
      <x:c r="X266" s="151" t="str">
        <x:f>IFERROR(VLOOKUP(N266,'Configuracion'!$D$4:$H$15,5,FALSE),"")</x:f>
      </x:c>
      <x:c r="Y266" s="151" t="str">
        <x:f>IFERROR(VLOOKUP(V266,'Cuadrillas'!$A$5:$J$14,2,FALSE),"")</x:f>
      </x:c>
      <x:c r="Z266" s="154"/>
      <x:c r="AA266" s="154"/>
      <x:c r="AB266" s="154"/>
      <x:c r="AC266" s="153"/>
      <x:c r="AD266" s="153"/>
      <x:c r="AE266" s="156" t="str">
        <x:f>IF(OR(AC266="",AD266=""),"",MOD(AD266-AC266,1)*24)</x:f>
      </x:c>
      <x:c r="AF266" s="154"/>
      <x:c r="AG266" s="156" t="str">
        <x:f>IF(AE266="","",MAX(0,AE266-IF(AF266="",0,AF266/60)))</x:f>
      </x:c>
      <x:c r="AH266" s="155"/>
      <x:c r="AI266" s="154"/>
      <x:c r="AJ266" s="154"/>
      <x:c r="AK266" s="156" t="n">
        <x:f>IFERROR(U266*W266,"")</x:f>
        <x:v>0</x:v>
      </x:c>
      <x:c r="AL266" s="156" t="n">
        <x:f>IFERROR(AE266*AI266,"")</x:f>
        <x:v>0</x:v>
      </x:c>
      <x:c r="AM266" s="157" t="str">
        <x:f>IFERROR(AH266/Q266,"")</x:f>
      </x:c>
      <x:c r="AN266" s="156" t="str">
        <x:f>IFERROR(AH266/AG266,"")</x:f>
      </x:c>
      <x:c r="AO266" s="156" t="str">
        <x:f>IFERROR(AL266/AH266,"")</x:f>
      </x:c>
      <x:c r="AP266" s="157" t="str">
        <x:f>IFERROR(AG266/AE266,"")</x:f>
      </x:c>
      <x:c r="AQ266" s="157" t="str">
        <x:f>IFERROR(AN266/(R266/'Configuracion'!$B$13),"")</x:f>
      </x:c>
      <x:c r="AR266" s="156" t="n">
        <x:f>IFERROR(AE266-U266,"")</x:f>
        <x:v>0</x:v>
      </x:c>
      <x:c r="AS266" s="154"/>
      <x:c r="AT266" s="154"/>
      <x:c r="AU266" s="154"/>
      <x:c r="AV266" s="154"/>
      <x:c r="AW266" s="152"/>
      <x:c r="AX266" s="154"/>
      <x:c r="AY266" s="154"/>
      <x:c r="AZ266" s="151"/>
      <x:c r="BA266" s="151"/>
    </x:row>
    <x:row r="267">
      <x:c r="A267" s="151" t="str">
        <x:f>IF(B267="","",TEXT(B267,"yyyymmdd")&amp;"-"&amp;TEXT(COUNTIF($B$5:B267,B267),"000"))</x:f>
      </x:c>
      <x:c r="B267" s="152"/>
      <x:c r="C267" s="153"/>
      <x:c r="D267" s="151" t="str">
        <x:f>IF(B267="","",'Configuracion'!$B$4)</x:f>
      </x:c>
      <x:c r="E267" s="154"/>
      <x:c r="F267" s="154"/>
      <x:c r="G267" s="151" t="str">
        <x:f>IFERROR(VLOOKUP(F267,'Base Sectores'!$A$5:$J$47,2,FALSE),"")</x:f>
      </x:c>
      <x:c r="H267" s="151" t="str">
        <x:f>IFERROR(VLOOKUP(F267,'Base Sectores'!$A$5:$J$47,3,FALSE),"")</x:f>
      </x:c>
      <x:c r="I267" s="151" t="str">
        <x:f>IFERROR(VLOOKUP(F267,'Base Sectores'!$A$5:$J$47,4,FALSE),"")</x:f>
      </x:c>
      <x:c r="J267" s="151" t="str">
        <x:f>IFERROR(VLOOKUP(F267,'Base Sectores'!$A$5:$J$47,5,FALSE),"")</x:f>
      </x:c>
      <x:c r="K267" s="151" t="str">
        <x:f>IFERROR(VLOOKUP(F267,'Base Sectores'!$A$5:$J$47,6,FALSE),"")</x:f>
      </x:c>
      <x:c r="L267" s="151" t="str">
        <x:f>IFERROR(VLOOKUP(F267,'Base Sectores'!$A$5:$J$47,7,FALSE),"")</x:f>
      </x:c>
      <x:c r="M267" s="151" t="str">
        <x:f>IFERROR(VLOOKUP(F267,'Base Sectores'!$A$5:$J$47,9,FALSE),"")</x:f>
      </x:c>
      <x:c r="N267" s="154"/>
      <x:c r="O267" s="151" t="str">
        <x:f>IFERROR(VLOOKUP(N267,'Configuracion'!$D$4:$H$15,2,FALSE),"")</x:f>
      </x:c>
      <x:c r="P267" s="151" t="str">
        <x:f>IFERROR(VLOOKUP(N267,'Configuracion'!$D$4:$H$15,3,FALSE),"")</x:f>
      </x:c>
      <x:c r="Q267" s="155"/>
      <x:c r="R267" s="156" t="str">
        <x:f>IFERROR(VLOOKUP(N267,'Configuracion'!$D$4:$H$15,4,FALSE),"")</x:f>
      </x:c>
      <x:c r="S267" s="153"/>
      <x:c r="T267" s="153"/>
      <x:c r="U267" s="156" t="str">
        <x:f>IF(OR(S267="",T267=""),"",MOD(T267-S267,1)*24)</x:f>
      </x:c>
      <x:c r="V267" s="154"/>
      <x:c r="W267" s="154"/>
      <x:c r="X267" s="151" t="str">
        <x:f>IFERROR(VLOOKUP(N267,'Configuracion'!$D$4:$H$15,5,FALSE),"")</x:f>
      </x:c>
      <x:c r="Y267" s="151" t="str">
        <x:f>IFERROR(VLOOKUP(V267,'Cuadrillas'!$A$5:$J$14,2,FALSE),"")</x:f>
      </x:c>
      <x:c r="Z267" s="154"/>
      <x:c r="AA267" s="154"/>
      <x:c r="AB267" s="154"/>
      <x:c r="AC267" s="153"/>
      <x:c r="AD267" s="153"/>
      <x:c r="AE267" s="156" t="str">
        <x:f>IF(OR(AC267="",AD267=""),"",MOD(AD267-AC267,1)*24)</x:f>
      </x:c>
      <x:c r="AF267" s="154"/>
      <x:c r="AG267" s="156" t="str">
        <x:f>IF(AE267="","",MAX(0,AE267-IF(AF267="",0,AF267/60)))</x:f>
      </x:c>
      <x:c r="AH267" s="155"/>
      <x:c r="AI267" s="154"/>
      <x:c r="AJ267" s="154"/>
      <x:c r="AK267" s="156" t="n">
        <x:f>IFERROR(U267*W267,"")</x:f>
        <x:v>0</x:v>
      </x:c>
      <x:c r="AL267" s="156" t="n">
        <x:f>IFERROR(AE267*AI267,"")</x:f>
        <x:v>0</x:v>
      </x:c>
      <x:c r="AM267" s="157" t="str">
        <x:f>IFERROR(AH267/Q267,"")</x:f>
      </x:c>
      <x:c r="AN267" s="156" t="str">
        <x:f>IFERROR(AH267/AG267,"")</x:f>
      </x:c>
      <x:c r="AO267" s="156" t="str">
        <x:f>IFERROR(AL267/AH267,"")</x:f>
      </x:c>
      <x:c r="AP267" s="157" t="str">
        <x:f>IFERROR(AG267/AE267,"")</x:f>
      </x:c>
      <x:c r="AQ267" s="157" t="str">
        <x:f>IFERROR(AN267/(R267/'Configuracion'!$B$13),"")</x:f>
      </x:c>
      <x:c r="AR267" s="156" t="n">
        <x:f>IFERROR(AE267-U267,"")</x:f>
        <x:v>0</x:v>
      </x:c>
      <x:c r="AS267" s="154"/>
      <x:c r="AT267" s="154"/>
      <x:c r="AU267" s="154"/>
      <x:c r="AV267" s="154"/>
      <x:c r="AW267" s="152"/>
      <x:c r="AX267" s="154"/>
      <x:c r="AY267" s="154"/>
      <x:c r="AZ267" s="151"/>
      <x:c r="BA267" s="151"/>
    </x:row>
    <x:row r="268">
      <x:c r="A268" s="151" t="str">
        <x:f>IF(B268="","",TEXT(B268,"yyyymmdd")&amp;"-"&amp;TEXT(COUNTIF($B$5:B268,B268),"000"))</x:f>
      </x:c>
      <x:c r="B268" s="152"/>
      <x:c r="C268" s="153"/>
      <x:c r="D268" s="151" t="str">
        <x:f>IF(B268="","",'Configuracion'!$B$4)</x:f>
      </x:c>
      <x:c r="E268" s="154"/>
      <x:c r="F268" s="154"/>
      <x:c r="G268" s="151" t="str">
        <x:f>IFERROR(VLOOKUP(F268,'Base Sectores'!$A$5:$J$47,2,FALSE),"")</x:f>
      </x:c>
      <x:c r="H268" s="151" t="str">
        <x:f>IFERROR(VLOOKUP(F268,'Base Sectores'!$A$5:$J$47,3,FALSE),"")</x:f>
      </x:c>
      <x:c r="I268" s="151" t="str">
        <x:f>IFERROR(VLOOKUP(F268,'Base Sectores'!$A$5:$J$47,4,FALSE),"")</x:f>
      </x:c>
      <x:c r="J268" s="151" t="str">
        <x:f>IFERROR(VLOOKUP(F268,'Base Sectores'!$A$5:$J$47,5,FALSE),"")</x:f>
      </x:c>
      <x:c r="K268" s="151" t="str">
        <x:f>IFERROR(VLOOKUP(F268,'Base Sectores'!$A$5:$J$47,6,FALSE),"")</x:f>
      </x:c>
      <x:c r="L268" s="151" t="str">
        <x:f>IFERROR(VLOOKUP(F268,'Base Sectores'!$A$5:$J$47,7,FALSE),"")</x:f>
      </x:c>
      <x:c r="M268" s="151" t="str">
        <x:f>IFERROR(VLOOKUP(F268,'Base Sectores'!$A$5:$J$47,9,FALSE),"")</x:f>
      </x:c>
      <x:c r="N268" s="154"/>
      <x:c r="O268" s="151" t="str">
        <x:f>IFERROR(VLOOKUP(N268,'Configuracion'!$D$4:$H$15,2,FALSE),"")</x:f>
      </x:c>
      <x:c r="P268" s="151" t="str">
        <x:f>IFERROR(VLOOKUP(N268,'Configuracion'!$D$4:$H$15,3,FALSE),"")</x:f>
      </x:c>
      <x:c r="Q268" s="155"/>
      <x:c r="R268" s="156" t="str">
        <x:f>IFERROR(VLOOKUP(N268,'Configuracion'!$D$4:$H$15,4,FALSE),"")</x:f>
      </x:c>
      <x:c r="S268" s="153"/>
      <x:c r="T268" s="153"/>
      <x:c r="U268" s="156" t="str">
        <x:f>IF(OR(S268="",T268=""),"",MOD(T268-S268,1)*24)</x:f>
      </x:c>
      <x:c r="V268" s="154"/>
      <x:c r="W268" s="154"/>
      <x:c r="X268" s="151" t="str">
        <x:f>IFERROR(VLOOKUP(N268,'Configuracion'!$D$4:$H$15,5,FALSE),"")</x:f>
      </x:c>
      <x:c r="Y268" s="151" t="str">
        <x:f>IFERROR(VLOOKUP(V268,'Cuadrillas'!$A$5:$J$14,2,FALSE),"")</x:f>
      </x:c>
      <x:c r="Z268" s="154"/>
      <x:c r="AA268" s="154"/>
      <x:c r="AB268" s="154"/>
      <x:c r="AC268" s="153"/>
      <x:c r="AD268" s="153"/>
      <x:c r="AE268" s="156" t="str">
        <x:f>IF(OR(AC268="",AD268=""),"",MOD(AD268-AC268,1)*24)</x:f>
      </x:c>
      <x:c r="AF268" s="154"/>
      <x:c r="AG268" s="156" t="str">
        <x:f>IF(AE268="","",MAX(0,AE268-IF(AF268="",0,AF268/60)))</x:f>
      </x:c>
      <x:c r="AH268" s="155"/>
      <x:c r="AI268" s="154"/>
      <x:c r="AJ268" s="154"/>
      <x:c r="AK268" s="156" t="n">
        <x:f>IFERROR(U268*W268,"")</x:f>
        <x:v>0</x:v>
      </x:c>
      <x:c r="AL268" s="156" t="n">
        <x:f>IFERROR(AE268*AI268,"")</x:f>
        <x:v>0</x:v>
      </x:c>
      <x:c r="AM268" s="157" t="str">
        <x:f>IFERROR(AH268/Q268,"")</x:f>
      </x:c>
      <x:c r="AN268" s="156" t="str">
        <x:f>IFERROR(AH268/AG268,"")</x:f>
      </x:c>
      <x:c r="AO268" s="156" t="str">
        <x:f>IFERROR(AL268/AH268,"")</x:f>
      </x:c>
      <x:c r="AP268" s="157" t="str">
        <x:f>IFERROR(AG268/AE268,"")</x:f>
      </x:c>
      <x:c r="AQ268" s="157" t="str">
        <x:f>IFERROR(AN268/(R268/'Configuracion'!$B$13),"")</x:f>
      </x:c>
      <x:c r="AR268" s="156" t="n">
        <x:f>IFERROR(AE268-U268,"")</x:f>
        <x:v>0</x:v>
      </x:c>
      <x:c r="AS268" s="154"/>
      <x:c r="AT268" s="154"/>
      <x:c r="AU268" s="154"/>
      <x:c r="AV268" s="154"/>
      <x:c r="AW268" s="152"/>
      <x:c r="AX268" s="154"/>
      <x:c r="AY268" s="154"/>
      <x:c r="AZ268" s="151"/>
      <x:c r="BA268" s="151"/>
    </x:row>
    <x:row r="269">
      <x:c r="A269" s="151" t="str">
        <x:f>IF(B269="","",TEXT(B269,"yyyymmdd")&amp;"-"&amp;TEXT(COUNTIF($B$5:B269,B269),"000"))</x:f>
      </x:c>
      <x:c r="B269" s="152"/>
      <x:c r="C269" s="153"/>
      <x:c r="D269" s="151" t="str">
        <x:f>IF(B269="","",'Configuracion'!$B$4)</x:f>
      </x:c>
      <x:c r="E269" s="154"/>
      <x:c r="F269" s="154"/>
      <x:c r="G269" s="151" t="str">
        <x:f>IFERROR(VLOOKUP(F269,'Base Sectores'!$A$5:$J$47,2,FALSE),"")</x:f>
      </x:c>
      <x:c r="H269" s="151" t="str">
        <x:f>IFERROR(VLOOKUP(F269,'Base Sectores'!$A$5:$J$47,3,FALSE),"")</x:f>
      </x:c>
      <x:c r="I269" s="151" t="str">
        <x:f>IFERROR(VLOOKUP(F269,'Base Sectores'!$A$5:$J$47,4,FALSE),"")</x:f>
      </x:c>
      <x:c r="J269" s="151" t="str">
        <x:f>IFERROR(VLOOKUP(F269,'Base Sectores'!$A$5:$J$47,5,FALSE),"")</x:f>
      </x:c>
      <x:c r="K269" s="151" t="str">
        <x:f>IFERROR(VLOOKUP(F269,'Base Sectores'!$A$5:$J$47,6,FALSE),"")</x:f>
      </x:c>
      <x:c r="L269" s="151" t="str">
        <x:f>IFERROR(VLOOKUP(F269,'Base Sectores'!$A$5:$J$47,7,FALSE),"")</x:f>
      </x:c>
      <x:c r="M269" s="151" t="str">
        <x:f>IFERROR(VLOOKUP(F269,'Base Sectores'!$A$5:$J$47,9,FALSE),"")</x:f>
      </x:c>
      <x:c r="N269" s="154"/>
      <x:c r="O269" s="151" t="str">
        <x:f>IFERROR(VLOOKUP(N269,'Configuracion'!$D$4:$H$15,2,FALSE),"")</x:f>
      </x:c>
      <x:c r="P269" s="151" t="str">
        <x:f>IFERROR(VLOOKUP(N269,'Configuracion'!$D$4:$H$15,3,FALSE),"")</x:f>
      </x:c>
      <x:c r="Q269" s="155"/>
      <x:c r="R269" s="156" t="str">
        <x:f>IFERROR(VLOOKUP(N269,'Configuracion'!$D$4:$H$15,4,FALSE),"")</x:f>
      </x:c>
      <x:c r="S269" s="153"/>
      <x:c r="T269" s="153"/>
      <x:c r="U269" s="156" t="str">
        <x:f>IF(OR(S269="",T269=""),"",MOD(T269-S269,1)*24)</x:f>
      </x:c>
      <x:c r="V269" s="154"/>
      <x:c r="W269" s="154"/>
      <x:c r="X269" s="151" t="str">
        <x:f>IFERROR(VLOOKUP(N269,'Configuracion'!$D$4:$H$15,5,FALSE),"")</x:f>
      </x:c>
      <x:c r="Y269" s="151" t="str">
        <x:f>IFERROR(VLOOKUP(V269,'Cuadrillas'!$A$5:$J$14,2,FALSE),"")</x:f>
      </x:c>
      <x:c r="Z269" s="154"/>
      <x:c r="AA269" s="154"/>
      <x:c r="AB269" s="154"/>
      <x:c r="AC269" s="153"/>
      <x:c r="AD269" s="153"/>
      <x:c r="AE269" s="156" t="str">
        <x:f>IF(OR(AC269="",AD269=""),"",MOD(AD269-AC269,1)*24)</x:f>
      </x:c>
      <x:c r="AF269" s="154"/>
      <x:c r="AG269" s="156" t="str">
        <x:f>IF(AE269="","",MAX(0,AE269-IF(AF269="",0,AF269/60)))</x:f>
      </x:c>
      <x:c r="AH269" s="155"/>
      <x:c r="AI269" s="154"/>
      <x:c r="AJ269" s="154"/>
      <x:c r="AK269" s="156" t="n">
        <x:f>IFERROR(U269*W269,"")</x:f>
        <x:v>0</x:v>
      </x:c>
      <x:c r="AL269" s="156" t="n">
        <x:f>IFERROR(AE269*AI269,"")</x:f>
        <x:v>0</x:v>
      </x:c>
      <x:c r="AM269" s="157" t="str">
        <x:f>IFERROR(AH269/Q269,"")</x:f>
      </x:c>
      <x:c r="AN269" s="156" t="str">
        <x:f>IFERROR(AH269/AG269,"")</x:f>
      </x:c>
      <x:c r="AO269" s="156" t="str">
        <x:f>IFERROR(AL269/AH269,"")</x:f>
      </x:c>
      <x:c r="AP269" s="157" t="str">
        <x:f>IFERROR(AG269/AE269,"")</x:f>
      </x:c>
      <x:c r="AQ269" s="157" t="str">
        <x:f>IFERROR(AN269/(R269/'Configuracion'!$B$13),"")</x:f>
      </x:c>
      <x:c r="AR269" s="156" t="n">
        <x:f>IFERROR(AE269-U269,"")</x:f>
        <x:v>0</x:v>
      </x:c>
      <x:c r="AS269" s="154"/>
      <x:c r="AT269" s="154"/>
      <x:c r="AU269" s="154"/>
      <x:c r="AV269" s="154"/>
      <x:c r="AW269" s="152"/>
      <x:c r="AX269" s="154"/>
      <x:c r="AY269" s="154"/>
      <x:c r="AZ269" s="151"/>
      <x:c r="BA269" s="151"/>
    </x:row>
    <x:row r="270">
      <x:c r="A270" s="151" t="str">
        <x:f>IF(B270="","",TEXT(B270,"yyyymmdd")&amp;"-"&amp;TEXT(COUNTIF($B$5:B270,B270),"000"))</x:f>
      </x:c>
      <x:c r="B270" s="152"/>
      <x:c r="C270" s="153"/>
      <x:c r="D270" s="151" t="str">
        <x:f>IF(B270="","",'Configuracion'!$B$4)</x:f>
      </x:c>
      <x:c r="E270" s="154"/>
      <x:c r="F270" s="154"/>
      <x:c r="G270" s="151" t="str">
        <x:f>IFERROR(VLOOKUP(F270,'Base Sectores'!$A$5:$J$47,2,FALSE),"")</x:f>
      </x:c>
      <x:c r="H270" s="151" t="str">
        <x:f>IFERROR(VLOOKUP(F270,'Base Sectores'!$A$5:$J$47,3,FALSE),"")</x:f>
      </x:c>
      <x:c r="I270" s="151" t="str">
        <x:f>IFERROR(VLOOKUP(F270,'Base Sectores'!$A$5:$J$47,4,FALSE),"")</x:f>
      </x:c>
      <x:c r="J270" s="151" t="str">
        <x:f>IFERROR(VLOOKUP(F270,'Base Sectores'!$A$5:$J$47,5,FALSE),"")</x:f>
      </x:c>
      <x:c r="K270" s="151" t="str">
        <x:f>IFERROR(VLOOKUP(F270,'Base Sectores'!$A$5:$J$47,6,FALSE),"")</x:f>
      </x:c>
      <x:c r="L270" s="151" t="str">
        <x:f>IFERROR(VLOOKUP(F270,'Base Sectores'!$A$5:$J$47,7,FALSE),"")</x:f>
      </x:c>
      <x:c r="M270" s="151" t="str">
        <x:f>IFERROR(VLOOKUP(F270,'Base Sectores'!$A$5:$J$47,9,FALSE),"")</x:f>
      </x:c>
      <x:c r="N270" s="154"/>
      <x:c r="O270" s="151" t="str">
        <x:f>IFERROR(VLOOKUP(N270,'Configuracion'!$D$4:$H$15,2,FALSE),"")</x:f>
      </x:c>
      <x:c r="P270" s="151" t="str">
        <x:f>IFERROR(VLOOKUP(N270,'Configuracion'!$D$4:$H$15,3,FALSE),"")</x:f>
      </x:c>
      <x:c r="Q270" s="155"/>
      <x:c r="R270" s="156" t="str">
        <x:f>IFERROR(VLOOKUP(N270,'Configuracion'!$D$4:$H$15,4,FALSE),"")</x:f>
      </x:c>
      <x:c r="S270" s="153"/>
      <x:c r="T270" s="153"/>
      <x:c r="U270" s="156" t="str">
        <x:f>IF(OR(S270="",T270=""),"",MOD(T270-S270,1)*24)</x:f>
      </x:c>
      <x:c r="V270" s="154"/>
      <x:c r="W270" s="154"/>
      <x:c r="X270" s="151" t="str">
        <x:f>IFERROR(VLOOKUP(N270,'Configuracion'!$D$4:$H$15,5,FALSE),"")</x:f>
      </x:c>
      <x:c r="Y270" s="151" t="str">
        <x:f>IFERROR(VLOOKUP(V270,'Cuadrillas'!$A$5:$J$14,2,FALSE),"")</x:f>
      </x:c>
      <x:c r="Z270" s="154"/>
      <x:c r="AA270" s="154"/>
      <x:c r="AB270" s="154"/>
      <x:c r="AC270" s="153"/>
      <x:c r="AD270" s="153"/>
      <x:c r="AE270" s="156" t="str">
        <x:f>IF(OR(AC270="",AD270=""),"",MOD(AD270-AC270,1)*24)</x:f>
      </x:c>
      <x:c r="AF270" s="154"/>
      <x:c r="AG270" s="156" t="str">
        <x:f>IF(AE270="","",MAX(0,AE270-IF(AF270="",0,AF270/60)))</x:f>
      </x:c>
      <x:c r="AH270" s="155"/>
      <x:c r="AI270" s="154"/>
      <x:c r="AJ270" s="154"/>
      <x:c r="AK270" s="156" t="n">
        <x:f>IFERROR(U270*W270,"")</x:f>
        <x:v>0</x:v>
      </x:c>
      <x:c r="AL270" s="156" t="n">
        <x:f>IFERROR(AE270*AI270,"")</x:f>
        <x:v>0</x:v>
      </x:c>
      <x:c r="AM270" s="157" t="str">
        <x:f>IFERROR(AH270/Q270,"")</x:f>
      </x:c>
      <x:c r="AN270" s="156" t="str">
        <x:f>IFERROR(AH270/AG270,"")</x:f>
      </x:c>
      <x:c r="AO270" s="156" t="str">
        <x:f>IFERROR(AL270/AH270,"")</x:f>
      </x:c>
      <x:c r="AP270" s="157" t="str">
        <x:f>IFERROR(AG270/AE270,"")</x:f>
      </x:c>
      <x:c r="AQ270" s="157" t="str">
        <x:f>IFERROR(AN270/(R270/'Configuracion'!$B$13),"")</x:f>
      </x:c>
      <x:c r="AR270" s="156" t="n">
        <x:f>IFERROR(AE270-U270,"")</x:f>
        <x:v>0</x:v>
      </x:c>
      <x:c r="AS270" s="154"/>
      <x:c r="AT270" s="154"/>
      <x:c r="AU270" s="154"/>
      <x:c r="AV270" s="154"/>
      <x:c r="AW270" s="152"/>
      <x:c r="AX270" s="154"/>
      <x:c r="AY270" s="154"/>
      <x:c r="AZ270" s="151"/>
      <x:c r="BA270" s="151"/>
    </x:row>
    <x:row r="271">
      <x:c r="A271" s="151" t="str">
        <x:f>IF(B271="","",TEXT(B271,"yyyymmdd")&amp;"-"&amp;TEXT(COUNTIF($B$5:B271,B271),"000"))</x:f>
      </x:c>
      <x:c r="B271" s="152"/>
      <x:c r="C271" s="153"/>
      <x:c r="D271" s="151" t="str">
        <x:f>IF(B271="","",'Configuracion'!$B$4)</x:f>
      </x:c>
      <x:c r="E271" s="154"/>
      <x:c r="F271" s="154"/>
      <x:c r="G271" s="151" t="str">
        <x:f>IFERROR(VLOOKUP(F271,'Base Sectores'!$A$5:$J$47,2,FALSE),"")</x:f>
      </x:c>
      <x:c r="H271" s="151" t="str">
        <x:f>IFERROR(VLOOKUP(F271,'Base Sectores'!$A$5:$J$47,3,FALSE),"")</x:f>
      </x:c>
      <x:c r="I271" s="151" t="str">
        <x:f>IFERROR(VLOOKUP(F271,'Base Sectores'!$A$5:$J$47,4,FALSE),"")</x:f>
      </x:c>
      <x:c r="J271" s="151" t="str">
        <x:f>IFERROR(VLOOKUP(F271,'Base Sectores'!$A$5:$J$47,5,FALSE),"")</x:f>
      </x:c>
      <x:c r="K271" s="151" t="str">
        <x:f>IFERROR(VLOOKUP(F271,'Base Sectores'!$A$5:$J$47,6,FALSE),"")</x:f>
      </x:c>
      <x:c r="L271" s="151" t="str">
        <x:f>IFERROR(VLOOKUP(F271,'Base Sectores'!$A$5:$J$47,7,FALSE),"")</x:f>
      </x:c>
      <x:c r="M271" s="151" t="str">
        <x:f>IFERROR(VLOOKUP(F271,'Base Sectores'!$A$5:$J$47,9,FALSE),"")</x:f>
      </x:c>
      <x:c r="N271" s="154"/>
      <x:c r="O271" s="151" t="str">
        <x:f>IFERROR(VLOOKUP(N271,'Configuracion'!$D$4:$H$15,2,FALSE),"")</x:f>
      </x:c>
      <x:c r="P271" s="151" t="str">
        <x:f>IFERROR(VLOOKUP(N271,'Configuracion'!$D$4:$H$15,3,FALSE),"")</x:f>
      </x:c>
      <x:c r="Q271" s="155"/>
      <x:c r="R271" s="156" t="str">
        <x:f>IFERROR(VLOOKUP(N271,'Configuracion'!$D$4:$H$15,4,FALSE),"")</x:f>
      </x:c>
      <x:c r="S271" s="153"/>
      <x:c r="T271" s="153"/>
      <x:c r="U271" s="156" t="str">
        <x:f>IF(OR(S271="",T271=""),"",MOD(T271-S271,1)*24)</x:f>
      </x:c>
      <x:c r="V271" s="154"/>
      <x:c r="W271" s="154"/>
      <x:c r="X271" s="151" t="str">
        <x:f>IFERROR(VLOOKUP(N271,'Configuracion'!$D$4:$H$15,5,FALSE),"")</x:f>
      </x:c>
      <x:c r="Y271" s="151" t="str">
        <x:f>IFERROR(VLOOKUP(V271,'Cuadrillas'!$A$5:$J$14,2,FALSE),"")</x:f>
      </x:c>
      <x:c r="Z271" s="154"/>
      <x:c r="AA271" s="154"/>
      <x:c r="AB271" s="154"/>
      <x:c r="AC271" s="153"/>
      <x:c r="AD271" s="153"/>
      <x:c r="AE271" s="156" t="str">
        <x:f>IF(OR(AC271="",AD271=""),"",MOD(AD271-AC271,1)*24)</x:f>
      </x:c>
      <x:c r="AF271" s="154"/>
      <x:c r="AG271" s="156" t="str">
        <x:f>IF(AE271="","",MAX(0,AE271-IF(AF271="",0,AF271/60)))</x:f>
      </x:c>
      <x:c r="AH271" s="155"/>
      <x:c r="AI271" s="154"/>
      <x:c r="AJ271" s="154"/>
      <x:c r="AK271" s="156" t="n">
        <x:f>IFERROR(U271*W271,"")</x:f>
        <x:v>0</x:v>
      </x:c>
      <x:c r="AL271" s="156" t="n">
        <x:f>IFERROR(AE271*AI271,"")</x:f>
        <x:v>0</x:v>
      </x:c>
      <x:c r="AM271" s="157" t="str">
        <x:f>IFERROR(AH271/Q271,"")</x:f>
      </x:c>
      <x:c r="AN271" s="156" t="str">
        <x:f>IFERROR(AH271/AG271,"")</x:f>
      </x:c>
      <x:c r="AO271" s="156" t="str">
        <x:f>IFERROR(AL271/AH271,"")</x:f>
      </x:c>
      <x:c r="AP271" s="157" t="str">
        <x:f>IFERROR(AG271/AE271,"")</x:f>
      </x:c>
      <x:c r="AQ271" s="157" t="str">
        <x:f>IFERROR(AN271/(R271/'Configuracion'!$B$13),"")</x:f>
      </x:c>
      <x:c r="AR271" s="156" t="n">
        <x:f>IFERROR(AE271-U271,"")</x:f>
        <x:v>0</x:v>
      </x:c>
      <x:c r="AS271" s="154"/>
      <x:c r="AT271" s="154"/>
      <x:c r="AU271" s="154"/>
      <x:c r="AV271" s="154"/>
      <x:c r="AW271" s="152"/>
      <x:c r="AX271" s="154"/>
      <x:c r="AY271" s="154"/>
      <x:c r="AZ271" s="151"/>
      <x:c r="BA271" s="151"/>
    </x:row>
    <x:row r="272">
      <x:c r="A272" s="151" t="str">
        <x:f>IF(B272="","",TEXT(B272,"yyyymmdd")&amp;"-"&amp;TEXT(COUNTIF($B$5:B272,B272),"000"))</x:f>
      </x:c>
      <x:c r="B272" s="152"/>
      <x:c r="C272" s="153"/>
      <x:c r="D272" s="151" t="str">
        <x:f>IF(B272="","",'Configuracion'!$B$4)</x:f>
      </x:c>
      <x:c r="E272" s="154"/>
      <x:c r="F272" s="154"/>
      <x:c r="G272" s="151" t="str">
        <x:f>IFERROR(VLOOKUP(F272,'Base Sectores'!$A$5:$J$47,2,FALSE),"")</x:f>
      </x:c>
      <x:c r="H272" s="151" t="str">
        <x:f>IFERROR(VLOOKUP(F272,'Base Sectores'!$A$5:$J$47,3,FALSE),"")</x:f>
      </x:c>
      <x:c r="I272" s="151" t="str">
        <x:f>IFERROR(VLOOKUP(F272,'Base Sectores'!$A$5:$J$47,4,FALSE),"")</x:f>
      </x:c>
      <x:c r="J272" s="151" t="str">
        <x:f>IFERROR(VLOOKUP(F272,'Base Sectores'!$A$5:$J$47,5,FALSE),"")</x:f>
      </x:c>
      <x:c r="K272" s="151" t="str">
        <x:f>IFERROR(VLOOKUP(F272,'Base Sectores'!$A$5:$J$47,6,FALSE),"")</x:f>
      </x:c>
      <x:c r="L272" s="151" t="str">
        <x:f>IFERROR(VLOOKUP(F272,'Base Sectores'!$A$5:$J$47,7,FALSE),"")</x:f>
      </x:c>
      <x:c r="M272" s="151" t="str">
        <x:f>IFERROR(VLOOKUP(F272,'Base Sectores'!$A$5:$J$47,9,FALSE),"")</x:f>
      </x:c>
      <x:c r="N272" s="154"/>
      <x:c r="O272" s="151" t="str">
        <x:f>IFERROR(VLOOKUP(N272,'Configuracion'!$D$4:$H$15,2,FALSE),"")</x:f>
      </x:c>
      <x:c r="P272" s="151" t="str">
        <x:f>IFERROR(VLOOKUP(N272,'Configuracion'!$D$4:$H$15,3,FALSE),"")</x:f>
      </x:c>
      <x:c r="Q272" s="155"/>
      <x:c r="R272" s="156" t="str">
        <x:f>IFERROR(VLOOKUP(N272,'Configuracion'!$D$4:$H$15,4,FALSE),"")</x:f>
      </x:c>
      <x:c r="S272" s="153"/>
      <x:c r="T272" s="153"/>
      <x:c r="U272" s="156" t="str">
        <x:f>IF(OR(S272="",T272=""),"",MOD(T272-S272,1)*24)</x:f>
      </x:c>
      <x:c r="V272" s="154"/>
      <x:c r="W272" s="154"/>
      <x:c r="X272" s="151" t="str">
        <x:f>IFERROR(VLOOKUP(N272,'Configuracion'!$D$4:$H$15,5,FALSE),"")</x:f>
      </x:c>
      <x:c r="Y272" s="151" t="str">
        <x:f>IFERROR(VLOOKUP(V272,'Cuadrillas'!$A$5:$J$14,2,FALSE),"")</x:f>
      </x:c>
      <x:c r="Z272" s="154"/>
      <x:c r="AA272" s="154"/>
      <x:c r="AB272" s="154"/>
      <x:c r="AC272" s="153"/>
      <x:c r="AD272" s="153"/>
      <x:c r="AE272" s="156" t="str">
        <x:f>IF(OR(AC272="",AD272=""),"",MOD(AD272-AC272,1)*24)</x:f>
      </x:c>
      <x:c r="AF272" s="154"/>
      <x:c r="AG272" s="156" t="str">
        <x:f>IF(AE272="","",MAX(0,AE272-IF(AF272="",0,AF272/60)))</x:f>
      </x:c>
      <x:c r="AH272" s="155"/>
      <x:c r="AI272" s="154"/>
      <x:c r="AJ272" s="154"/>
      <x:c r="AK272" s="156" t="n">
        <x:f>IFERROR(U272*W272,"")</x:f>
        <x:v>0</x:v>
      </x:c>
      <x:c r="AL272" s="156" t="n">
        <x:f>IFERROR(AE272*AI272,"")</x:f>
        <x:v>0</x:v>
      </x:c>
      <x:c r="AM272" s="157" t="str">
        <x:f>IFERROR(AH272/Q272,"")</x:f>
      </x:c>
      <x:c r="AN272" s="156" t="str">
        <x:f>IFERROR(AH272/AG272,"")</x:f>
      </x:c>
      <x:c r="AO272" s="156" t="str">
        <x:f>IFERROR(AL272/AH272,"")</x:f>
      </x:c>
      <x:c r="AP272" s="157" t="str">
        <x:f>IFERROR(AG272/AE272,"")</x:f>
      </x:c>
      <x:c r="AQ272" s="157" t="str">
        <x:f>IFERROR(AN272/(R272/'Configuracion'!$B$13),"")</x:f>
      </x:c>
      <x:c r="AR272" s="156" t="n">
        <x:f>IFERROR(AE272-U272,"")</x:f>
        <x:v>0</x:v>
      </x:c>
      <x:c r="AS272" s="154"/>
      <x:c r="AT272" s="154"/>
      <x:c r="AU272" s="154"/>
      <x:c r="AV272" s="154"/>
      <x:c r="AW272" s="152"/>
      <x:c r="AX272" s="154"/>
      <x:c r="AY272" s="154"/>
      <x:c r="AZ272" s="151"/>
      <x:c r="BA272" s="151"/>
    </x:row>
    <x:row r="273">
      <x:c r="A273" s="151" t="str">
        <x:f>IF(B273="","",TEXT(B273,"yyyymmdd")&amp;"-"&amp;TEXT(COUNTIF($B$5:B273,B273),"000"))</x:f>
      </x:c>
      <x:c r="B273" s="152"/>
      <x:c r="C273" s="153"/>
      <x:c r="D273" s="151" t="str">
        <x:f>IF(B273="","",'Configuracion'!$B$4)</x:f>
      </x:c>
      <x:c r="E273" s="154"/>
      <x:c r="F273" s="154"/>
      <x:c r="G273" s="151" t="str">
        <x:f>IFERROR(VLOOKUP(F273,'Base Sectores'!$A$5:$J$47,2,FALSE),"")</x:f>
      </x:c>
      <x:c r="H273" s="151" t="str">
        <x:f>IFERROR(VLOOKUP(F273,'Base Sectores'!$A$5:$J$47,3,FALSE),"")</x:f>
      </x:c>
      <x:c r="I273" s="151" t="str">
        <x:f>IFERROR(VLOOKUP(F273,'Base Sectores'!$A$5:$J$47,4,FALSE),"")</x:f>
      </x:c>
      <x:c r="J273" s="151" t="str">
        <x:f>IFERROR(VLOOKUP(F273,'Base Sectores'!$A$5:$J$47,5,FALSE),"")</x:f>
      </x:c>
      <x:c r="K273" s="151" t="str">
        <x:f>IFERROR(VLOOKUP(F273,'Base Sectores'!$A$5:$J$47,6,FALSE),"")</x:f>
      </x:c>
      <x:c r="L273" s="151" t="str">
        <x:f>IFERROR(VLOOKUP(F273,'Base Sectores'!$A$5:$J$47,7,FALSE),"")</x:f>
      </x:c>
      <x:c r="M273" s="151" t="str">
        <x:f>IFERROR(VLOOKUP(F273,'Base Sectores'!$A$5:$J$47,9,FALSE),"")</x:f>
      </x:c>
      <x:c r="N273" s="154"/>
      <x:c r="O273" s="151" t="str">
        <x:f>IFERROR(VLOOKUP(N273,'Configuracion'!$D$4:$H$15,2,FALSE),"")</x:f>
      </x:c>
      <x:c r="P273" s="151" t="str">
        <x:f>IFERROR(VLOOKUP(N273,'Configuracion'!$D$4:$H$15,3,FALSE),"")</x:f>
      </x:c>
      <x:c r="Q273" s="155"/>
      <x:c r="R273" s="156" t="str">
        <x:f>IFERROR(VLOOKUP(N273,'Configuracion'!$D$4:$H$15,4,FALSE),"")</x:f>
      </x:c>
      <x:c r="S273" s="153"/>
      <x:c r="T273" s="153"/>
      <x:c r="U273" s="156" t="str">
        <x:f>IF(OR(S273="",T273=""),"",MOD(T273-S273,1)*24)</x:f>
      </x:c>
      <x:c r="V273" s="154"/>
      <x:c r="W273" s="154"/>
      <x:c r="X273" s="151" t="str">
        <x:f>IFERROR(VLOOKUP(N273,'Configuracion'!$D$4:$H$15,5,FALSE),"")</x:f>
      </x:c>
      <x:c r="Y273" s="151" t="str">
        <x:f>IFERROR(VLOOKUP(V273,'Cuadrillas'!$A$5:$J$14,2,FALSE),"")</x:f>
      </x:c>
      <x:c r="Z273" s="154"/>
      <x:c r="AA273" s="154"/>
      <x:c r="AB273" s="154"/>
      <x:c r="AC273" s="153"/>
      <x:c r="AD273" s="153"/>
      <x:c r="AE273" s="156" t="str">
        <x:f>IF(OR(AC273="",AD273=""),"",MOD(AD273-AC273,1)*24)</x:f>
      </x:c>
      <x:c r="AF273" s="154"/>
      <x:c r="AG273" s="156" t="str">
        <x:f>IF(AE273="","",MAX(0,AE273-IF(AF273="",0,AF273/60)))</x:f>
      </x:c>
      <x:c r="AH273" s="155"/>
      <x:c r="AI273" s="154"/>
      <x:c r="AJ273" s="154"/>
      <x:c r="AK273" s="156" t="n">
        <x:f>IFERROR(U273*W273,"")</x:f>
        <x:v>0</x:v>
      </x:c>
      <x:c r="AL273" s="156" t="n">
        <x:f>IFERROR(AE273*AI273,"")</x:f>
        <x:v>0</x:v>
      </x:c>
      <x:c r="AM273" s="157" t="str">
        <x:f>IFERROR(AH273/Q273,"")</x:f>
      </x:c>
      <x:c r="AN273" s="156" t="str">
        <x:f>IFERROR(AH273/AG273,"")</x:f>
      </x:c>
      <x:c r="AO273" s="156" t="str">
        <x:f>IFERROR(AL273/AH273,"")</x:f>
      </x:c>
      <x:c r="AP273" s="157" t="str">
        <x:f>IFERROR(AG273/AE273,"")</x:f>
      </x:c>
      <x:c r="AQ273" s="157" t="str">
        <x:f>IFERROR(AN273/(R273/'Configuracion'!$B$13),"")</x:f>
      </x:c>
      <x:c r="AR273" s="156" t="n">
        <x:f>IFERROR(AE273-U273,"")</x:f>
        <x:v>0</x:v>
      </x:c>
      <x:c r="AS273" s="154"/>
      <x:c r="AT273" s="154"/>
      <x:c r="AU273" s="154"/>
      <x:c r="AV273" s="154"/>
      <x:c r="AW273" s="152"/>
      <x:c r="AX273" s="154"/>
      <x:c r="AY273" s="154"/>
      <x:c r="AZ273" s="151"/>
      <x:c r="BA273" s="151"/>
    </x:row>
    <x:row r="274">
      <x:c r="A274" s="151" t="str">
        <x:f>IF(B274="","",TEXT(B274,"yyyymmdd")&amp;"-"&amp;TEXT(COUNTIF($B$5:B274,B274),"000"))</x:f>
      </x:c>
      <x:c r="B274" s="152"/>
      <x:c r="C274" s="153"/>
      <x:c r="D274" s="151" t="str">
        <x:f>IF(B274="","",'Configuracion'!$B$4)</x:f>
      </x:c>
      <x:c r="E274" s="154"/>
      <x:c r="F274" s="154"/>
      <x:c r="G274" s="151" t="str">
        <x:f>IFERROR(VLOOKUP(F274,'Base Sectores'!$A$5:$J$47,2,FALSE),"")</x:f>
      </x:c>
      <x:c r="H274" s="151" t="str">
        <x:f>IFERROR(VLOOKUP(F274,'Base Sectores'!$A$5:$J$47,3,FALSE),"")</x:f>
      </x:c>
      <x:c r="I274" s="151" t="str">
        <x:f>IFERROR(VLOOKUP(F274,'Base Sectores'!$A$5:$J$47,4,FALSE),"")</x:f>
      </x:c>
      <x:c r="J274" s="151" t="str">
        <x:f>IFERROR(VLOOKUP(F274,'Base Sectores'!$A$5:$J$47,5,FALSE),"")</x:f>
      </x:c>
      <x:c r="K274" s="151" t="str">
        <x:f>IFERROR(VLOOKUP(F274,'Base Sectores'!$A$5:$J$47,6,FALSE),"")</x:f>
      </x:c>
      <x:c r="L274" s="151" t="str">
        <x:f>IFERROR(VLOOKUP(F274,'Base Sectores'!$A$5:$J$47,7,FALSE),"")</x:f>
      </x:c>
      <x:c r="M274" s="151" t="str">
        <x:f>IFERROR(VLOOKUP(F274,'Base Sectores'!$A$5:$J$47,9,FALSE),"")</x:f>
      </x:c>
      <x:c r="N274" s="154"/>
      <x:c r="O274" s="151" t="str">
        <x:f>IFERROR(VLOOKUP(N274,'Configuracion'!$D$4:$H$15,2,FALSE),"")</x:f>
      </x:c>
      <x:c r="P274" s="151" t="str">
        <x:f>IFERROR(VLOOKUP(N274,'Configuracion'!$D$4:$H$15,3,FALSE),"")</x:f>
      </x:c>
      <x:c r="Q274" s="155"/>
      <x:c r="R274" s="156" t="str">
        <x:f>IFERROR(VLOOKUP(N274,'Configuracion'!$D$4:$H$15,4,FALSE),"")</x:f>
      </x:c>
      <x:c r="S274" s="153"/>
      <x:c r="T274" s="153"/>
      <x:c r="U274" s="156" t="str">
        <x:f>IF(OR(S274="",T274=""),"",MOD(T274-S274,1)*24)</x:f>
      </x:c>
      <x:c r="V274" s="154"/>
      <x:c r="W274" s="154"/>
      <x:c r="X274" s="151" t="str">
        <x:f>IFERROR(VLOOKUP(N274,'Configuracion'!$D$4:$H$15,5,FALSE),"")</x:f>
      </x:c>
      <x:c r="Y274" s="151" t="str">
        <x:f>IFERROR(VLOOKUP(V274,'Cuadrillas'!$A$5:$J$14,2,FALSE),"")</x:f>
      </x:c>
      <x:c r="Z274" s="154"/>
      <x:c r="AA274" s="154"/>
      <x:c r="AB274" s="154"/>
      <x:c r="AC274" s="153"/>
      <x:c r="AD274" s="153"/>
      <x:c r="AE274" s="156" t="str">
        <x:f>IF(OR(AC274="",AD274=""),"",MOD(AD274-AC274,1)*24)</x:f>
      </x:c>
      <x:c r="AF274" s="154"/>
      <x:c r="AG274" s="156" t="str">
        <x:f>IF(AE274="","",MAX(0,AE274-IF(AF274="",0,AF274/60)))</x:f>
      </x:c>
      <x:c r="AH274" s="155"/>
      <x:c r="AI274" s="154"/>
      <x:c r="AJ274" s="154"/>
      <x:c r="AK274" s="156" t="n">
        <x:f>IFERROR(U274*W274,"")</x:f>
        <x:v>0</x:v>
      </x:c>
      <x:c r="AL274" s="156" t="n">
        <x:f>IFERROR(AE274*AI274,"")</x:f>
        <x:v>0</x:v>
      </x:c>
      <x:c r="AM274" s="157" t="str">
        <x:f>IFERROR(AH274/Q274,"")</x:f>
      </x:c>
      <x:c r="AN274" s="156" t="str">
        <x:f>IFERROR(AH274/AG274,"")</x:f>
      </x:c>
      <x:c r="AO274" s="156" t="str">
        <x:f>IFERROR(AL274/AH274,"")</x:f>
      </x:c>
      <x:c r="AP274" s="157" t="str">
        <x:f>IFERROR(AG274/AE274,"")</x:f>
      </x:c>
      <x:c r="AQ274" s="157" t="str">
        <x:f>IFERROR(AN274/(R274/'Configuracion'!$B$13),"")</x:f>
      </x:c>
      <x:c r="AR274" s="156" t="n">
        <x:f>IFERROR(AE274-U274,"")</x:f>
        <x:v>0</x:v>
      </x:c>
      <x:c r="AS274" s="154"/>
      <x:c r="AT274" s="154"/>
      <x:c r="AU274" s="154"/>
      <x:c r="AV274" s="154"/>
      <x:c r="AW274" s="152"/>
      <x:c r="AX274" s="154"/>
      <x:c r="AY274" s="154"/>
      <x:c r="AZ274" s="151"/>
      <x:c r="BA274" s="151"/>
    </x:row>
    <x:row r="275">
      <x:c r="A275" s="151" t="str">
        <x:f>IF(B275="","",TEXT(B275,"yyyymmdd")&amp;"-"&amp;TEXT(COUNTIF($B$5:B275,B275),"000"))</x:f>
      </x:c>
      <x:c r="B275" s="152"/>
      <x:c r="C275" s="153"/>
      <x:c r="D275" s="151" t="str">
        <x:f>IF(B275="","",'Configuracion'!$B$4)</x:f>
      </x:c>
      <x:c r="E275" s="154"/>
      <x:c r="F275" s="154"/>
      <x:c r="G275" s="151" t="str">
        <x:f>IFERROR(VLOOKUP(F275,'Base Sectores'!$A$5:$J$47,2,FALSE),"")</x:f>
      </x:c>
      <x:c r="H275" s="151" t="str">
        <x:f>IFERROR(VLOOKUP(F275,'Base Sectores'!$A$5:$J$47,3,FALSE),"")</x:f>
      </x:c>
      <x:c r="I275" s="151" t="str">
        <x:f>IFERROR(VLOOKUP(F275,'Base Sectores'!$A$5:$J$47,4,FALSE),"")</x:f>
      </x:c>
      <x:c r="J275" s="151" t="str">
        <x:f>IFERROR(VLOOKUP(F275,'Base Sectores'!$A$5:$J$47,5,FALSE),"")</x:f>
      </x:c>
      <x:c r="K275" s="151" t="str">
        <x:f>IFERROR(VLOOKUP(F275,'Base Sectores'!$A$5:$J$47,6,FALSE),"")</x:f>
      </x:c>
      <x:c r="L275" s="151" t="str">
        <x:f>IFERROR(VLOOKUP(F275,'Base Sectores'!$A$5:$J$47,7,FALSE),"")</x:f>
      </x:c>
      <x:c r="M275" s="151" t="str">
        <x:f>IFERROR(VLOOKUP(F275,'Base Sectores'!$A$5:$J$47,9,FALSE),"")</x:f>
      </x:c>
      <x:c r="N275" s="154"/>
      <x:c r="O275" s="151" t="str">
        <x:f>IFERROR(VLOOKUP(N275,'Configuracion'!$D$4:$H$15,2,FALSE),"")</x:f>
      </x:c>
      <x:c r="P275" s="151" t="str">
        <x:f>IFERROR(VLOOKUP(N275,'Configuracion'!$D$4:$H$15,3,FALSE),"")</x:f>
      </x:c>
      <x:c r="Q275" s="155"/>
      <x:c r="R275" s="156" t="str">
        <x:f>IFERROR(VLOOKUP(N275,'Configuracion'!$D$4:$H$15,4,FALSE),"")</x:f>
      </x:c>
      <x:c r="S275" s="153"/>
      <x:c r="T275" s="153"/>
      <x:c r="U275" s="156" t="str">
        <x:f>IF(OR(S275="",T275=""),"",MOD(T275-S275,1)*24)</x:f>
      </x:c>
      <x:c r="V275" s="154"/>
      <x:c r="W275" s="154"/>
      <x:c r="X275" s="151" t="str">
        <x:f>IFERROR(VLOOKUP(N275,'Configuracion'!$D$4:$H$15,5,FALSE),"")</x:f>
      </x:c>
      <x:c r="Y275" s="151" t="str">
        <x:f>IFERROR(VLOOKUP(V275,'Cuadrillas'!$A$5:$J$14,2,FALSE),"")</x:f>
      </x:c>
      <x:c r="Z275" s="154"/>
      <x:c r="AA275" s="154"/>
      <x:c r="AB275" s="154"/>
      <x:c r="AC275" s="153"/>
      <x:c r="AD275" s="153"/>
      <x:c r="AE275" s="156" t="str">
        <x:f>IF(OR(AC275="",AD275=""),"",MOD(AD275-AC275,1)*24)</x:f>
      </x:c>
      <x:c r="AF275" s="154"/>
      <x:c r="AG275" s="156" t="str">
        <x:f>IF(AE275="","",MAX(0,AE275-IF(AF275="",0,AF275/60)))</x:f>
      </x:c>
      <x:c r="AH275" s="155"/>
      <x:c r="AI275" s="154"/>
      <x:c r="AJ275" s="154"/>
      <x:c r="AK275" s="156" t="n">
        <x:f>IFERROR(U275*W275,"")</x:f>
        <x:v>0</x:v>
      </x:c>
      <x:c r="AL275" s="156" t="n">
        <x:f>IFERROR(AE275*AI275,"")</x:f>
        <x:v>0</x:v>
      </x:c>
      <x:c r="AM275" s="157" t="str">
        <x:f>IFERROR(AH275/Q275,"")</x:f>
      </x:c>
      <x:c r="AN275" s="156" t="str">
        <x:f>IFERROR(AH275/AG275,"")</x:f>
      </x:c>
      <x:c r="AO275" s="156" t="str">
        <x:f>IFERROR(AL275/AH275,"")</x:f>
      </x:c>
      <x:c r="AP275" s="157" t="str">
        <x:f>IFERROR(AG275/AE275,"")</x:f>
      </x:c>
      <x:c r="AQ275" s="157" t="str">
        <x:f>IFERROR(AN275/(R275/'Configuracion'!$B$13),"")</x:f>
      </x:c>
      <x:c r="AR275" s="156" t="n">
        <x:f>IFERROR(AE275-U275,"")</x:f>
        <x:v>0</x:v>
      </x:c>
      <x:c r="AS275" s="154"/>
      <x:c r="AT275" s="154"/>
      <x:c r="AU275" s="154"/>
      <x:c r="AV275" s="154"/>
      <x:c r="AW275" s="152"/>
      <x:c r="AX275" s="154"/>
      <x:c r="AY275" s="154"/>
      <x:c r="AZ275" s="151"/>
      <x:c r="BA275" s="151"/>
    </x:row>
    <x:row r="276">
      <x:c r="A276" s="151" t="str">
        <x:f>IF(B276="","",TEXT(B276,"yyyymmdd")&amp;"-"&amp;TEXT(COUNTIF($B$5:B276,B276),"000"))</x:f>
      </x:c>
      <x:c r="B276" s="152"/>
      <x:c r="C276" s="153"/>
      <x:c r="D276" s="151" t="str">
        <x:f>IF(B276="","",'Configuracion'!$B$4)</x:f>
      </x:c>
      <x:c r="E276" s="154"/>
      <x:c r="F276" s="154"/>
      <x:c r="G276" s="151" t="str">
        <x:f>IFERROR(VLOOKUP(F276,'Base Sectores'!$A$5:$J$47,2,FALSE),"")</x:f>
      </x:c>
      <x:c r="H276" s="151" t="str">
        <x:f>IFERROR(VLOOKUP(F276,'Base Sectores'!$A$5:$J$47,3,FALSE),"")</x:f>
      </x:c>
      <x:c r="I276" s="151" t="str">
        <x:f>IFERROR(VLOOKUP(F276,'Base Sectores'!$A$5:$J$47,4,FALSE),"")</x:f>
      </x:c>
      <x:c r="J276" s="151" t="str">
        <x:f>IFERROR(VLOOKUP(F276,'Base Sectores'!$A$5:$J$47,5,FALSE),"")</x:f>
      </x:c>
      <x:c r="K276" s="151" t="str">
        <x:f>IFERROR(VLOOKUP(F276,'Base Sectores'!$A$5:$J$47,6,FALSE),"")</x:f>
      </x:c>
      <x:c r="L276" s="151" t="str">
        <x:f>IFERROR(VLOOKUP(F276,'Base Sectores'!$A$5:$J$47,7,FALSE),"")</x:f>
      </x:c>
      <x:c r="M276" s="151" t="str">
        <x:f>IFERROR(VLOOKUP(F276,'Base Sectores'!$A$5:$J$47,9,FALSE),"")</x:f>
      </x:c>
      <x:c r="N276" s="154"/>
      <x:c r="O276" s="151" t="str">
        <x:f>IFERROR(VLOOKUP(N276,'Configuracion'!$D$4:$H$15,2,FALSE),"")</x:f>
      </x:c>
      <x:c r="P276" s="151" t="str">
        <x:f>IFERROR(VLOOKUP(N276,'Configuracion'!$D$4:$H$15,3,FALSE),"")</x:f>
      </x:c>
      <x:c r="Q276" s="155"/>
      <x:c r="R276" s="156" t="str">
        <x:f>IFERROR(VLOOKUP(N276,'Configuracion'!$D$4:$H$15,4,FALSE),"")</x:f>
      </x:c>
      <x:c r="S276" s="153"/>
      <x:c r="T276" s="153"/>
      <x:c r="U276" s="156" t="str">
        <x:f>IF(OR(S276="",T276=""),"",MOD(T276-S276,1)*24)</x:f>
      </x:c>
      <x:c r="V276" s="154"/>
      <x:c r="W276" s="154"/>
      <x:c r="X276" s="151" t="str">
        <x:f>IFERROR(VLOOKUP(N276,'Configuracion'!$D$4:$H$15,5,FALSE),"")</x:f>
      </x:c>
      <x:c r="Y276" s="151" t="str">
        <x:f>IFERROR(VLOOKUP(V276,'Cuadrillas'!$A$5:$J$14,2,FALSE),"")</x:f>
      </x:c>
      <x:c r="Z276" s="154"/>
      <x:c r="AA276" s="154"/>
      <x:c r="AB276" s="154"/>
      <x:c r="AC276" s="153"/>
      <x:c r="AD276" s="153"/>
      <x:c r="AE276" s="156" t="str">
        <x:f>IF(OR(AC276="",AD276=""),"",MOD(AD276-AC276,1)*24)</x:f>
      </x:c>
      <x:c r="AF276" s="154"/>
      <x:c r="AG276" s="156" t="str">
        <x:f>IF(AE276="","",MAX(0,AE276-IF(AF276="",0,AF276/60)))</x:f>
      </x:c>
      <x:c r="AH276" s="155"/>
      <x:c r="AI276" s="154"/>
      <x:c r="AJ276" s="154"/>
      <x:c r="AK276" s="156" t="n">
        <x:f>IFERROR(U276*W276,"")</x:f>
        <x:v>0</x:v>
      </x:c>
      <x:c r="AL276" s="156" t="n">
        <x:f>IFERROR(AE276*AI276,"")</x:f>
        <x:v>0</x:v>
      </x:c>
      <x:c r="AM276" s="157" t="str">
        <x:f>IFERROR(AH276/Q276,"")</x:f>
      </x:c>
      <x:c r="AN276" s="156" t="str">
        <x:f>IFERROR(AH276/AG276,"")</x:f>
      </x:c>
      <x:c r="AO276" s="156" t="str">
        <x:f>IFERROR(AL276/AH276,"")</x:f>
      </x:c>
      <x:c r="AP276" s="157" t="str">
        <x:f>IFERROR(AG276/AE276,"")</x:f>
      </x:c>
      <x:c r="AQ276" s="157" t="str">
        <x:f>IFERROR(AN276/(R276/'Configuracion'!$B$13),"")</x:f>
      </x:c>
      <x:c r="AR276" s="156" t="n">
        <x:f>IFERROR(AE276-U276,"")</x:f>
        <x:v>0</x:v>
      </x:c>
      <x:c r="AS276" s="154"/>
      <x:c r="AT276" s="154"/>
      <x:c r="AU276" s="154"/>
      <x:c r="AV276" s="154"/>
      <x:c r="AW276" s="152"/>
      <x:c r="AX276" s="154"/>
      <x:c r="AY276" s="154"/>
      <x:c r="AZ276" s="151"/>
      <x:c r="BA276" s="151"/>
    </x:row>
    <x:row r="277">
      <x:c r="A277" s="151" t="str">
        <x:f>IF(B277="","",TEXT(B277,"yyyymmdd")&amp;"-"&amp;TEXT(COUNTIF($B$5:B277,B277),"000"))</x:f>
      </x:c>
      <x:c r="B277" s="152"/>
      <x:c r="C277" s="153"/>
      <x:c r="D277" s="151" t="str">
        <x:f>IF(B277="","",'Configuracion'!$B$4)</x:f>
      </x:c>
      <x:c r="E277" s="154"/>
      <x:c r="F277" s="154"/>
      <x:c r="G277" s="151" t="str">
        <x:f>IFERROR(VLOOKUP(F277,'Base Sectores'!$A$5:$J$47,2,FALSE),"")</x:f>
      </x:c>
      <x:c r="H277" s="151" t="str">
        <x:f>IFERROR(VLOOKUP(F277,'Base Sectores'!$A$5:$J$47,3,FALSE),"")</x:f>
      </x:c>
      <x:c r="I277" s="151" t="str">
        <x:f>IFERROR(VLOOKUP(F277,'Base Sectores'!$A$5:$J$47,4,FALSE),"")</x:f>
      </x:c>
      <x:c r="J277" s="151" t="str">
        <x:f>IFERROR(VLOOKUP(F277,'Base Sectores'!$A$5:$J$47,5,FALSE),"")</x:f>
      </x:c>
      <x:c r="K277" s="151" t="str">
        <x:f>IFERROR(VLOOKUP(F277,'Base Sectores'!$A$5:$J$47,6,FALSE),"")</x:f>
      </x:c>
      <x:c r="L277" s="151" t="str">
        <x:f>IFERROR(VLOOKUP(F277,'Base Sectores'!$A$5:$J$47,7,FALSE),"")</x:f>
      </x:c>
      <x:c r="M277" s="151" t="str">
        <x:f>IFERROR(VLOOKUP(F277,'Base Sectores'!$A$5:$J$47,9,FALSE),"")</x:f>
      </x:c>
      <x:c r="N277" s="154"/>
      <x:c r="O277" s="151" t="str">
        <x:f>IFERROR(VLOOKUP(N277,'Configuracion'!$D$4:$H$15,2,FALSE),"")</x:f>
      </x:c>
      <x:c r="P277" s="151" t="str">
        <x:f>IFERROR(VLOOKUP(N277,'Configuracion'!$D$4:$H$15,3,FALSE),"")</x:f>
      </x:c>
      <x:c r="Q277" s="155"/>
      <x:c r="R277" s="156" t="str">
        <x:f>IFERROR(VLOOKUP(N277,'Configuracion'!$D$4:$H$15,4,FALSE),"")</x:f>
      </x:c>
      <x:c r="S277" s="153"/>
      <x:c r="T277" s="153"/>
      <x:c r="U277" s="156" t="str">
        <x:f>IF(OR(S277="",T277=""),"",MOD(T277-S277,1)*24)</x:f>
      </x:c>
      <x:c r="V277" s="154"/>
      <x:c r="W277" s="154"/>
      <x:c r="X277" s="151" t="str">
        <x:f>IFERROR(VLOOKUP(N277,'Configuracion'!$D$4:$H$15,5,FALSE),"")</x:f>
      </x:c>
      <x:c r="Y277" s="151" t="str">
        <x:f>IFERROR(VLOOKUP(V277,'Cuadrillas'!$A$5:$J$14,2,FALSE),"")</x:f>
      </x:c>
      <x:c r="Z277" s="154"/>
      <x:c r="AA277" s="154"/>
      <x:c r="AB277" s="154"/>
      <x:c r="AC277" s="153"/>
      <x:c r="AD277" s="153"/>
      <x:c r="AE277" s="156" t="str">
        <x:f>IF(OR(AC277="",AD277=""),"",MOD(AD277-AC277,1)*24)</x:f>
      </x:c>
      <x:c r="AF277" s="154"/>
      <x:c r="AG277" s="156" t="str">
        <x:f>IF(AE277="","",MAX(0,AE277-IF(AF277="",0,AF277/60)))</x:f>
      </x:c>
      <x:c r="AH277" s="155"/>
      <x:c r="AI277" s="154"/>
      <x:c r="AJ277" s="154"/>
      <x:c r="AK277" s="156" t="n">
        <x:f>IFERROR(U277*W277,"")</x:f>
        <x:v>0</x:v>
      </x:c>
      <x:c r="AL277" s="156" t="n">
        <x:f>IFERROR(AE277*AI277,"")</x:f>
        <x:v>0</x:v>
      </x:c>
      <x:c r="AM277" s="157" t="str">
        <x:f>IFERROR(AH277/Q277,"")</x:f>
      </x:c>
      <x:c r="AN277" s="156" t="str">
        <x:f>IFERROR(AH277/AG277,"")</x:f>
      </x:c>
      <x:c r="AO277" s="156" t="str">
        <x:f>IFERROR(AL277/AH277,"")</x:f>
      </x:c>
      <x:c r="AP277" s="157" t="str">
        <x:f>IFERROR(AG277/AE277,"")</x:f>
      </x:c>
      <x:c r="AQ277" s="157" t="str">
        <x:f>IFERROR(AN277/(R277/'Configuracion'!$B$13),"")</x:f>
      </x:c>
      <x:c r="AR277" s="156" t="n">
        <x:f>IFERROR(AE277-U277,"")</x:f>
        <x:v>0</x:v>
      </x:c>
      <x:c r="AS277" s="154"/>
      <x:c r="AT277" s="154"/>
      <x:c r="AU277" s="154"/>
      <x:c r="AV277" s="154"/>
      <x:c r="AW277" s="152"/>
      <x:c r="AX277" s="154"/>
      <x:c r="AY277" s="154"/>
      <x:c r="AZ277" s="151"/>
      <x:c r="BA277" s="151"/>
    </x:row>
    <x:row r="278">
      <x:c r="A278" s="151" t="str">
        <x:f>IF(B278="","",TEXT(B278,"yyyymmdd")&amp;"-"&amp;TEXT(COUNTIF($B$5:B278,B278),"000"))</x:f>
      </x:c>
      <x:c r="B278" s="152"/>
      <x:c r="C278" s="153"/>
      <x:c r="D278" s="151" t="str">
        <x:f>IF(B278="","",'Configuracion'!$B$4)</x:f>
      </x:c>
      <x:c r="E278" s="154"/>
      <x:c r="F278" s="154"/>
      <x:c r="G278" s="151" t="str">
        <x:f>IFERROR(VLOOKUP(F278,'Base Sectores'!$A$5:$J$47,2,FALSE),"")</x:f>
      </x:c>
      <x:c r="H278" s="151" t="str">
        <x:f>IFERROR(VLOOKUP(F278,'Base Sectores'!$A$5:$J$47,3,FALSE),"")</x:f>
      </x:c>
      <x:c r="I278" s="151" t="str">
        <x:f>IFERROR(VLOOKUP(F278,'Base Sectores'!$A$5:$J$47,4,FALSE),"")</x:f>
      </x:c>
      <x:c r="J278" s="151" t="str">
        <x:f>IFERROR(VLOOKUP(F278,'Base Sectores'!$A$5:$J$47,5,FALSE),"")</x:f>
      </x:c>
      <x:c r="K278" s="151" t="str">
        <x:f>IFERROR(VLOOKUP(F278,'Base Sectores'!$A$5:$J$47,6,FALSE),"")</x:f>
      </x:c>
      <x:c r="L278" s="151" t="str">
        <x:f>IFERROR(VLOOKUP(F278,'Base Sectores'!$A$5:$J$47,7,FALSE),"")</x:f>
      </x:c>
      <x:c r="M278" s="151" t="str">
        <x:f>IFERROR(VLOOKUP(F278,'Base Sectores'!$A$5:$J$47,9,FALSE),"")</x:f>
      </x:c>
      <x:c r="N278" s="154"/>
      <x:c r="O278" s="151" t="str">
        <x:f>IFERROR(VLOOKUP(N278,'Configuracion'!$D$4:$H$15,2,FALSE),"")</x:f>
      </x:c>
      <x:c r="P278" s="151" t="str">
        <x:f>IFERROR(VLOOKUP(N278,'Configuracion'!$D$4:$H$15,3,FALSE),"")</x:f>
      </x:c>
      <x:c r="Q278" s="155"/>
      <x:c r="R278" s="156" t="str">
        <x:f>IFERROR(VLOOKUP(N278,'Configuracion'!$D$4:$H$15,4,FALSE),"")</x:f>
      </x:c>
      <x:c r="S278" s="153"/>
      <x:c r="T278" s="153"/>
      <x:c r="U278" s="156" t="str">
        <x:f>IF(OR(S278="",T278=""),"",MOD(T278-S278,1)*24)</x:f>
      </x:c>
      <x:c r="V278" s="154"/>
      <x:c r="W278" s="154"/>
      <x:c r="X278" s="151" t="str">
        <x:f>IFERROR(VLOOKUP(N278,'Configuracion'!$D$4:$H$15,5,FALSE),"")</x:f>
      </x:c>
      <x:c r="Y278" s="151" t="str">
        <x:f>IFERROR(VLOOKUP(V278,'Cuadrillas'!$A$5:$J$14,2,FALSE),"")</x:f>
      </x:c>
      <x:c r="Z278" s="154"/>
      <x:c r="AA278" s="154"/>
      <x:c r="AB278" s="154"/>
      <x:c r="AC278" s="153"/>
      <x:c r="AD278" s="153"/>
      <x:c r="AE278" s="156" t="str">
        <x:f>IF(OR(AC278="",AD278=""),"",MOD(AD278-AC278,1)*24)</x:f>
      </x:c>
      <x:c r="AF278" s="154"/>
      <x:c r="AG278" s="156" t="str">
        <x:f>IF(AE278="","",MAX(0,AE278-IF(AF278="",0,AF278/60)))</x:f>
      </x:c>
      <x:c r="AH278" s="155"/>
      <x:c r="AI278" s="154"/>
      <x:c r="AJ278" s="154"/>
      <x:c r="AK278" s="156" t="n">
        <x:f>IFERROR(U278*W278,"")</x:f>
        <x:v>0</x:v>
      </x:c>
      <x:c r="AL278" s="156" t="n">
        <x:f>IFERROR(AE278*AI278,"")</x:f>
        <x:v>0</x:v>
      </x:c>
      <x:c r="AM278" s="157" t="str">
        <x:f>IFERROR(AH278/Q278,"")</x:f>
      </x:c>
      <x:c r="AN278" s="156" t="str">
        <x:f>IFERROR(AH278/AG278,"")</x:f>
      </x:c>
      <x:c r="AO278" s="156" t="str">
        <x:f>IFERROR(AL278/AH278,"")</x:f>
      </x:c>
      <x:c r="AP278" s="157" t="str">
        <x:f>IFERROR(AG278/AE278,"")</x:f>
      </x:c>
      <x:c r="AQ278" s="157" t="str">
        <x:f>IFERROR(AN278/(R278/'Configuracion'!$B$13),"")</x:f>
      </x:c>
      <x:c r="AR278" s="156" t="n">
        <x:f>IFERROR(AE278-U278,"")</x:f>
        <x:v>0</x:v>
      </x:c>
      <x:c r="AS278" s="154"/>
      <x:c r="AT278" s="154"/>
      <x:c r="AU278" s="154"/>
      <x:c r="AV278" s="154"/>
      <x:c r="AW278" s="152"/>
      <x:c r="AX278" s="154"/>
      <x:c r="AY278" s="154"/>
      <x:c r="AZ278" s="151"/>
      <x:c r="BA278" s="151"/>
    </x:row>
    <x:row r="279">
      <x:c r="A279" s="151" t="str">
        <x:f>IF(B279="","",TEXT(B279,"yyyymmdd")&amp;"-"&amp;TEXT(COUNTIF($B$5:B279,B279),"000"))</x:f>
      </x:c>
      <x:c r="B279" s="152"/>
      <x:c r="C279" s="153"/>
      <x:c r="D279" s="151" t="str">
        <x:f>IF(B279="","",'Configuracion'!$B$4)</x:f>
      </x:c>
      <x:c r="E279" s="154"/>
      <x:c r="F279" s="154"/>
      <x:c r="G279" s="151" t="str">
        <x:f>IFERROR(VLOOKUP(F279,'Base Sectores'!$A$5:$J$47,2,FALSE),"")</x:f>
      </x:c>
      <x:c r="H279" s="151" t="str">
        <x:f>IFERROR(VLOOKUP(F279,'Base Sectores'!$A$5:$J$47,3,FALSE),"")</x:f>
      </x:c>
      <x:c r="I279" s="151" t="str">
        <x:f>IFERROR(VLOOKUP(F279,'Base Sectores'!$A$5:$J$47,4,FALSE),"")</x:f>
      </x:c>
      <x:c r="J279" s="151" t="str">
        <x:f>IFERROR(VLOOKUP(F279,'Base Sectores'!$A$5:$J$47,5,FALSE),"")</x:f>
      </x:c>
      <x:c r="K279" s="151" t="str">
        <x:f>IFERROR(VLOOKUP(F279,'Base Sectores'!$A$5:$J$47,6,FALSE),"")</x:f>
      </x:c>
      <x:c r="L279" s="151" t="str">
        <x:f>IFERROR(VLOOKUP(F279,'Base Sectores'!$A$5:$J$47,7,FALSE),"")</x:f>
      </x:c>
      <x:c r="M279" s="151" t="str">
        <x:f>IFERROR(VLOOKUP(F279,'Base Sectores'!$A$5:$J$47,9,FALSE),"")</x:f>
      </x:c>
      <x:c r="N279" s="154"/>
      <x:c r="O279" s="151" t="str">
        <x:f>IFERROR(VLOOKUP(N279,'Configuracion'!$D$4:$H$15,2,FALSE),"")</x:f>
      </x:c>
      <x:c r="P279" s="151" t="str">
        <x:f>IFERROR(VLOOKUP(N279,'Configuracion'!$D$4:$H$15,3,FALSE),"")</x:f>
      </x:c>
      <x:c r="Q279" s="155"/>
      <x:c r="R279" s="156" t="str">
        <x:f>IFERROR(VLOOKUP(N279,'Configuracion'!$D$4:$H$15,4,FALSE),"")</x:f>
      </x:c>
      <x:c r="S279" s="153"/>
      <x:c r="T279" s="153"/>
      <x:c r="U279" s="156" t="str">
        <x:f>IF(OR(S279="",T279=""),"",MOD(T279-S279,1)*24)</x:f>
      </x:c>
      <x:c r="V279" s="154"/>
      <x:c r="W279" s="154"/>
      <x:c r="X279" s="151" t="str">
        <x:f>IFERROR(VLOOKUP(N279,'Configuracion'!$D$4:$H$15,5,FALSE),"")</x:f>
      </x:c>
      <x:c r="Y279" s="151" t="str">
        <x:f>IFERROR(VLOOKUP(V279,'Cuadrillas'!$A$5:$J$14,2,FALSE),"")</x:f>
      </x:c>
      <x:c r="Z279" s="154"/>
      <x:c r="AA279" s="154"/>
      <x:c r="AB279" s="154"/>
      <x:c r="AC279" s="153"/>
      <x:c r="AD279" s="153"/>
      <x:c r="AE279" s="156" t="str">
        <x:f>IF(OR(AC279="",AD279=""),"",MOD(AD279-AC279,1)*24)</x:f>
      </x:c>
      <x:c r="AF279" s="154"/>
      <x:c r="AG279" s="156" t="str">
        <x:f>IF(AE279="","",MAX(0,AE279-IF(AF279="",0,AF279/60)))</x:f>
      </x:c>
      <x:c r="AH279" s="155"/>
      <x:c r="AI279" s="154"/>
      <x:c r="AJ279" s="154"/>
      <x:c r="AK279" s="156" t="n">
        <x:f>IFERROR(U279*W279,"")</x:f>
        <x:v>0</x:v>
      </x:c>
      <x:c r="AL279" s="156" t="n">
        <x:f>IFERROR(AE279*AI279,"")</x:f>
        <x:v>0</x:v>
      </x:c>
      <x:c r="AM279" s="157" t="str">
        <x:f>IFERROR(AH279/Q279,"")</x:f>
      </x:c>
      <x:c r="AN279" s="156" t="str">
        <x:f>IFERROR(AH279/AG279,"")</x:f>
      </x:c>
      <x:c r="AO279" s="156" t="str">
        <x:f>IFERROR(AL279/AH279,"")</x:f>
      </x:c>
      <x:c r="AP279" s="157" t="str">
        <x:f>IFERROR(AG279/AE279,"")</x:f>
      </x:c>
      <x:c r="AQ279" s="157" t="str">
        <x:f>IFERROR(AN279/(R279/'Configuracion'!$B$13),"")</x:f>
      </x:c>
      <x:c r="AR279" s="156" t="n">
        <x:f>IFERROR(AE279-U279,"")</x:f>
        <x:v>0</x:v>
      </x:c>
      <x:c r="AS279" s="154"/>
      <x:c r="AT279" s="154"/>
      <x:c r="AU279" s="154"/>
      <x:c r="AV279" s="154"/>
      <x:c r="AW279" s="152"/>
      <x:c r="AX279" s="154"/>
      <x:c r="AY279" s="154"/>
      <x:c r="AZ279" s="151"/>
      <x:c r="BA279" s="151"/>
    </x:row>
    <x:row r="280">
      <x:c r="A280" s="151" t="str">
        <x:f>IF(B280="","",TEXT(B280,"yyyymmdd")&amp;"-"&amp;TEXT(COUNTIF($B$5:B280,B280),"000"))</x:f>
      </x:c>
      <x:c r="B280" s="152"/>
      <x:c r="C280" s="153"/>
      <x:c r="D280" s="151" t="str">
        <x:f>IF(B280="","",'Configuracion'!$B$4)</x:f>
      </x:c>
      <x:c r="E280" s="154"/>
      <x:c r="F280" s="154"/>
      <x:c r="G280" s="151" t="str">
        <x:f>IFERROR(VLOOKUP(F280,'Base Sectores'!$A$5:$J$47,2,FALSE),"")</x:f>
      </x:c>
      <x:c r="H280" s="151" t="str">
        <x:f>IFERROR(VLOOKUP(F280,'Base Sectores'!$A$5:$J$47,3,FALSE),"")</x:f>
      </x:c>
      <x:c r="I280" s="151" t="str">
        <x:f>IFERROR(VLOOKUP(F280,'Base Sectores'!$A$5:$J$47,4,FALSE),"")</x:f>
      </x:c>
      <x:c r="J280" s="151" t="str">
        <x:f>IFERROR(VLOOKUP(F280,'Base Sectores'!$A$5:$J$47,5,FALSE),"")</x:f>
      </x:c>
      <x:c r="K280" s="151" t="str">
        <x:f>IFERROR(VLOOKUP(F280,'Base Sectores'!$A$5:$J$47,6,FALSE),"")</x:f>
      </x:c>
      <x:c r="L280" s="151" t="str">
        <x:f>IFERROR(VLOOKUP(F280,'Base Sectores'!$A$5:$J$47,7,FALSE),"")</x:f>
      </x:c>
      <x:c r="M280" s="151" t="str">
        <x:f>IFERROR(VLOOKUP(F280,'Base Sectores'!$A$5:$J$47,9,FALSE),"")</x:f>
      </x:c>
      <x:c r="N280" s="154"/>
      <x:c r="O280" s="151" t="str">
        <x:f>IFERROR(VLOOKUP(N280,'Configuracion'!$D$4:$H$15,2,FALSE),"")</x:f>
      </x:c>
      <x:c r="P280" s="151" t="str">
        <x:f>IFERROR(VLOOKUP(N280,'Configuracion'!$D$4:$H$15,3,FALSE),"")</x:f>
      </x:c>
      <x:c r="Q280" s="155"/>
      <x:c r="R280" s="156" t="str">
        <x:f>IFERROR(VLOOKUP(N280,'Configuracion'!$D$4:$H$15,4,FALSE),"")</x:f>
      </x:c>
      <x:c r="S280" s="153"/>
      <x:c r="T280" s="153"/>
      <x:c r="U280" s="156" t="str">
        <x:f>IF(OR(S280="",T280=""),"",MOD(T280-S280,1)*24)</x:f>
      </x:c>
      <x:c r="V280" s="154"/>
      <x:c r="W280" s="154"/>
      <x:c r="X280" s="151" t="str">
        <x:f>IFERROR(VLOOKUP(N280,'Configuracion'!$D$4:$H$15,5,FALSE),"")</x:f>
      </x:c>
      <x:c r="Y280" s="151" t="str">
        <x:f>IFERROR(VLOOKUP(V280,'Cuadrillas'!$A$5:$J$14,2,FALSE),"")</x:f>
      </x:c>
      <x:c r="Z280" s="154"/>
      <x:c r="AA280" s="154"/>
      <x:c r="AB280" s="154"/>
      <x:c r="AC280" s="153"/>
      <x:c r="AD280" s="153"/>
      <x:c r="AE280" s="156" t="str">
        <x:f>IF(OR(AC280="",AD280=""),"",MOD(AD280-AC280,1)*24)</x:f>
      </x:c>
      <x:c r="AF280" s="154"/>
      <x:c r="AG280" s="156" t="str">
        <x:f>IF(AE280="","",MAX(0,AE280-IF(AF280="",0,AF280/60)))</x:f>
      </x:c>
      <x:c r="AH280" s="155"/>
      <x:c r="AI280" s="154"/>
      <x:c r="AJ280" s="154"/>
      <x:c r="AK280" s="156" t="n">
        <x:f>IFERROR(U280*W280,"")</x:f>
        <x:v>0</x:v>
      </x:c>
      <x:c r="AL280" s="156" t="n">
        <x:f>IFERROR(AE280*AI280,"")</x:f>
        <x:v>0</x:v>
      </x:c>
      <x:c r="AM280" s="157" t="str">
        <x:f>IFERROR(AH280/Q280,"")</x:f>
      </x:c>
      <x:c r="AN280" s="156" t="str">
        <x:f>IFERROR(AH280/AG280,"")</x:f>
      </x:c>
      <x:c r="AO280" s="156" t="str">
        <x:f>IFERROR(AL280/AH280,"")</x:f>
      </x:c>
      <x:c r="AP280" s="157" t="str">
        <x:f>IFERROR(AG280/AE280,"")</x:f>
      </x:c>
      <x:c r="AQ280" s="157" t="str">
        <x:f>IFERROR(AN280/(R280/'Configuracion'!$B$13),"")</x:f>
      </x:c>
      <x:c r="AR280" s="156" t="n">
        <x:f>IFERROR(AE280-U280,"")</x:f>
        <x:v>0</x:v>
      </x:c>
      <x:c r="AS280" s="154"/>
      <x:c r="AT280" s="154"/>
      <x:c r="AU280" s="154"/>
      <x:c r="AV280" s="154"/>
      <x:c r="AW280" s="152"/>
      <x:c r="AX280" s="154"/>
      <x:c r="AY280" s="154"/>
      <x:c r="AZ280" s="151"/>
      <x:c r="BA280" s="151"/>
    </x:row>
    <x:row r="281">
      <x:c r="A281" s="151" t="str">
        <x:f>IF(B281="","",TEXT(B281,"yyyymmdd")&amp;"-"&amp;TEXT(COUNTIF($B$5:B281,B281),"000"))</x:f>
      </x:c>
      <x:c r="B281" s="152"/>
      <x:c r="C281" s="153"/>
      <x:c r="D281" s="151" t="str">
        <x:f>IF(B281="","",'Configuracion'!$B$4)</x:f>
      </x:c>
      <x:c r="E281" s="154"/>
      <x:c r="F281" s="154"/>
      <x:c r="G281" s="151" t="str">
        <x:f>IFERROR(VLOOKUP(F281,'Base Sectores'!$A$5:$J$47,2,FALSE),"")</x:f>
      </x:c>
      <x:c r="H281" s="151" t="str">
        <x:f>IFERROR(VLOOKUP(F281,'Base Sectores'!$A$5:$J$47,3,FALSE),"")</x:f>
      </x:c>
      <x:c r="I281" s="151" t="str">
        <x:f>IFERROR(VLOOKUP(F281,'Base Sectores'!$A$5:$J$47,4,FALSE),"")</x:f>
      </x:c>
      <x:c r="J281" s="151" t="str">
        <x:f>IFERROR(VLOOKUP(F281,'Base Sectores'!$A$5:$J$47,5,FALSE),"")</x:f>
      </x:c>
      <x:c r="K281" s="151" t="str">
        <x:f>IFERROR(VLOOKUP(F281,'Base Sectores'!$A$5:$J$47,6,FALSE),"")</x:f>
      </x:c>
      <x:c r="L281" s="151" t="str">
        <x:f>IFERROR(VLOOKUP(F281,'Base Sectores'!$A$5:$J$47,7,FALSE),"")</x:f>
      </x:c>
      <x:c r="M281" s="151" t="str">
        <x:f>IFERROR(VLOOKUP(F281,'Base Sectores'!$A$5:$J$47,9,FALSE),"")</x:f>
      </x:c>
      <x:c r="N281" s="154"/>
      <x:c r="O281" s="151" t="str">
        <x:f>IFERROR(VLOOKUP(N281,'Configuracion'!$D$4:$H$15,2,FALSE),"")</x:f>
      </x:c>
      <x:c r="P281" s="151" t="str">
        <x:f>IFERROR(VLOOKUP(N281,'Configuracion'!$D$4:$H$15,3,FALSE),"")</x:f>
      </x:c>
      <x:c r="Q281" s="155"/>
      <x:c r="R281" s="156" t="str">
        <x:f>IFERROR(VLOOKUP(N281,'Configuracion'!$D$4:$H$15,4,FALSE),"")</x:f>
      </x:c>
      <x:c r="S281" s="153"/>
      <x:c r="T281" s="153"/>
      <x:c r="U281" s="156" t="str">
        <x:f>IF(OR(S281="",T281=""),"",MOD(T281-S281,1)*24)</x:f>
      </x:c>
      <x:c r="V281" s="154"/>
      <x:c r="W281" s="154"/>
      <x:c r="X281" s="151" t="str">
        <x:f>IFERROR(VLOOKUP(N281,'Configuracion'!$D$4:$H$15,5,FALSE),"")</x:f>
      </x:c>
      <x:c r="Y281" s="151" t="str">
        <x:f>IFERROR(VLOOKUP(V281,'Cuadrillas'!$A$5:$J$14,2,FALSE),"")</x:f>
      </x:c>
      <x:c r="Z281" s="154"/>
      <x:c r="AA281" s="154"/>
      <x:c r="AB281" s="154"/>
      <x:c r="AC281" s="153"/>
      <x:c r="AD281" s="153"/>
      <x:c r="AE281" s="156" t="str">
        <x:f>IF(OR(AC281="",AD281=""),"",MOD(AD281-AC281,1)*24)</x:f>
      </x:c>
      <x:c r="AF281" s="154"/>
      <x:c r="AG281" s="156" t="str">
        <x:f>IF(AE281="","",MAX(0,AE281-IF(AF281="",0,AF281/60)))</x:f>
      </x:c>
      <x:c r="AH281" s="155"/>
      <x:c r="AI281" s="154"/>
      <x:c r="AJ281" s="154"/>
      <x:c r="AK281" s="156" t="n">
        <x:f>IFERROR(U281*W281,"")</x:f>
        <x:v>0</x:v>
      </x:c>
      <x:c r="AL281" s="156" t="n">
        <x:f>IFERROR(AE281*AI281,"")</x:f>
        <x:v>0</x:v>
      </x:c>
      <x:c r="AM281" s="157" t="str">
        <x:f>IFERROR(AH281/Q281,"")</x:f>
      </x:c>
      <x:c r="AN281" s="156" t="str">
        <x:f>IFERROR(AH281/AG281,"")</x:f>
      </x:c>
      <x:c r="AO281" s="156" t="str">
        <x:f>IFERROR(AL281/AH281,"")</x:f>
      </x:c>
      <x:c r="AP281" s="157" t="str">
        <x:f>IFERROR(AG281/AE281,"")</x:f>
      </x:c>
      <x:c r="AQ281" s="157" t="str">
        <x:f>IFERROR(AN281/(R281/'Configuracion'!$B$13),"")</x:f>
      </x:c>
      <x:c r="AR281" s="156" t="n">
        <x:f>IFERROR(AE281-U281,"")</x:f>
        <x:v>0</x:v>
      </x:c>
      <x:c r="AS281" s="154"/>
      <x:c r="AT281" s="154"/>
      <x:c r="AU281" s="154"/>
      <x:c r="AV281" s="154"/>
      <x:c r="AW281" s="152"/>
      <x:c r="AX281" s="154"/>
      <x:c r="AY281" s="154"/>
      <x:c r="AZ281" s="151"/>
      <x:c r="BA281" s="151"/>
    </x:row>
    <x:row r="282">
      <x:c r="A282" s="151" t="str">
        <x:f>IF(B282="","",TEXT(B282,"yyyymmdd")&amp;"-"&amp;TEXT(COUNTIF($B$5:B282,B282),"000"))</x:f>
      </x:c>
      <x:c r="B282" s="152"/>
      <x:c r="C282" s="153"/>
      <x:c r="D282" s="151" t="str">
        <x:f>IF(B282="","",'Configuracion'!$B$4)</x:f>
      </x:c>
      <x:c r="E282" s="154"/>
      <x:c r="F282" s="154"/>
      <x:c r="G282" s="151" t="str">
        <x:f>IFERROR(VLOOKUP(F282,'Base Sectores'!$A$5:$J$47,2,FALSE),"")</x:f>
      </x:c>
      <x:c r="H282" s="151" t="str">
        <x:f>IFERROR(VLOOKUP(F282,'Base Sectores'!$A$5:$J$47,3,FALSE),"")</x:f>
      </x:c>
      <x:c r="I282" s="151" t="str">
        <x:f>IFERROR(VLOOKUP(F282,'Base Sectores'!$A$5:$J$47,4,FALSE),"")</x:f>
      </x:c>
      <x:c r="J282" s="151" t="str">
        <x:f>IFERROR(VLOOKUP(F282,'Base Sectores'!$A$5:$J$47,5,FALSE),"")</x:f>
      </x:c>
      <x:c r="K282" s="151" t="str">
        <x:f>IFERROR(VLOOKUP(F282,'Base Sectores'!$A$5:$J$47,6,FALSE),"")</x:f>
      </x:c>
      <x:c r="L282" s="151" t="str">
        <x:f>IFERROR(VLOOKUP(F282,'Base Sectores'!$A$5:$J$47,7,FALSE),"")</x:f>
      </x:c>
      <x:c r="M282" s="151" t="str">
        <x:f>IFERROR(VLOOKUP(F282,'Base Sectores'!$A$5:$J$47,9,FALSE),"")</x:f>
      </x:c>
      <x:c r="N282" s="154"/>
      <x:c r="O282" s="151" t="str">
        <x:f>IFERROR(VLOOKUP(N282,'Configuracion'!$D$4:$H$15,2,FALSE),"")</x:f>
      </x:c>
      <x:c r="P282" s="151" t="str">
        <x:f>IFERROR(VLOOKUP(N282,'Configuracion'!$D$4:$H$15,3,FALSE),"")</x:f>
      </x:c>
      <x:c r="Q282" s="155"/>
      <x:c r="R282" s="156" t="str">
        <x:f>IFERROR(VLOOKUP(N282,'Configuracion'!$D$4:$H$15,4,FALSE),"")</x:f>
      </x:c>
      <x:c r="S282" s="153"/>
      <x:c r="T282" s="153"/>
      <x:c r="U282" s="156" t="str">
        <x:f>IF(OR(S282="",T282=""),"",MOD(T282-S282,1)*24)</x:f>
      </x:c>
      <x:c r="V282" s="154"/>
      <x:c r="W282" s="154"/>
      <x:c r="X282" s="151" t="str">
        <x:f>IFERROR(VLOOKUP(N282,'Configuracion'!$D$4:$H$15,5,FALSE),"")</x:f>
      </x:c>
      <x:c r="Y282" s="151" t="str">
        <x:f>IFERROR(VLOOKUP(V282,'Cuadrillas'!$A$5:$J$14,2,FALSE),"")</x:f>
      </x:c>
      <x:c r="Z282" s="154"/>
      <x:c r="AA282" s="154"/>
      <x:c r="AB282" s="154"/>
      <x:c r="AC282" s="153"/>
      <x:c r="AD282" s="153"/>
      <x:c r="AE282" s="156" t="str">
        <x:f>IF(OR(AC282="",AD282=""),"",MOD(AD282-AC282,1)*24)</x:f>
      </x:c>
      <x:c r="AF282" s="154"/>
      <x:c r="AG282" s="156" t="str">
        <x:f>IF(AE282="","",MAX(0,AE282-IF(AF282="",0,AF282/60)))</x:f>
      </x:c>
      <x:c r="AH282" s="155"/>
      <x:c r="AI282" s="154"/>
      <x:c r="AJ282" s="154"/>
      <x:c r="AK282" s="156" t="n">
        <x:f>IFERROR(U282*W282,"")</x:f>
        <x:v>0</x:v>
      </x:c>
      <x:c r="AL282" s="156" t="n">
        <x:f>IFERROR(AE282*AI282,"")</x:f>
        <x:v>0</x:v>
      </x:c>
      <x:c r="AM282" s="157" t="str">
        <x:f>IFERROR(AH282/Q282,"")</x:f>
      </x:c>
      <x:c r="AN282" s="156" t="str">
        <x:f>IFERROR(AH282/AG282,"")</x:f>
      </x:c>
      <x:c r="AO282" s="156" t="str">
        <x:f>IFERROR(AL282/AH282,"")</x:f>
      </x:c>
      <x:c r="AP282" s="157" t="str">
        <x:f>IFERROR(AG282/AE282,"")</x:f>
      </x:c>
      <x:c r="AQ282" s="157" t="str">
        <x:f>IFERROR(AN282/(R282/'Configuracion'!$B$13),"")</x:f>
      </x:c>
      <x:c r="AR282" s="156" t="n">
        <x:f>IFERROR(AE282-U282,"")</x:f>
        <x:v>0</x:v>
      </x:c>
      <x:c r="AS282" s="154"/>
      <x:c r="AT282" s="154"/>
      <x:c r="AU282" s="154"/>
      <x:c r="AV282" s="154"/>
      <x:c r="AW282" s="152"/>
      <x:c r="AX282" s="154"/>
      <x:c r="AY282" s="154"/>
      <x:c r="AZ282" s="151"/>
      <x:c r="BA282" s="151"/>
    </x:row>
    <x:row r="283">
      <x:c r="A283" s="151" t="str">
        <x:f>IF(B283="","",TEXT(B283,"yyyymmdd")&amp;"-"&amp;TEXT(COUNTIF($B$5:B283,B283),"000"))</x:f>
      </x:c>
      <x:c r="B283" s="152"/>
      <x:c r="C283" s="153"/>
      <x:c r="D283" s="151" t="str">
        <x:f>IF(B283="","",'Configuracion'!$B$4)</x:f>
      </x:c>
      <x:c r="E283" s="154"/>
      <x:c r="F283" s="154"/>
      <x:c r="G283" s="151" t="str">
        <x:f>IFERROR(VLOOKUP(F283,'Base Sectores'!$A$5:$J$47,2,FALSE),"")</x:f>
      </x:c>
      <x:c r="H283" s="151" t="str">
        <x:f>IFERROR(VLOOKUP(F283,'Base Sectores'!$A$5:$J$47,3,FALSE),"")</x:f>
      </x:c>
      <x:c r="I283" s="151" t="str">
        <x:f>IFERROR(VLOOKUP(F283,'Base Sectores'!$A$5:$J$47,4,FALSE),"")</x:f>
      </x:c>
      <x:c r="J283" s="151" t="str">
        <x:f>IFERROR(VLOOKUP(F283,'Base Sectores'!$A$5:$J$47,5,FALSE),"")</x:f>
      </x:c>
      <x:c r="K283" s="151" t="str">
        <x:f>IFERROR(VLOOKUP(F283,'Base Sectores'!$A$5:$J$47,6,FALSE),"")</x:f>
      </x:c>
      <x:c r="L283" s="151" t="str">
        <x:f>IFERROR(VLOOKUP(F283,'Base Sectores'!$A$5:$J$47,7,FALSE),"")</x:f>
      </x:c>
      <x:c r="M283" s="151" t="str">
        <x:f>IFERROR(VLOOKUP(F283,'Base Sectores'!$A$5:$J$47,9,FALSE),"")</x:f>
      </x:c>
      <x:c r="N283" s="154"/>
      <x:c r="O283" s="151" t="str">
        <x:f>IFERROR(VLOOKUP(N283,'Configuracion'!$D$4:$H$15,2,FALSE),"")</x:f>
      </x:c>
      <x:c r="P283" s="151" t="str">
        <x:f>IFERROR(VLOOKUP(N283,'Configuracion'!$D$4:$H$15,3,FALSE),"")</x:f>
      </x:c>
      <x:c r="Q283" s="155"/>
      <x:c r="R283" s="156" t="str">
        <x:f>IFERROR(VLOOKUP(N283,'Configuracion'!$D$4:$H$15,4,FALSE),"")</x:f>
      </x:c>
      <x:c r="S283" s="153"/>
      <x:c r="T283" s="153"/>
      <x:c r="U283" s="156" t="str">
        <x:f>IF(OR(S283="",T283=""),"",MOD(T283-S283,1)*24)</x:f>
      </x:c>
      <x:c r="V283" s="154"/>
      <x:c r="W283" s="154"/>
      <x:c r="X283" s="151" t="str">
        <x:f>IFERROR(VLOOKUP(N283,'Configuracion'!$D$4:$H$15,5,FALSE),"")</x:f>
      </x:c>
      <x:c r="Y283" s="151" t="str">
        <x:f>IFERROR(VLOOKUP(V283,'Cuadrillas'!$A$5:$J$14,2,FALSE),"")</x:f>
      </x:c>
      <x:c r="Z283" s="154"/>
      <x:c r="AA283" s="154"/>
      <x:c r="AB283" s="154"/>
      <x:c r="AC283" s="153"/>
      <x:c r="AD283" s="153"/>
      <x:c r="AE283" s="156" t="str">
        <x:f>IF(OR(AC283="",AD283=""),"",MOD(AD283-AC283,1)*24)</x:f>
      </x:c>
      <x:c r="AF283" s="154"/>
      <x:c r="AG283" s="156" t="str">
        <x:f>IF(AE283="","",MAX(0,AE283-IF(AF283="",0,AF283/60)))</x:f>
      </x:c>
      <x:c r="AH283" s="155"/>
      <x:c r="AI283" s="154"/>
      <x:c r="AJ283" s="154"/>
      <x:c r="AK283" s="156" t="n">
        <x:f>IFERROR(U283*W283,"")</x:f>
        <x:v>0</x:v>
      </x:c>
      <x:c r="AL283" s="156" t="n">
        <x:f>IFERROR(AE283*AI283,"")</x:f>
        <x:v>0</x:v>
      </x:c>
      <x:c r="AM283" s="157" t="str">
        <x:f>IFERROR(AH283/Q283,"")</x:f>
      </x:c>
      <x:c r="AN283" s="156" t="str">
        <x:f>IFERROR(AH283/AG283,"")</x:f>
      </x:c>
      <x:c r="AO283" s="156" t="str">
        <x:f>IFERROR(AL283/AH283,"")</x:f>
      </x:c>
      <x:c r="AP283" s="157" t="str">
        <x:f>IFERROR(AG283/AE283,"")</x:f>
      </x:c>
      <x:c r="AQ283" s="157" t="str">
        <x:f>IFERROR(AN283/(R283/'Configuracion'!$B$13),"")</x:f>
      </x:c>
      <x:c r="AR283" s="156" t="n">
        <x:f>IFERROR(AE283-U283,"")</x:f>
        <x:v>0</x:v>
      </x:c>
      <x:c r="AS283" s="154"/>
      <x:c r="AT283" s="154"/>
      <x:c r="AU283" s="154"/>
      <x:c r="AV283" s="154"/>
      <x:c r="AW283" s="152"/>
      <x:c r="AX283" s="154"/>
      <x:c r="AY283" s="154"/>
      <x:c r="AZ283" s="151"/>
      <x:c r="BA283" s="151"/>
    </x:row>
    <x:row r="284">
      <x:c r="A284" s="151" t="str">
        <x:f>IF(B284="","",TEXT(B284,"yyyymmdd")&amp;"-"&amp;TEXT(COUNTIF($B$5:B284,B284),"000"))</x:f>
      </x:c>
      <x:c r="B284" s="152"/>
      <x:c r="C284" s="153"/>
      <x:c r="D284" s="151" t="str">
        <x:f>IF(B284="","",'Configuracion'!$B$4)</x:f>
      </x:c>
      <x:c r="E284" s="154"/>
      <x:c r="F284" s="154"/>
      <x:c r="G284" s="151" t="str">
        <x:f>IFERROR(VLOOKUP(F284,'Base Sectores'!$A$5:$J$47,2,FALSE),"")</x:f>
      </x:c>
      <x:c r="H284" s="151" t="str">
        <x:f>IFERROR(VLOOKUP(F284,'Base Sectores'!$A$5:$J$47,3,FALSE),"")</x:f>
      </x:c>
      <x:c r="I284" s="151" t="str">
        <x:f>IFERROR(VLOOKUP(F284,'Base Sectores'!$A$5:$J$47,4,FALSE),"")</x:f>
      </x:c>
      <x:c r="J284" s="151" t="str">
        <x:f>IFERROR(VLOOKUP(F284,'Base Sectores'!$A$5:$J$47,5,FALSE),"")</x:f>
      </x:c>
      <x:c r="K284" s="151" t="str">
        <x:f>IFERROR(VLOOKUP(F284,'Base Sectores'!$A$5:$J$47,6,FALSE),"")</x:f>
      </x:c>
      <x:c r="L284" s="151" t="str">
        <x:f>IFERROR(VLOOKUP(F284,'Base Sectores'!$A$5:$J$47,7,FALSE),"")</x:f>
      </x:c>
      <x:c r="M284" s="151" t="str">
        <x:f>IFERROR(VLOOKUP(F284,'Base Sectores'!$A$5:$J$47,9,FALSE),"")</x:f>
      </x:c>
      <x:c r="N284" s="154"/>
      <x:c r="O284" s="151" t="str">
        <x:f>IFERROR(VLOOKUP(N284,'Configuracion'!$D$4:$H$15,2,FALSE),"")</x:f>
      </x:c>
      <x:c r="P284" s="151" t="str">
        <x:f>IFERROR(VLOOKUP(N284,'Configuracion'!$D$4:$H$15,3,FALSE),"")</x:f>
      </x:c>
      <x:c r="Q284" s="155"/>
      <x:c r="R284" s="156" t="str">
        <x:f>IFERROR(VLOOKUP(N284,'Configuracion'!$D$4:$H$15,4,FALSE),"")</x:f>
      </x:c>
      <x:c r="S284" s="153"/>
      <x:c r="T284" s="153"/>
      <x:c r="U284" s="156" t="str">
        <x:f>IF(OR(S284="",T284=""),"",MOD(T284-S284,1)*24)</x:f>
      </x:c>
      <x:c r="V284" s="154"/>
      <x:c r="W284" s="154"/>
      <x:c r="X284" s="151" t="str">
        <x:f>IFERROR(VLOOKUP(N284,'Configuracion'!$D$4:$H$15,5,FALSE),"")</x:f>
      </x:c>
      <x:c r="Y284" s="151" t="str">
        <x:f>IFERROR(VLOOKUP(V284,'Cuadrillas'!$A$5:$J$14,2,FALSE),"")</x:f>
      </x:c>
      <x:c r="Z284" s="154"/>
      <x:c r="AA284" s="154"/>
      <x:c r="AB284" s="154"/>
      <x:c r="AC284" s="153"/>
      <x:c r="AD284" s="153"/>
      <x:c r="AE284" s="156" t="str">
        <x:f>IF(OR(AC284="",AD284=""),"",MOD(AD284-AC284,1)*24)</x:f>
      </x:c>
      <x:c r="AF284" s="154"/>
      <x:c r="AG284" s="156" t="str">
        <x:f>IF(AE284="","",MAX(0,AE284-IF(AF284="",0,AF284/60)))</x:f>
      </x:c>
      <x:c r="AH284" s="155"/>
      <x:c r="AI284" s="154"/>
      <x:c r="AJ284" s="154"/>
      <x:c r="AK284" s="156" t="n">
        <x:f>IFERROR(U284*W284,"")</x:f>
        <x:v>0</x:v>
      </x:c>
      <x:c r="AL284" s="156" t="n">
        <x:f>IFERROR(AE284*AI284,"")</x:f>
        <x:v>0</x:v>
      </x:c>
      <x:c r="AM284" s="157" t="str">
        <x:f>IFERROR(AH284/Q284,"")</x:f>
      </x:c>
      <x:c r="AN284" s="156" t="str">
        <x:f>IFERROR(AH284/AG284,"")</x:f>
      </x:c>
      <x:c r="AO284" s="156" t="str">
        <x:f>IFERROR(AL284/AH284,"")</x:f>
      </x:c>
      <x:c r="AP284" s="157" t="str">
        <x:f>IFERROR(AG284/AE284,"")</x:f>
      </x:c>
      <x:c r="AQ284" s="157" t="str">
        <x:f>IFERROR(AN284/(R284/'Configuracion'!$B$13),"")</x:f>
      </x:c>
      <x:c r="AR284" s="156" t="n">
        <x:f>IFERROR(AE284-U284,"")</x:f>
        <x:v>0</x:v>
      </x:c>
      <x:c r="AS284" s="154"/>
      <x:c r="AT284" s="154"/>
      <x:c r="AU284" s="154"/>
      <x:c r="AV284" s="154"/>
      <x:c r="AW284" s="152"/>
      <x:c r="AX284" s="154"/>
      <x:c r="AY284" s="154"/>
      <x:c r="AZ284" s="151"/>
      <x:c r="BA284" s="151"/>
    </x:row>
    <x:row r="285">
      <x:c r="A285" s="151" t="str">
        <x:f>IF(B285="","",TEXT(B285,"yyyymmdd")&amp;"-"&amp;TEXT(COUNTIF($B$5:B285,B285),"000"))</x:f>
      </x:c>
      <x:c r="B285" s="152"/>
      <x:c r="C285" s="153"/>
      <x:c r="D285" s="151" t="str">
        <x:f>IF(B285="","",'Configuracion'!$B$4)</x:f>
      </x:c>
      <x:c r="E285" s="154"/>
      <x:c r="F285" s="154"/>
      <x:c r="G285" s="151" t="str">
        <x:f>IFERROR(VLOOKUP(F285,'Base Sectores'!$A$5:$J$47,2,FALSE),"")</x:f>
      </x:c>
      <x:c r="H285" s="151" t="str">
        <x:f>IFERROR(VLOOKUP(F285,'Base Sectores'!$A$5:$J$47,3,FALSE),"")</x:f>
      </x:c>
      <x:c r="I285" s="151" t="str">
        <x:f>IFERROR(VLOOKUP(F285,'Base Sectores'!$A$5:$J$47,4,FALSE),"")</x:f>
      </x:c>
      <x:c r="J285" s="151" t="str">
        <x:f>IFERROR(VLOOKUP(F285,'Base Sectores'!$A$5:$J$47,5,FALSE),"")</x:f>
      </x:c>
      <x:c r="K285" s="151" t="str">
        <x:f>IFERROR(VLOOKUP(F285,'Base Sectores'!$A$5:$J$47,6,FALSE),"")</x:f>
      </x:c>
      <x:c r="L285" s="151" t="str">
        <x:f>IFERROR(VLOOKUP(F285,'Base Sectores'!$A$5:$J$47,7,FALSE),"")</x:f>
      </x:c>
      <x:c r="M285" s="151" t="str">
        <x:f>IFERROR(VLOOKUP(F285,'Base Sectores'!$A$5:$J$47,9,FALSE),"")</x:f>
      </x:c>
      <x:c r="N285" s="154"/>
      <x:c r="O285" s="151" t="str">
        <x:f>IFERROR(VLOOKUP(N285,'Configuracion'!$D$4:$H$15,2,FALSE),"")</x:f>
      </x:c>
      <x:c r="P285" s="151" t="str">
        <x:f>IFERROR(VLOOKUP(N285,'Configuracion'!$D$4:$H$15,3,FALSE),"")</x:f>
      </x:c>
      <x:c r="Q285" s="155"/>
      <x:c r="R285" s="156" t="str">
        <x:f>IFERROR(VLOOKUP(N285,'Configuracion'!$D$4:$H$15,4,FALSE),"")</x:f>
      </x:c>
      <x:c r="S285" s="153"/>
      <x:c r="T285" s="153"/>
      <x:c r="U285" s="156" t="str">
        <x:f>IF(OR(S285="",T285=""),"",MOD(T285-S285,1)*24)</x:f>
      </x:c>
      <x:c r="V285" s="154"/>
      <x:c r="W285" s="154"/>
      <x:c r="X285" s="151" t="str">
        <x:f>IFERROR(VLOOKUP(N285,'Configuracion'!$D$4:$H$15,5,FALSE),"")</x:f>
      </x:c>
      <x:c r="Y285" s="151" t="str">
        <x:f>IFERROR(VLOOKUP(V285,'Cuadrillas'!$A$5:$J$14,2,FALSE),"")</x:f>
      </x:c>
      <x:c r="Z285" s="154"/>
      <x:c r="AA285" s="154"/>
      <x:c r="AB285" s="154"/>
      <x:c r="AC285" s="153"/>
      <x:c r="AD285" s="153"/>
      <x:c r="AE285" s="156" t="str">
        <x:f>IF(OR(AC285="",AD285=""),"",MOD(AD285-AC285,1)*24)</x:f>
      </x:c>
      <x:c r="AF285" s="154"/>
      <x:c r="AG285" s="156" t="str">
        <x:f>IF(AE285="","",MAX(0,AE285-IF(AF285="",0,AF285/60)))</x:f>
      </x:c>
      <x:c r="AH285" s="155"/>
      <x:c r="AI285" s="154"/>
      <x:c r="AJ285" s="154"/>
      <x:c r="AK285" s="156" t="n">
        <x:f>IFERROR(U285*W285,"")</x:f>
        <x:v>0</x:v>
      </x:c>
      <x:c r="AL285" s="156" t="n">
        <x:f>IFERROR(AE285*AI285,"")</x:f>
        <x:v>0</x:v>
      </x:c>
      <x:c r="AM285" s="157" t="str">
        <x:f>IFERROR(AH285/Q285,"")</x:f>
      </x:c>
      <x:c r="AN285" s="156" t="str">
        <x:f>IFERROR(AH285/AG285,"")</x:f>
      </x:c>
      <x:c r="AO285" s="156" t="str">
        <x:f>IFERROR(AL285/AH285,"")</x:f>
      </x:c>
      <x:c r="AP285" s="157" t="str">
        <x:f>IFERROR(AG285/AE285,"")</x:f>
      </x:c>
      <x:c r="AQ285" s="157" t="str">
        <x:f>IFERROR(AN285/(R285/'Configuracion'!$B$13),"")</x:f>
      </x:c>
      <x:c r="AR285" s="156" t="n">
        <x:f>IFERROR(AE285-U285,"")</x:f>
        <x:v>0</x:v>
      </x:c>
      <x:c r="AS285" s="154"/>
      <x:c r="AT285" s="154"/>
      <x:c r="AU285" s="154"/>
      <x:c r="AV285" s="154"/>
      <x:c r="AW285" s="152"/>
      <x:c r="AX285" s="154"/>
      <x:c r="AY285" s="154"/>
      <x:c r="AZ285" s="151"/>
      <x:c r="BA285" s="151"/>
    </x:row>
    <x:row r="286">
      <x:c r="A286" s="151" t="str">
        <x:f>IF(B286="","",TEXT(B286,"yyyymmdd")&amp;"-"&amp;TEXT(COUNTIF($B$5:B286,B286),"000"))</x:f>
      </x:c>
      <x:c r="B286" s="152"/>
      <x:c r="C286" s="153"/>
      <x:c r="D286" s="151" t="str">
        <x:f>IF(B286="","",'Configuracion'!$B$4)</x:f>
      </x:c>
      <x:c r="E286" s="154"/>
      <x:c r="F286" s="154"/>
      <x:c r="G286" s="151" t="str">
        <x:f>IFERROR(VLOOKUP(F286,'Base Sectores'!$A$5:$J$47,2,FALSE),"")</x:f>
      </x:c>
      <x:c r="H286" s="151" t="str">
        <x:f>IFERROR(VLOOKUP(F286,'Base Sectores'!$A$5:$J$47,3,FALSE),"")</x:f>
      </x:c>
      <x:c r="I286" s="151" t="str">
        <x:f>IFERROR(VLOOKUP(F286,'Base Sectores'!$A$5:$J$47,4,FALSE),"")</x:f>
      </x:c>
      <x:c r="J286" s="151" t="str">
        <x:f>IFERROR(VLOOKUP(F286,'Base Sectores'!$A$5:$J$47,5,FALSE),"")</x:f>
      </x:c>
      <x:c r="K286" s="151" t="str">
        <x:f>IFERROR(VLOOKUP(F286,'Base Sectores'!$A$5:$J$47,6,FALSE),"")</x:f>
      </x:c>
      <x:c r="L286" s="151" t="str">
        <x:f>IFERROR(VLOOKUP(F286,'Base Sectores'!$A$5:$J$47,7,FALSE),"")</x:f>
      </x:c>
      <x:c r="M286" s="151" t="str">
        <x:f>IFERROR(VLOOKUP(F286,'Base Sectores'!$A$5:$J$47,9,FALSE),"")</x:f>
      </x:c>
      <x:c r="N286" s="154"/>
      <x:c r="O286" s="151" t="str">
        <x:f>IFERROR(VLOOKUP(N286,'Configuracion'!$D$4:$H$15,2,FALSE),"")</x:f>
      </x:c>
      <x:c r="P286" s="151" t="str">
        <x:f>IFERROR(VLOOKUP(N286,'Configuracion'!$D$4:$H$15,3,FALSE),"")</x:f>
      </x:c>
      <x:c r="Q286" s="155"/>
      <x:c r="R286" s="156" t="str">
        <x:f>IFERROR(VLOOKUP(N286,'Configuracion'!$D$4:$H$15,4,FALSE),"")</x:f>
      </x:c>
      <x:c r="S286" s="153"/>
      <x:c r="T286" s="153"/>
      <x:c r="U286" s="156" t="str">
        <x:f>IF(OR(S286="",T286=""),"",MOD(T286-S286,1)*24)</x:f>
      </x:c>
      <x:c r="V286" s="154"/>
      <x:c r="W286" s="154"/>
      <x:c r="X286" s="151" t="str">
        <x:f>IFERROR(VLOOKUP(N286,'Configuracion'!$D$4:$H$15,5,FALSE),"")</x:f>
      </x:c>
      <x:c r="Y286" s="151" t="str">
        <x:f>IFERROR(VLOOKUP(V286,'Cuadrillas'!$A$5:$J$14,2,FALSE),"")</x:f>
      </x:c>
      <x:c r="Z286" s="154"/>
      <x:c r="AA286" s="154"/>
      <x:c r="AB286" s="154"/>
      <x:c r="AC286" s="153"/>
      <x:c r="AD286" s="153"/>
      <x:c r="AE286" s="156" t="str">
        <x:f>IF(OR(AC286="",AD286=""),"",MOD(AD286-AC286,1)*24)</x:f>
      </x:c>
      <x:c r="AF286" s="154"/>
      <x:c r="AG286" s="156" t="str">
        <x:f>IF(AE286="","",MAX(0,AE286-IF(AF286="",0,AF286/60)))</x:f>
      </x:c>
      <x:c r="AH286" s="155"/>
      <x:c r="AI286" s="154"/>
      <x:c r="AJ286" s="154"/>
      <x:c r="AK286" s="156" t="n">
        <x:f>IFERROR(U286*W286,"")</x:f>
        <x:v>0</x:v>
      </x:c>
      <x:c r="AL286" s="156" t="n">
        <x:f>IFERROR(AE286*AI286,"")</x:f>
        <x:v>0</x:v>
      </x:c>
      <x:c r="AM286" s="157" t="str">
        <x:f>IFERROR(AH286/Q286,"")</x:f>
      </x:c>
      <x:c r="AN286" s="156" t="str">
        <x:f>IFERROR(AH286/AG286,"")</x:f>
      </x:c>
      <x:c r="AO286" s="156" t="str">
        <x:f>IFERROR(AL286/AH286,"")</x:f>
      </x:c>
      <x:c r="AP286" s="157" t="str">
        <x:f>IFERROR(AG286/AE286,"")</x:f>
      </x:c>
      <x:c r="AQ286" s="157" t="str">
        <x:f>IFERROR(AN286/(R286/'Configuracion'!$B$13),"")</x:f>
      </x:c>
      <x:c r="AR286" s="156" t="n">
        <x:f>IFERROR(AE286-U286,"")</x:f>
        <x:v>0</x:v>
      </x:c>
      <x:c r="AS286" s="154"/>
      <x:c r="AT286" s="154"/>
      <x:c r="AU286" s="154"/>
      <x:c r="AV286" s="154"/>
      <x:c r="AW286" s="152"/>
      <x:c r="AX286" s="154"/>
      <x:c r="AY286" s="154"/>
      <x:c r="AZ286" s="151"/>
      <x:c r="BA286" s="151"/>
    </x:row>
    <x:row r="287">
      <x:c r="A287" s="151" t="str">
        <x:f>IF(B287="","",TEXT(B287,"yyyymmdd")&amp;"-"&amp;TEXT(COUNTIF($B$5:B287,B287),"000"))</x:f>
      </x:c>
      <x:c r="B287" s="152"/>
      <x:c r="C287" s="153"/>
      <x:c r="D287" s="151" t="str">
        <x:f>IF(B287="","",'Configuracion'!$B$4)</x:f>
      </x:c>
      <x:c r="E287" s="154"/>
      <x:c r="F287" s="154"/>
      <x:c r="G287" s="151" t="str">
        <x:f>IFERROR(VLOOKUP(F287,'Base Sectores'!$A$5:$J$47,2,FALSE),"")</x:f>
      </x:c>
      <x:c r="H287" s="151" t="str">
        <x:f>IFERROR(VLOOKUP(F287,'Base Sectores'!$A$5:$J$47,3,FALSE),"")</x:f>
      </x:c>
      <x:c r="I287" s="151" t="str">
        <x:f>IFERROR(VLOOKUP(F287,'Base Sectores'!$A$5:$J$47,4,FALSE),"")</x:f>
      </x:c>
      <x:c r="J287" s="151" t="str">
        <x:f>IFERROR(VLOOKUP(F287,'Base Sectores'!$A$5:$J$47,5,FALSE),"")</x:f>
      </x:c>
      <x:c r="K287" s="151" t="str">
        <x:f>IFERROR(VLOOKUP(F287,'Base Sectores'!$A$5:$J$47,6,FALSE),"")</x:f>
      </x:c>
      <x:c r="L287" s="151" t="str">
        <x:f>IFERROR(VLOOKUP(F287,'Base Sectores'!$A$5:$J$47,7,FALSE),"")</x:f>
      </x:c>
      <x:c r="M287" s="151" t="str">
        <x:f>IFERROR(VLOOKUP(F287,'Base Sectores'!$A$5:$J$47,9,FALSE),"")</x:f>
      </x:c>
      <x:c r="N287" s="154"/>
      <x:c r="O287" s="151" t="str">
        <x:f>IFERROR(VLOOKUP(N287,'Configuracion'!$D$4:$H$15,2,FALSE),"")</x:f>
      </x:c>
      <x:c r="P287" s="151" t="str">
        <x:f>IFERROR(VLOOKUP(N287,'Configuracion'!$D$4:$H$15,3,FALSE),"")</x:f>
      </x:c>
      <x:c r="Q287" s="155"/>
      <x:c r="R287" s="156" t="str">
        <x:f>IFERROR(VLOOKUP(N287,'Configuracion'!$D$4:$H$15,4,FALSE),"")</x:f>
      </x:c>
      <x:c r="S287" s="153"/>
      <x:c r="T287" s="153"/>
      <x:c r="U287" s="156" t="str">
        <x:f>IF(OR(S287="",T287=""),"",MOD(T287-S287,1)*24)</x:f>
      </x:c>
      <x:c r="V287" s="154"/>
      <x:c r="W287" s="154"/>
      <x:c r="X287" s="151" t="str">
        <x:f>IFERROR(VLOOKUP(N287,'Configuracion'!$D$4:$H$15,5,FALSE),"")</x:f>
      </x:c>
      <x:c r="Y287" s="151" t="str">
        <x:f>IFERROR(VLOOKUP(V287,'Cuadrillas'!$A$5:$J$14,2,FALSE),"")</x:f>
      </x:c>
      <x:c r="Z287" s="154"/>
      <x:c r="AA287" s="154"/>
      <x:c r="AB287" s="154"/>
      <x:c r="AC287" s="153"/>
      <x:c r="AD287" s="153"/>
      <x:c r="AE287" s="156" t="str">
        <x:f>IF(OR(AC287="",AD287=""),"",MOD(AD287-AC287,1)*24)</x:f>
      </x:c>
      <x:c r="AF287" s="154"/>
      <x:c r="AG287" s="156" t="str">
        <x:f>IF(AE287="","",MAX(0,AE287-IF(AF287="",0,AF287/60)))</x:f>
      </x:c>
      <x:c r="AH287" s="155"/>
      <x:c r="AI287" s="154"/>
      <x:c r="AJ287" s="154"/>
      <x:c r="AK287" s="156" t="n">
        <x:f>IFERROR(U287*W287,"")</x:f>
        <x:v>0</x:v>
      </x:c>
      <x:c r="AL287" s="156" t="n">
        <x:f>IFERROR(AE287*AI287,"")</x:f>
        <x:v>0</x:v>
      </x:c>
      <x:c r="AM287" s="157" t="str">
        <x:f>IFERROR(AH287/Q287,"")</x:f>
      </x:c>
      <x:c r="AN287" s="156" t="str">
        <x:f>IFERROR(AH287/AG287,"")</x:f>
      </x:c>
      <x:c r="AO287" s="156" t="str">
        <x:f>IFERROR(AL287/AH287,"")</x:f>
      </x:c>
      <x:c r="AP287" s="157" t="str">
        <x:f>IFERROR(AG287/AE287,"")</x:f>
      </x:c>
      <x:c r="AQ287" s="157" t="str">
        <x:f>IFERROR(AN287/(R287/'Configuracion'!$B$13),"")</x:f>
      </x:c>
      <x:c r="AR287" s="156" t="n">
        <x:f>IFERROR(AE287-U287,"")</x:f>
        <x:v>0</x:v>
      </x:c>
      <x:c r="AS287" s="154"/>
      <x:c r="AT287" s="154"/>
      <x:c r="AU287" s="154"/>
      <x:c r="AV287" s="154"/>
      <x:c r="AW287" s="152"/>
      <x:c r="AX287" s="154"/>
      <x:c r="AY287" s="154"/>
      <x:c r="AZ287" s="151"/>
      <x:c r="BA287" s="151"/>
    </x:row>
    <x:row r="288">
      <x:c r="A288" s="151" t="str">
        <x:f>IF(B288="","",TEXT(B288,"yyyymmdd")&amp;"-"&amp;TEXT(COUNTIF($B$5:B288,B288),"000"))</x:f>
      </x:c>
      <x:c r="B288" s="152"/>
      <x:c r="C288" s="153"/>
      <x:c r="D288" s="151" t="str">
        <x:f>IF(B288="","",'Configuracion'!$B$4)</x:f>
      </x:c>
      <x:c r="E288" s="154"/>
      <x:c r="F288" s="154"/>
      <x:c r="G288" s="151" t="str">
        <x:f>IFERROR(VLOOKUP(F288,'Base Sectores'!$A$5:$J$47,2,FALSE),"")</x:f>
      </x:c>
      <x:c r="H288" s="151" t="str">
        <x:f>IFERROR(VLOOKUP(F288,'Base Sectores'!$A$5:$J$47,3,FALSE),"")</x:f>
      </x:c>
      <x:c r="I288" s="151" t="str">
        <x:f>IFERROR(VLOOKUP(F288,'Base Sectores'!$A$5:$J$47,4,FALSE),"")</x:f>
      </x:c>
      <x:c r="J288" s="151" t="str">
        <x:f>IFERROR(VLOOKUP(F288,'Base Sectores'!$A$5:$J$47,5,FALSE),"")</x:f>
      </x:c>
      <x:c r="K288" s="151" t="str">
        <x:f>IFERROR(VLOOKUP(F288,'Base Sectores'!$A$5:$J$47,6,FALSE),"")</x:f>
      </x:c>
      <x:c r="L288" s="151" t="str">
        <x:f>IFERROR(VLOOKUP(F288,'Base Sectores'!$A$5:$J$47,7,FALSE),"")</x:f>
      </x:c>
      <x:c r="M288" s="151" t="str">
        <x:f>IFERROR(VLOOKUP(F288,'Base Sectores'!$A$5:$J$47,9,FALSE),"")</x:f>
      </x:c>
      <x:c r="N288" s="154"/>
      <x:c r="O288" s="151" t="str">
        <x:f>IFERROR(VLOOKUP(N288,'Configuracion'!$D$4:$H$15,2,FALSE),"")</x:f>
      </x:c>
      <x:c r="P288" s="151" t="str">
        <x:f>IFERROR(VLOOKUP(N288,'Configuracion'!$D$4:$H$15,3,FALSE),"")</x:f>
      </x:c>
      <x:c r="Q288" s="155"/>
      <x:c r="R288" s="156" t="str">
        <x:f>IFERROR(VLOOKUP(N288,'Configuracion'!$D$4:$H$15,4,FALSE),"")</x:f>
      </x:c>
      <x:c r="S288" s="153"/>
      <x:c r="T288" s="153"/>
      <x:c r="U288" s="156" t="str">
        <x:f>IF(OR(S288="",T288=""),"",MOD(T288-S288,1)*24)</x:f>
      </x:c>
      <x:c r="V288" s="154"/>
      <x:c r="W288" s="154"/>
      <x:c r="X288" s="151" t="str">
        <x:f>IFERROR(VLOOKUP(N288,'Configuracion'!$D$4:$H$15,5,FALSE),"")</x:f>
      </x:c>
      <x:c r="Y288" s="151" t="str">
        <x:f>IFERROR(VLOOKUP(V288,'Cuadrillas'!$A$5:$J$14,2,FALSE),"")</x:f>
      </x:c>
      <x:c r="Z288" s="154"/>
      <x:c r="AA288" s="154"/>
      <x:c r="AB288" s="154"/>
      <x:c r="AC288" s="153"/>
      <x:c r="AD288" s="153"/>
      <x:c r="AE288" s="156" t="str">
        <x:f>IF(OR(AC288="",AD288=""),"",MOD(AD288-AC288,1)*24)</x:f>
      </x:c>
      <x:c r="AF288" s="154"/>
      <x:c r="AG288" s="156" t="str">
        <x:f>IF(AE288="","",MAX(0,AE288-IF(AF288="",0,AF288/60)))</x:f>
      </x:c>
      <x:c r="AH288" s="155"/>
      <x:c r="AI288" s="154"/>
      <x:c r="AJ288" s="154"/>
      <x:c r="AK288" s="156" t="n">
        <x:f>IFERROR(U288*W288,"")</x:f>
        <x:v>0</x:v>
      </x:c>
      <x:c r="AL288" s="156" t="n">
        <x:f>IFERROR(AE288*AI288,"")</x:f>
        <x:v>0</x:v>
      </x:c>
      <x:c r="AM288" s="157" t="str">
        <x:f>IFERROR(AH288/Q288,"")</x:f>
      </x:c>
      <x:c r="AN288" s="156" t="str">
        <x:f>IFERROR(AH288/AG288,"")</x:f>
      </x:c>
      <x:c r="AO288" s="156" t="str">
        <x:f>IFERROR(AL288/AH288,"")</x:f>
      </x:c>
      <x:c r="AP288" s="157" t="str">
        <x:f>IFERROR(AG288/AE288,"")</x:f>
      </x:c>
      <x:c r="AQ288" s="157" t="str">
        <x:f>IFERROR(AN288/(R288/'Configuracion'!$B$13),"")</x:f>
      </x:c>
      <x:c r="AR288" s="156" t="n">
        <x:f>IFERROR(AE288-U288,"")</x:f>
        <x:v>0</x:v>
      </x:c>
      <x:c r="AS288" s="154"/>
      <x:c r="AT288" s="154"/>
      <x:c r="AU288" s="154"/>
      <x:c r="AV288" s="154"/>
      <x:c r="AW288" s="152"/>
      <x:c r="AX288" s="154"/>
      <x:c r="AY288" s="154"/>
      <x:c r="AZ288" s="151"/>
      <x:c r="BA288" s="151"/>
    </x:row>
    <x:row r="289">
      <x:c r="A289" s="151" t="str">
        <x:f>IF(B289="","",TEXT(B289,"yyyymmdd")&amp;"-"&amp;TEXT(COUNTIF($B$5:B289,B289),"000"))</x:f>
      </x:c>
      <x:c r="B289" s="152"/>
      <x:c r="C289" s="153"/>
      <x:c r="D289" s="151" t="str">
        <x:f>IF(B289="","",'Configuracion'!$B$4)</x:f>
      </x:c>
      <x:c r="E289" s="154"/>
      <x:c r="F289" s="154"/>
      <x:c r="G289" s="151" t="str">
        <x:f>IFERROR(VLOOKUP(F289,'Base Sectores'!$A$5:$J$47,2,FALSE),"")</x:f>
      </x:c>
      <x:c r="H289" s="151" t="str">
        <x:f>IFERROR(VLOOKUP(F289,'Base Sectores'!$A$5:$J$47,3,FALSE),"")</x:f>
      </x:c>
      <x:c r="I289" s="151" t="str">
        <x:f>IFERROR(VLOOKUP(F289,'Base Sectores'!$A$5:$J$47,4,FALSE),"")</x:f>
      </x:c>
      <x:c r="J289" s="151" t="str">
        <x:f>IFERROR(VLOOKUP(F289,'Base Sectores'!$A$5:$J$47,5,FALSE),"")</x:f>
      </x:c>
      <x:c r="K289" s="151" t="str">
        <x:f>IFERROR(VLOOKUP(F289,'Base Sectores'!$A$5:$J$47,6,FALSE),"")</x:f>
      </x:c>
      <x:c r="L289" s="151" t="str">
        <x:f>IFERROR(VLOOKUP(F289,'Base Sectores'!$A$5:$J$47,7,FALSE),"")</x:f>
      </x:c>
      <x:c r="M289" s="151" t="str">
        <x:f>IFERROR(VLOOKUP(F289,'Base Sectores'!$A$5:$J$47,9,FALSE),"")</x:f>
      </x:c>
      <x:c r="N289" s="154"/>
      <x:c r="O289" s="151" t="str">
        <x:f>IFERROR(VLOOKUP(N289,'Configuracion'!$D$4:$H$15,2,FALSE),"")</x:f>
      </x:c>
      <x:c r="P289" s="151" t="str">
        <x:f>IFERROR(VLOOKUP(N289,'Configuracion'!$D$4:$H$15,3,FALSE),"")</x:f>
      </x:c>
      <x:c r="Q289" s="155"/>
      <x:c r="R289" s="156" t="str">
        <x:f>IFERROR(VLOOKUP(N289,'Configuracion'!$D$4:$H$15,4,FALSE),"")</x:f>
      </x:c>
      <x:c r="S289" s="153"/>
      <x:c r="T289" s="153"/>
      <x:c r="U289" s="156" t="str">
        <x:f>IF(OR(S289="",T289=""),"",MOD(T289-S289,1)*24)</x:f>
      </x:c>
      <x:c r="V289" s="154"/>
      <x:c r="W289" s="154"/>
      <x:c r="X289" s="151" t="str">
        <x:f>IFERROR(VLOOKUP(N289,'Configuracion'!$D$4:$H$15,5,FALSE),"")</x:f>
      </x:c>
      <x:c r="Y289" s="151" t="str">
        <x:f>IFERROR(VLOOKUP(V289,'Cuadrillas'!$A$5:$J$14,2,FALSE),"")</x:f>
      </x:c>
      <x:c r="Z289" s="154"/>
      <x:c r="AA289" s="154"/>
      <x:c r="AB289" s="154"/>
      <x:c r="AC289" s="153"/>
      <x:c r="AD289" s="153"/>
      <x:c r="AE289" s="156" t="str">
        <x:f>IF(OR(AC289="",AD289=""),"",MOD(AD289-AC289,1)*24)</x:f>
      </x:c>
      <x:c r="AF289" s="154"/>
      <x:c r="AG289" s="156" t="str">
        <x:f>IF(AE289="","",MAX(0,AE289-IF(AF289="",0,AF289/60)))</x:f>
      </x:c>
      <x:c r="AH289" s="155"/>
      <x:c r="AI289" s="154"/>
      <x:c r="AJ289" s="154"/>
      <x:c r="AK289" s="156" t="n">
        <x:f>IFERROR(U289*W289,"")</x:f>
        <x:v>0</x:v>
      </x:c>
      <x:c r="AL289" s="156" t="n">
        <x:f>IFERROR(AE289*AI289,"")</x:f>
        <x:v>0</x:v>
      </x:c>
      <x:c r="AM289" s="157" t="str">
        <x:f>IFERROR(AH289/Q289,"")</x:f>
      </x:c>
      <x:c r="AN289" s="156" t="str">
        <x:f>IFERROR(AH289/AG289,"")</x:f>
      </x:c>
      <x:c r="AO289" s="156" t="str">
        <x:f>IFERROR(AL289/AH289,"")</x:f>
      </x:c>
      <x:c r="AP289" s="157" t="str">
        <x:f>IFERROR(AG289/AE289,"")</x:f>
      </x:c>
      <x:c r="AQ289" s="157" t="str">
        <x:f>IFERROR(AN289/(R289/'Configuracion'!$B$13),"")</x:f>
      </x:c>
      <x:c r="AR289" s="156" t="n">
        <x:f>IFERROR(AE289-U289,"")</x:f>
        <x:v>0</x:v>
      </x:c>
      <x:c r="AS289" s="154"/>
      <x:c r="AT289" s="154"/>
      <x:c r="AU289" s="154"/>
      <x:c r="AV289" s="154"/>
      <x:c r="AW289" s="152"/>
      <x:c r="AX289" s="154"/>
      <x:c r="AY289" s="154"/>
      <x:c r="AZ289" s="151"/>
      <x:c r="BA289" s="151"/>
    </x:row>
    <x:row r="290">
      <x:c r="A290" s="151" t="str">
        <x:f>IF(B290="","",TEXT(B290,"yyyymmdd")&amp;"-"&amp;TEXT(COUNTIF($B$5:B290,B290),"000"))</x:f>
      </x:c>
      <x:c r="B290" s="152"/>
      <x:c r="C290" s="153"/>
      <x:c r="D290" s="151" t="str">
        <x:f>IF(B290="","",'Configuracion'!$B$4)</x:f>
      </x:c>
      <x:c r="E290" s="154"/>
      <x:c r="F290" s="154"/>
      <x:c r="G290" s="151" t="str">
        <x:f>IFERROR(VLOOKUP(F290,'Base Sectores'!$A$5:$J$47,2,FALSE),"")</x:f>
      </x:c>
      <x:c r="H290" s="151" t="str">
        <x:f>IFERROR(VLOOKUP(F290,'Base Sectores'!$A$5:$J$47,3,FALSE),"")</x:f>
      </x:c>
      <x:c r="I290" s="151" t="str">
        <x:f>IFERROR(VLOOKUP(F290,'Base Sectores'!$A$5:$J$47,4,FALSE),"")</x:f>
      </x:c>
      <x:c r="J290" s="151" t="str">
        <x:f>IFERROR(VLOOKUP(F290,'Base Sectores'!$A$5:$J$47,5,FALSE),"")</x:f>
      </x:c>
      <x:c r="K290" s="151" t="str">
        <x:f>IFERROR(VLOOKUP(F290,'Base Sectores'!$A$5:$J$47,6,FALSE),"")</x:f>
      </x:c>
      <x:c r="L290" s="151" t="str">
        <x:f>IFERROR(VLOOKUP(F290,'Base Sectores'!$A$5:$J$47,7,FALSE),"")</x:f>
      </x:c>
      <x:c r="M290" s="151" t="str">
        <x:f>IFERROR(VLOOKUP(F290,'Base Sectores'!$A$5:$J$47,9,FALSE),"")</x:f>
      </x:c>
      <x:c r="N290" s="154"/>
      <x:c r="O290" s="151" t="str">
        <x:f>IFERROR(VLOOKUP(N290,'Configuracion'!$D$4:$H$15,2,FALSE),"")</x:f>
      </x:c>
      <x:c r="P290" s="151" t="str">
        <x:f>IFERROR(VLOOKUP(N290,'Configuracion'!$D$4:$H$15,3,FALSE),"")</x:f>
      </x:c>
      <x:c r="Q290" s="155"/>
      <x:c r="R290" s="156" t="str">
        <x:f>IFERROR(VLOOKUP(N290,'Configuracion'!$D$4:$H$15,4,FALSE),"")</x:f>
      </x:c>
      <x:c r="S290" s="153"/>
      <x:c r="T290" s="153"/>
      <x:c r="U290" s="156" t="str">
        <x:f>IF(OR(S290="",T290=""),"",MOD(T290-S290,1)*24)</x:f>
      </x:c>
      <x:c r="V290" s="154"/>
      <x:c r="W290" s="154"/>
      <x:c r="X290" s="151" t="str">
        <x:f>IFERROR(VLOOKUP(N290,'Configuracion'!$D$4:$H$15,5,FALSE),"")</x:f>
      </x:c>
      <x:c r="Y290" s="151" t="str">
        <x:f>IFERROR(VLOOKUP(V290,'Cuadrillas'!$A$5:$J$14,2,FALSE),"")</x:f>
      </x:c>
      <x:c r="Z290" s="154"/>
      <x:c r="AA290" s="154"/>
      <x:c r="AB290" s="154"/>
      <x:c r="AC290" s="153"/>
      <x:c r="AD290" s="153"/>
      <x:c r="AE290" s="156" t="str">
        <x:f>IF(OR(AC290="",AD290=""),"",MOD(AD290-AC290,1)*24)</x:f>
      </x:c>
      <x:c r="AF290" s="154"/>
      <x:c r="AG290" s="156" t="str">
        <x:f>IF(AE290="","",MAX(0,AE290-IF(AF290="",0,AF290/60)))</x:f>
      </x:c>
      <x:c r="AH290" s="155"/>
      <x:c r="AI290" s="154"/>
      <x:c r="AJ290" s="154"/>
      <x:c r="AK290" s="156" t="n">
        <x:f>IFERROR(U290*W290,"")</x:f>
        <x:v>0</x:v>
      </x:c>
      <x:c r="AL290" s="156" t="n">
        <x:f>IFERROR(AE290*AI290,"")</x:f>
        <x:v>0</x:v>
      </x:c>
      <x:c r="AM290" s="157" t="str">
        <x:f>IFERROR(AH290/Q290,"")</x:f>
      </x:c>
      <x:c r="AN290" s="156" t="str">
        <x:f>IFERROR(AH290/AG290,"")</x:f>
      </x:c>
      <x:c r="AO290" s="156" t="str">
        <x:f>IFERROR(AL290/AH290,"")</x:f>
      </x:c>
      <x:c r="AP290" s="157" t="str">
        <x:f>IFERROR(AG290/AE290,"")</x:f>
      </x:c>
      <x:c r="AQ290" s="157" t="str">
        <x:f>IFERROR(AN290/(R290/'Configuracion'!$B$13),"")</x:f>
      </x:c>
      <x:c r="AR290" s="156" t="n">
        <x:f>IFERROR(AE290-U290,"")</x:f>
        <x:v>0</x:v>
      </x:c>
      <x:c r="AS290" s="154"/>
      <x:c r="AT290" s="154"/>
      <x:c r="AU290" s="154"/>
      <x:c r="AV290" s="154"/>
      <x:c r="AW290" s="152"/>
      <x:c r="AX290" s="154"/>
      <x:c r="AY290" s="154"/>
      <x:c r="AZ290" s="151"/>
      <x:c r="BA290" s="151"/>
    </x:row>
    <x:row r="291">
      <x:c r="A291" s="151" t="str">
        <x:f>IF(B291="","",TEXT(B291,"yyyymmdd")&amp;"-"&amp;TEXT(COUNTIF($B$5:B291,B291),"000"))</x:f>
      </x:c>
      <x:c r="B291" s="152"/>
      <x:c r="C291" s="153"/>
      <x:c r="D291" s="151" t="str">
        <x:f>IF(B291="","",'Configuracion'!$B$4)</x:f>
      </x:c>
      <x:c r="E291" s="154"/>
      <x:c r="F291" s="154"/>
      <x:c r="G291" s="151" t="str">
        <x:f>IFERROR(VLOOKUP(F291,'Base Sectores'!$A$5:$J$47,2,FALSE),"")</x:f>
      </x:c>
      <x:c r="H291" s="151" t="str">
        <x:f>IFERROR(VLOOKUP(F291,'Base Sectores'!$A$5:$J$47,3,FALSE),"")</x:f>
      </x:c>
      <x:c r="I291" s="151" t="str">
        <x:f>IFERROR(VLOOKUP(F291,'Base Sectores'!$A$5:$J$47,4,FALSE),"")</x:f>
      </x:c>
      <x:c r="J291" s="151" t="str">
        <x:f>IFERROR(VLOOKUP(F291,'Base Sectores'!$A$5:$J$47,5,FALSE),"")</x:f>
      </x:c>
      <x:c r="K291" s="151" t="str">
        <x:f>IFERROR(VLOOKUP(F291,'Base Sectores'!$A$5:$J$47,6,FALSE),"")</x:f>
      </x:c>
      <x:c r="L291" s="151" t="str">
        <x:f>IFERROR(VLOOKUP(F291,'Base Sectores'!$A$5:$J$47,7,FALSE),"")</x:f>
      </x:c>
      <x:c r="M291" s="151" t="str">
        <x:f>IFERROR(VLOOKUP(F291,'Base Sectores'!$A$5:$J$47,9,FALSE),"")</x:f>
      </x:c>
      <x:c r="N291" s="154"/>
      <x:c r="O291" s="151" t="str">
        <x:f>IFERROR(VLOOKUP(N291,'Configuracion'!$D$4:$H$15,2,FALSE),"")</x:f>
      </x:c>
      <x:c r="P291" s="151" t="str">
        <x:f>IFERROR(VLOOKUP(N291,'Configuracion'!$D$4:$H$15,3,FALSE),"")</x:f>
      </x:c>
      <x:c r="Q291" s="155"/>
      <x:c r="R291" s="156" t="str">
        <x:f>IFERROR(VLOOKUP(N291,'Configuracion'!$D$4:$H$15,4,FALSE),"")</x:f>
      </x:c>
      <x:c r="S291" s="153"/>
      <x:c r="T291" s="153"/>
      <x:c r="U291" s="156" t="str">
        <x:f>IF(OR(S291="",T291=""),"",MOD(T291-S291,1)*24)</x:f>
      </x:c>
      <x:c r="V291" s="154"/>
      <x:c r="W291" s="154"/>
      <x:c r="X291" s="151" t="str">
        <x:f>IFERROR(VLOOKUP(N291,'Configuracion'!$D$4:$H$15,5,FALSE),"")</x:f>
      </x:c>
      <x:c r="Y291" s="151" t="str">
        <x:f>IFERROR(VLOOKUP(V291,'Cuadrillas'!$A$5:$J$14,2,FALSE),"")</x:f>
      </x:c>
      <x:c r="Z291" s="154"/>
      <x:c r="AA291" s="154"/>
      <x:c r="AB291" s="154"/>
      <x:c r="AC291" s="153"/>
      <x:c r="AD291" s="153"/>
      <x:c r="AE291" s="156" t="str">
        <x:f>IF(OR(AC291="",AD291=""),"",MOD(AD291-AC291,1)*24)</x:f>
      </x:c>
      <x:c r="AF291" s="154"/>
      <x:c r="AG291" s="156" t="str">
        <x:f>IF(AE291="","",MAX(0,AE291-IF(AF291="",0,AF291/60)))</x:f>
      </x:c>
      <x:c r="AH291" s="155"/>
      <x:c r="AI291" s="154"/>
      <x:c r="AJ291" s="154"/>
      <x:c r="AK291" s="156" t="n">
        <x:f>IFERROR(U291*W291,"")</x:f>
        <x:v>0</x:v>
      </x:c>
      <x:c r="AL291" s="156" t="n">
        <x:f>IFERROR(AE291*AI291,"")</x:f>
        <x:v>0</x:v>
      </x:c>
      <x:c r="AM291" s="157" t="str">
        <x:f>IFERROR(AH291/Q291,"")</x:f>
      </x:c>
      <x:c r="AN291" s="156" t="str">
        <x:f>IFERROR(AH291/AG291,"")</x:f>
      </x:c>
      <x:c r="AO291" s="156" t="str">
        <x:f>IFERROR(AL291/AH291,"")</x:f>
      </x:c>
      <x:c r="AP291" s="157" t="str">
        <x:f>IFERROR(AG291/AE291,"")</x:f>
      </x:c>
      <x:c r="AQ291" s="157" t="str">
        <x:f>IFERROR(AN291/(R291/'Configuracion'!$B$13),"")</x:f>
      </x:c>
      <x:c r="AR291" s="156" t="n">
        <x:f>IFERROR(AE291-U291,"")</x:f>
        <x:v>0</x:v>
      </x:c>
      <x:c r="AS291" s="154"/>
      <x:c r="AT291" s="154"/>
      <x:c r="AU291" s="154"/>
      <x:c r="AV291" s="154"/>
      <x:c r="AW291" s="152"/>
      <x:c r="AX291" s="154"/>
      <x:c r="AY291" s="154"/>
      <x:c r="AZ291" s="151"/>
      <x:c r="BA291" s="151"/>
    </x:row>
    <x:row r="292">
      <x:c r="A292" s="151" t="str">
        <x:f>IF(B292="","",TEXT(B292,"yyyymmdd")&amp;"-"&amp;TEXT(COUNTIF($B$5:B292,B292),"000"))</x:f>
      </x:c>
      <x:c r="B292" s="152"/>
      <x:c r="C292" s="153"/>
      <x:c r="D292" s="151" t="str">
        <x:f>IF(B292="","",'Configuracion'!$B$4)</x:f>
      </x:c>
      <x:c r="E292" s="154"/>
      <x:c r="F292" s="154"/>
      <x:c r="G292" s="151" t="str">
        <x:f>IFERROR(VLOOKUP(F292,'Base Sectores'!$A$5:$J$47,2,FALSE),"")</x:f>
      </x:c>
      <x:c r="H292" s="151" t="str">
        <x:f>IFERROR(VLOOKUP(F292,'Base Sectores'!$A$5:$J$47,3,FALSE),"")</x:f>
      </x:c>
      <x:c r="I292" s="151" t="str">
        <x:f>IFERROR(VLOOKUP(F292,'Base Sectores'!$A$5:$J$47,4,FALSE),"")</x:f>
      </x:c>
      <x:c r="J292" s="151" t="str">
        <x:f>IFERROR(VLOOKUP(F292,'Base Sectores'!$A$5:$J$47,5,FALSE),"")</x:f>
      </x:c>
      <x:c r="K292" s="151" t="str">
        <x:f>IFERROR(VLOOKUP(F292,'Base Sectores'!$A$5:$J$47,6,FALSE),"")</x:f>
      </x:c>
      <x:c r="L292" s="151" t="str">
        <x:f>IFERROR(VLOOKUP(F292,'Base Sectores'!$A$5:$J$47,7,FALSE),"")</x:f>
      </x:c>
      <x:c r="M292" s="151" t="str">
        <x:f>IFERROR(VLOOKUP(F292,'Base Sectores'!$A$5:$J$47,9,FALSE),"")</x:f>
      </x:c>
      <x:c r="N292" s="154"/>
      <x:c r="O292" s="151" t="str">
        <x:f>IFERROR(VLOOKUP(N292,'Configuracion'!$D$4:$H$15,2,FALSE),"")</x:f>
      </x:c>
      <x:c r="P292" s="151" t="str">
        <x:f>IFERROR(VLOOKUP(N292,'Configuracion'!$D$4:$H$15,3,FALSE),"")</x:f>
      </x:c>
      <x:c r="Q292" s="155"/>
      <x:c r="R292" s="156" t="str">
        <x:f>IFERROR(VLOOKUP(N292,'Configuracion'!$D$4:$H$15,4,FALSE),"")</x:f>
      </x:c>
      <x:c r="S292" s="153"/>
      <x:c r="T292" s="153"/>
      <x:c r="U292" s="156" t="str">
        <x:f>IF(OR(S292="",T292=""),"",MOD(T292-S292,1)*24)</x:f>
      </x:c>
      <x:c r="V292" s="154"/>
      <x:c r="W292" s="154"/>
      <x:c r="X292" s="151" t="str">
        <x:f>IFERROR(VLOOKUP(N292,'Configuracion'!$D$4:$H$15,5,FALSE),"")</x:f>
      </x:c>
      <x:c r="Y292" s="151" t="str">
        <x:f>IFERROR(VLOOKUP(V292,'Cuadrillas'!$A$5:$J$14,2,FALSE),"")</x:f>
      </x:c>
      <x:c r="Z292" s="154"/>
      <x:c r="AA292" s="154"/>
      <x:c r="AB292" s="154"/>
      <x:c r="AC292" s="153"/>
      <x:c r="AD292" s="153"/>
      <x:c r="AE292" s="156" t="str">
        <x:f>IF(OR(AC292="",AD292=""),"",MOD(AD292-AC292,1)*24)</x:f>
      </x:c>
      <x:c r="AF292" s="154"/>
      <x:c r="AG292" s="156" t="str">
        <x:f>IF(AE292="","",MAX(0,AE292-IF(AF292="",0,AF292/60)))</x:f>
      </x:c>
      <x:c r="AH292" s="155"/>
      <x:c r="AI292" s="154"/>
      <x:c r="AJ292" s="154"/>
      <x:c r="AK292" s="156" t="n">
        <x:f>IFERROR(U292*W292,"")</x:f>
        <x:v>0</x:v>
      </x:c>
      <x:c r="AL292" s="156" t="n">
        <x:f>IFERROR(AE292*AI292,"")</x:f>
        <x:v>0</x:v>
      </x:c>
      <x:c r="AM292" s="157" t="str">
        <x:f>IFERROR(AH292/Q292,"")</x:f>
      </x:c>
      <x:c r="AN292" s="156" t="str">
        <x:f>IFERROR(AH292/AG292,"")</x:f>
      </x:c>
      <x:c r="AO292" s="156" t="str">
        <x:f>IFERROR(AL292/AH292,"")</x:f>
      </x:c>
      <x:c r="AP292" s="157" t="str">
        <x:f>IFERROR(AG292/AE292,"")</x:f>
      </x:c>
      <x:c r="AQ292" s="157" t="str">
        <x:f>IFERROR(AN292/(R292/'Configuracion'!$B$13),"")</x:f>
      </x:c>
      <x:c r="AR292" s="156" t="n">
        <x:f>IFERROR(AE292-U292,"")</x:f>
        <x:v>0</x:v>
      </x:c>
      <x:c r="AS292" s="154"/>
      <x:c r="AT292" s="154"/>
      <x:c r="AU292" s="154"/>
      <x:c r="AV292" s="154"/>
      <x:c r="AW292" s="152"/>
      <x:c r="AX292" s="154"/>
      <x:c r="AY292" s="154"/>
      <x:c r="AZ292" s="151"/>
      <x:c r="BA292" s="151"/>
    </x:row>
    <x:row r="293">
      <x:c r="A293" s="151" t="str">
        <x:f>IF(B293="","",TEXT(B293,"yyyymmdd")&amp;"-"&amp;TEXT(COUNTIF($B$5:B293,B293),"000"))</x:f>
      </x:c>
      <x:c r="B293" s="152"/>
      <x:c r="C293" s="153"/>
      <x:c r="D293" s="151" t="str">
        <x:f>IF(B293="","",'Configuracion'!$B$4)</x:f>
      </x:c>
      <x:c r="E293" s="154"/>
      <x:c r="F293" s="154"/>
      <x:c r="G293" s="151" t="str">
        <x:f>IFERROR(VLOOKUP(F293,'Base Sectores'!$A$5:$J$47,2,FALSE),"")</x:f>
      </x:c>
      <x:c r="H293" s="151" t="str">
        <x:f>IFERROR(VLOOKUP(F293,'Base Sectores'!$A$5:$J$47,3,FALSE),"")</x:f>
      </x:c>
      <x:c r="I293" s="151" t="str">
        <x:f>IFERROR(VLOOKUP(F293,'Base Sectores'!$A$5:$J$47,4,FALSE),"")</x:f>
      </x:c>
      <x:c r="J293" s="151" t="str">
        <x:f>IFERROR(VLOOKUP(F293,'Base Sectores'!$A$5:$J$47,5,FALSE),"")</x:f>
      </x:c>
      <x:c r="K293" s="151" t="str">
        <x:f>IFERROR(VLOOKUP(F293,'Base Sectores'!$A$5:$J$47,6,FALSE),"")</x:f>
      </x:c>
      <x:c r="L293" s="151" t="str">
        <x:f>IFERROR(VLOOKUP(F293,'Base Sectores'!$A$5:$J$47,7,FALSE),"")</x:f>
      </x:c>
      <x:c r="M293" s="151" t="str">
        <x:f>IFERROR(VLOOKUP(F293,'Base Sectores'!$A$5:$J$47,9,FALSE),"")</x:f>
      </x:c>
      <x:c r="N293" s="154"/>
      <x:c r="O293" s="151" t="str">
        <x:f>IFERROR(VLOOKUP(N293,'Configuracion'!$D$4:$H$15,2,FALSE),"")</x:f>
      </x:c>
      <x:c r="P293" s="151" t="str">
        <x:f>IFERROR(VLOOKUP(N293,'Configuracion'!$D$4:$H$15,3,FALSE),"")</x:f>
      </x:c>
      <x:c r="Q293" s="155"/>
      <x:c r="R293" s="156" t="str">
        <x:f>IFERROR(VLOOKUP(N293,'Configuracion'!$D$4:$H$15,4,FALSE),"")</x:f>
      </x:c>
      <x:c r="S293" s="153"/>
      <x:c r="T293" s="153"/>
      <x:c r="U293" s="156" t="str">
        <x:f>IF(OR(S293="",T293=""),"",MOD(T293-S293,1)*24)</x:f>
      </x:c>
      <x:c r="V293" s="154"/>
      <x:c r="W293" s="154"/>
      <x:c r="X293" s="151" t="str">
        <x:f>IFERROR(VLOOKUP(N293,'Configuracion'!$D$4:$H$15,5,FALSE),"")</x:f>
      </x:c>
      <x:c r="Y293" s="151" t="str">
        <x:f>IFERROR(VLOOKUP(V293,'Cuadrillas'!$A$5:$J$14,2,FALSE),"")</x:f>
      </x:c>
      <x:c r="Z293" s="154"/>
      <x:c r="AA293" s="154"/>
      <x:c r="AB293" s="154"/>
      <x:c r="AC293" s="153"/>
      <x:c r="AD293" s="153"/>
      <x:c r="AE293" s="156" t="str">
        <x:f>IF(OR(AC293="",AD293=""),"",MOD(AD293-AC293,1)*24)</x:f>
      </x:c>
      <x:c r="AF293" s="154"/>
      <x:c r="AG293" s="156" t="str">
        <x:f>IF(AE293="","",MAX(0,AE293-IF(AF293="",0,AF293/60)))</x:f>
      </x:c>
      <x:c r="AH293" s="155"/>
      <x:c r="AI293" s="154"/>
      <x:c r="AJ293" s="154"/>
      <x:c r="AK293" s="156" t="n">
        <x:f>IFERROR(U293*W293,"")</x:f>
        <x:v>0</x:v>
      </x:c>
      <x:c r="AL293" s="156" t="n">
        <x:f>IFERROR(AE293*AI293,"")</x:f>
        <x:v>0</x:v>
      </x:c>
      <x:c r="AM293" s="157" t="str">
        <x:f>IFERROR(AH293/Q293,"")</x:f>
      </x:c>
      <x:c r="AN293" s="156" t="str">
        <x:f>IFERROR(AH293/AG293,"")</x:f>
      </x:c>
      <x:c r="AO293" s="156" t="str">
        <x:f>IFERROR(AL293/AH293,"")</x:f>
      </x:c>
      <x:c r="AP293" s="157" t="str">
        <x:f>IFERROR(AG293/AE293,"")</x:f>
      </x:c>
      <x:c r="AQ293" s="157" t="str">
        <x:f>IFERROR(AN293/(R293/'Configuracion'!$B$13),"")</x:f>
      </x:c>
      <x:c r="AR293" s="156" t="n">
        <x:f>IFERROR(AE293-U293,"")</x:f>
        <x:v>0</x:v>
      </x:c>
      <x:c r="AS293" s="154"/>
      <x:c r="AT293" s="154"/>
      <x:c r="AU293" s="154"/>
      <x:c r="AV293" s="154"/>
      <x:c r="AW293" s="152"/>
      <x:c r="AX293" s="154"/>
      <x:c r="AY293" s="154"/>
      <x:c r="AZ293" s="151"/>
      <x:c r="BA293" s="151"/>
    </x:row>
    <x:row r="294">
      <x:c r="A294" s="151" t="str">
        <x:f>IF(B294="","",TEXT(B294,"yyyymmdd")&amp;"-"&amp;TEXT(COUNTIF($B$5:B294,B294),"000"))</x:f>
      </x:c>
      <x:c r="B294" s="152"/>
      <x:c r="C294" s="153"/>
      <x:c r="D294" s="151" t="str">
        <x:f>IF(B294="","",'Configuracion'!$B$4)</x:f>
      </x:c>
      <x:c r="E294" s="154"/>
      <x:c r="F294" s="154"/>
      <x:c r="G294" s="151" t="str">
        <x:f>IFERROR(VLOOKUP(F294,'Base Sectores'!$A$5:$J$47,2,FALSE),"")</x:f>
      </x:c>
      <x:c r="H294" s="151" t="str">
        <x:f>IFERROR(VLOOKUP(F294,'Base Sectores'!$A$5:$J$47,3,FALSE),"")</x:f>
      </x:c>
      <x:c r="I294" s="151" t="str">
        <x:f>IFERROR(VLOOKUP(F294,'Base Sectores'!$A$5:$J$47,4,FALSE),"")</x:f>
      </x:c>
      <x:c r="J294" s="151" t="str">
        <x:f>IFERROR(VLOOKUP(F294,'Base Sectores'!$A$5:$J$47,5,FALSE),"")</x:f>
      </x:c>
      <x:c r="K294" s="151" t="str">
        <x:f>IFERROR(VLOOKUP(F294,'Base Sectores'!$A$5:$J$47,6,FALSE),"")</x:f>
      </x:c>
      <x:c r="L294" s="151" t="str">
        <x:f>IFERROR(VLOOKUP(F294,'Base Sectores'!$A$5:$J$47,7,FALSE),"")</x:f>
      </x:c>
      <x:c r="M294" s="151" t="str">
        <x:f>IFERROR(VLOOKUP(F294,'Base Sectores'!$A$5:$J$47,9,FALSE),"")</x:f>
      </x:c>
      <x:c r="N294" s="154"/>
      <x:c r="O294" s="151" t="str">
        <x:f>IFERROR(VLOOKUP(N294,'Configuracion'!$D$4:$H$15,2,FALSE),"")</x:f>
      </x:c>
      <x:c r="P294" s="151" t="str">
        <x:f>IFERROR(VLOOKUP(N294,'Configuracion'!$D$4:$H$15,3,FALSE),"")</x:f>
      </x:c>
      <x:c r="Q294" s="155"/>
      <x:c r="R294" s="156" t="str">
        <x:f>IFERROR(VLOOKUP(N294,'Configuracion'!$D$4:$H$15,4,FALSE),"")</x:f>
      </x:c>
      <x:c r="S294" s="153"/>
      <x:c r="T294" s="153"/>
      <x:c r="U294" s="156" t="str">
        <x:f>IF(OR(S294="",T294=""),"",MOD(T294-S294,1)*24)</x:f>
      </x:c>
      <x:c r="V294" s="154"/>
      <x:c r="W294" s="154"/>
      <x:c r="X294" s="151" t="str">
        <x:f>IFERROR(VLOOKUP(N294,'Configuracion'!$D$4:$H$15,5,FALSE),"")</x:f>
      </x:c>
      <x:c r="Y294" s="151" t="str">
        <x:f>IFERROR(VLOOKUP(V294,'Cuadrillas'!$A$5:$J$14,2,FALSE),"")</x:f>
      </x:c>
      <x:c r="Z294" s="154"/>
      <x:c r="AA294" s="154"/>
      <x:c r="AB294" s="154"/>
      <x:c r="AC294" s="153"/>
      <x:c r="AD294" s="153"/>
      <x:c r="AE294" s="156" t="str">
        <x:f>IF(OR(AC294="",AD294=""),"",MOD(AD294-AC294,1)*24)</x:f>
      </x:c>
      <x:c r="AF294" s="154"/>
      <x:c r="AG294" s="156" t="str">
        <x:f>IF(AE294="","",MAX(0,AE294-IF(AF294="",0,AF294/60)))</x:f>
      </x:c>
      <x:c r="AH294" s="155"/>
      <x:c r="AI294" s="154"/>
      <x:c r="AJ294" s="154"/>
      <x:c r="AK294" s="156" t="n">
        <x:f>IFERROR(U294*W294,"")</x:f>
        <x:v>0</x:v>
      </x:c>
      <x:c r="AL294" s="156" t="n">
        <x:f>IFERROR(AE294*AI294,"")</x:f>
        <x:v>0</x:v>
      </x:c>
      <x:c r="AM294" s="157" t="str">
        <x:f>IFERROR(AH294/Q294,"")</x:f>
      </x:c>
      <x:c r="AN294" s="156" t="str">
        <x:f>IFERROR(AH294/AG294,"")</x:f>
      </x:c>
      <x:c r="AO294" s="156" t="str">
        <x:f>IFERROR(AL294/AH294,"")</x:f>
      </x:c>
      <x:c r="AP294" s="157" t="str">
        <x:f>IFERROR(AG294/AE294,"")</x:f>
      </x:c>
      <x:c r="AQ294" s="157" t="str">
        <x:f>IFERROR(AN294/(R294/'Configuracion'!$B$13),"")</x:f>
      </x:c>
      <x:c r="AR294" s="156" t="n">
        <x:f>IFERROR(AE294-U294,"")</x:f>
        <x:v>0</x:v>
      </x:c>
      <x:c r="AS294" s="154"/>
      <x:c r="AT294" s="154"/>
      <x:c r="AU294" s="154"/>
      <x:c r="AV294" s="154"/>
      <x:c r="AW294" s="152"/>
      <x:c r="AX294" s="154"/>
      <x:c r="AY294" s="154"/>
      <x:c r="AZ294" s="151"/>
      <x:c r="BA294" s="151"/>
    </x:row>
    <x:row r="295">
      <x:c r="A295" s="151" t="str">
        <x:f>IF(B295="","",TEXT(B295,"yyyymmdd")&amp;"-"&amp;TEXT(COUNTIF($B$5:B295,B295),"000"))</x:f>
      </x:c>
      <x:c r="B295" s="152"/>
      <x:c r="C295" s="153"/>
      <x:c r="D295" s="151" t="str">
        <x:f>IF(B295="","",'Configuracion'!$B$4)</x:f>
      </x:c>
      <x:c r="E295" s="154"/>
      <x:c r="F295" s="154"/>
      <x:c r="G295" s="151" t="str">
        <x:f>IFERROR(VLOOKUP(F295,'Base Sectores'!$A$5:$J$47,2,FALSE),"")</x:f>
      </x:c>
      <x:c r="H295" s="151" t="str">
        <x:f>IFERROR(VLOOKUP(F295,'Base Sectores'!$A$5:$J$47,3,FALSE),"")</x:f>
      </x:c>
      <x:c r="I295" s="151" t="str">
        <x:f>IFERROR(VLOOKUP(F295,'Base Sectores'!$A$5:$J$47,4,FALSE),"")</x:f>
      </x:c>
      <x:c r="J295" s="151" t="str">
        <x:f>IFERROR(VLOOKUP(F295,'Base Sectores'!$A$5:$J$47,5,FALSE),"")</x:f>
      </x:c>
      <x:c r="K295" s="151" t="str">
        <x:f>IFERROR(VLOOKUP(F295,'Base Sectores'!$A$5:$J$47,6,FALSE),"")</x:f>
      </x:c>
      <x:c r="L295" s="151" t="str">
        <x:f>IFERROR(VLOOKUP(F295,'Base Sectores'!$A$5:$J$47,7,FALSE),"")</x:f>
      </x:c>
      <x:c r="M295" s="151" t="str">
        <x:f>IFERROR(VLOOKUP(F295,'Base Sectores'!$A$5:$J$47,9,FALSE),"")</x:f>
      </x:c>
      <x:c r="N295" s="154"/>
      <x:c r="O295" s="151" t="str">
        <x:f>IFERROR(VLOOKUP(N295,'Configuracion'!$D$4:$H$15,2,FALSE),"")</x:f>
      </x:c>
      <x:c r="P295" s="151" t="str">
        <x:f>IFERROR(VLOOKUP(N295,'Configuracion'!$D$4:$H$15,3,FALSE),"")</x:f>
      </x:c>
      <x:c r="Q295" s="155"/>
      <x:c r="R295" s="156" t="str">
        <x:f>IFERROR(VLOOKUP(N295,'Configuracion'!$D$4:$H$15,4,FALSE),"")</x:f>
      </x:c>
      <x:c r="S295" s="153"/>
      <x:c r="T295" s="153"/>
      <x:c r="U295" s="156" t="str">
        <x:f>IF(OR(S295="",T295=""),"",MOD(T295-S295,1)*24)</x:f>
      </x:c>
      <x:c r="V295" s="154"/>
      <x:c r="W295" s="154"/>
      <x:c r="X295" s="151" t="str">
        <x:f>IFERROR(VLOOKUP(N295,'Configuracion'!$D$4:$H$15,5,FALSE),"")</x:f>
      </x:c>
      <x:c r="Y295" s="151" t="str">
        <x:f>IFERROR(VLOOKUP(V295,'Cuadrillas'!$A$5:$J$14,2,FALSE),"")</x:f>
      </x:c>
      <x:c r="Z295" s="154"/>
      <x:c r="AA295" s="154"/>
      <x:c r="AB295" s="154"/>
      <x:c r="AC295" s="153"/>
      <x:c r="AD295" s="153"/>
      <x:c r="AE295" s="156" t="str">
        <x:f>IF(OR(AC295="",AD295=""),"",MOD(AD295-AC295,1)*24)</x:f>
      </x:c>
      <x:c r="AF295" s="154"/>
      <x:c r="AG295" s="156" t="str">
        <x:f>IF(AE295="","",MAX(0,AE295-IF(AF295="",0,AF295/60)))</x:f>
      </x:c>
      <x:c r="AH295" s="155"/>
      <x:c r="AI295" s="154"/>
      <x:c r="AJ295" s="154"/>
      <x:c r="AK295" s="156" t="n">
        <x:f>IFERROR(U295*W295,"")</x:f>
        <x:v>0</x:v>
      </x:c>
      <x:c r="AL295" s="156" t="n">
        <x:f>IFERROR(AE295*AI295,"")</x:f>
        <x:v>0</x:v>
      </x:c>
      <x:c r="AM295" s="157" t="str">
        <x:f>IFERROR(AH295/Q295,"")</x:f>
      </x:c>
      <x:c r="AN295" s="156" t="str">
        <x:f>IFERROR(AH295/AG295,"")</x:f>
      </x:c>
      <x:c r="AO295" s="156" t="str">
        <x:f>IFERROR(AL295/AH295,"")</x:f>
      </x:c>
      <x:c r="AP295" s="157" t="str">
        <x:f>IFERROR(AG295/AE295,"")</x:f>
      </x:c>
      <x:c r="AQ295" s="157" t="str">
        <x:f>IFERROR(AN295/(R295/'Configuracion'!$B$13),"")</x:f>
      </x:c>
      <x:c r="AR295" s="156" t="n">
        <x:f>IFERROR(AE295-U295,"")</x:f>
        <x:v>0</x:v>
      </x:c>
      <x:c r="AS295" s="154"/>
      <x:c r="AT295" s="154"/>
      <x:c r="AU295" s="154"/>
      <x:c r="AV295" s="154"/>
      <x:c r="AW295" s="152"/>
      <x:c r="AX295" s="154"/>
      <x:c r="AY295" s="154"/>
      <x:c r="AZ295" s="151"/>
      <x:c r="BA295" s="151"/>
    </x:row>
    <x:row r="296">
      <x:c r="A296" s="151" t="str">
        <x:f>IF(B296="","",TEXT(B296,"yyyymmdd")&amp;"-"&amp;TEXT(COUNTIF($B$5:B296,B296),"000"))</x:f>
      </x:c>
      <x:c r="B296" s="152"/>
      <x:c r="C296" s="153"/>
      <x:c r="D296" s="151" t="str">
        <x:f>IF(B296="","",'Configuracion'!$B$4)</x:f>
      </x:c>
      <x:c r="E296" s="154"/>
      <x:c r="F296" s="154"/>
      <x:c r="G296" s="151" t="str">
        <x:f>IFERROR(VLOOKUP(F296,'Base Sectores'!$A$5:$J$47,2,FALSE),"")</x:f>
      </x:c>
      <x:c r="H296" s="151" t="str">
        <x:f>IFERROR(VLOOKUP(F296,'Base Sectores'!$A$5:$J$47,3,FALSE),"")</x:f>
      </x:c>
      <x:c r="I296" s="151" t="str">
        <x:f>IFERROR(VLOOKUP(F296,'Base Sectores'!$A$5:$J$47,4,FALSE),"")</x:f>
      </x:c>
      <x:c r="J296" s="151" t="str">
        <x:f>IFERROR(VLOOKUP(F296,'Base Sectores'!$A$5:$J$47,5,FALSE),"")</x:f>
      </x:c>
      <x:c r="K296" s="151" t="str">
        <x:f>IFERROR(VLOOKUP(F296,'Base Sectores'!$A$5:$J$47,6,FALSE),"")</x:f>
      </x:c>
      <x:c r="L296" s="151" t="str">
        <x:f>IFERROR(VLOOKUP(F296,'Base Sectores'!$A$5:$J$47,7,FALSE),"")</x:f>
      </x:c>
      <x:c r="M296" s="151" t="str">
        <x:f>IFERROR(VLOOKUP(F296,'Base Sectores'!$A$5:$J$47,9,FALSE),"")</x:f>
      </x:c>
      <x:c r="N296" s="154"/>
      <x:c r="O296" s="151" t="str">
        <x:f>IFERROR(VLOOKUP(N296,'Configuracion'!$D$4:$H$15,2,FALSE),"")</x:f>
      </x:c>
      <x:c r="P296" s="151" t="str">
        <x:f>IFERROR(VLOOKUP(N296,'Configuracion'!$D$4:$H$15,3,FALSE),"")</x:f>
      </x:c>
      <x:c r="Q296" s="155"/>
      <x:c r="R296" s="156" t="str">
        <x:f>IFERROR(VLOOKUP(N296,'Configuracion'!$D$4:$H$15,4,FALSE),"")</x:f>
      </x:c>
      <x:c r="S296" s="153"/>
      <x:c r="T296" s="153"/>
      <x:c r="U296" s="156" t="str">
        <x:f>IF(OR(S296="",T296=""),"",MOD(T296-S296,1)*24)</x:f>
      </x:c>
      <x:c r="V296" s="154"/>
      <x:c r="W296" s="154"/>
      <x:c r="X296" s="151" t="str">
        <x:f>IFERROR(VLOOKUP(N296,'Configuracion'!$D$4:$H$15,5,FALSE),"")</x:f>
      </x:c>
      <x:c r="Y296" s="151" t="str">
        <x:f>IFERROR(VLOOKUP(V296,'Cuadrillas'!$A$5:$J$14,2,FALSE),"")</x:f>
      </x:c>
      <x:c r="Z296" s="154"/>
      <x:c r="AA296" s="154"/>
      <x:c r="AB296" s="154"/>
      <x:c r="AC296" s="153"/>
      <x:c r="AD296" s="153"/>
      <x:c r="AE296" s="156" t="str">
        <x:f>IF(OR(AC296="",AD296=""),"",MOD(AD296-AC296,1)*24)</x:f>
      </x:c>
      <x:c r="AF296" s="154"/>
      <x:c r="AG296" s="156" t="str">
        <x:f>IF(AE296="","",MAX(0,AE296-IF(AF296="",0,AF296/60)))</x:f>
      </x:c>
      <x:c r="AH296" s="155"/>
      <x:c r="AI296" s="154"/>
      <x:c r="AJ296" s="154"/>
      <x:c r="AK296" s="156" t="n">
        <x:f>IFERROR(U296*W296,"")</x:f>
        <x:v>0</x:v>
      </x:c>
      <x:c r="AL296" s="156" t="n">
        <x:f>IFERROR(AE296*AI296,"")</x:f>
        <x:v>0</x:v>
      </x:c>
      <x:c r="AM296" s="157" t="str">
        <x:f>IFERROR(AH296/Q296,"")</x:f>
      </x:c>
      <x:c r="AN296" s="156" t="str">
        <x:f>IFERROR(AH296/AG296,"")</x:f>
      </x:c>
      <x:c r="AO296" s="156" t="str">
        <x:f>IFERROR(AL296/AH296,"")</x:f>
      </x:c>
      <x:c r="AP296" s="157" t="str">
        <x:f>IFERROR(AG296/AE296,"")</x:f>
      </x:c>
      <x:c r="AQ296" s="157" t="str">
        <x:f>IFERROR(AN296/(R296/'Configuracion'!$B$13),"")</x:f>
      </x:c>
      <x:c r="AR296" s="156" t="n">
        <x:f>IFERROR(AE296-U296,"")</x:f>
        <x:v>0</x:v>
      </x:c>
      <x:c r="AS296" s="154"/>
      <x:c r="AT296" s="154"/>
      <x:c r="AU296" s="154"/>
      <x:c r="AV296" s="154"/>
      <x:c r="AW296" s="152"/>
      <x:c r="AX296" s="154"/>
      <x:c r="AY296" s="154"/>
      <x:c r="AZ296" s="151"/>
      <x:c r="BA296" s="151"/>
    </x:row>
    <x:row r="297">
      <x:c r="A297" s="151" t="str">
        <x:f>IF(B297="","",TEXT(B297,"yyyymmdd")&amp;"-"&amp;TEXT(COUNTIF($B$5:B297,B297),"000"))</x:f>
      </x:c>
      <x:c r="B297" s="152"/>
      <x:c r="C297" s="153"/>
      <x:c r="D297" s="151" t="str">
        <x:f>IF(B297="","",'Configuracion'!$B$4)</x:f>
      </x:c>
      <x:c r="E297" s="154"/>
      <x:c r="F297" s="154"/>
      <x:c r="G297" s="151" t="str">
        <x:f>IFERROR(VLOOKUP(F297,'Base Sectores'!$A$5:$J$47,2,FALSE),"")</x:f>
      </x:c>
      <x:c r="H297" s="151" t="str">
        <x:f>IFERROR(VLOOKUP(F297,'Base Sectores'!$A$5:$J$47,3,FALSE),"")</x:f>
      </x:c>
      <x:c r="I297" s="151" t="str">
        <x:f>IFERROR(VLOOKUP(F297,'Base Sectores'!$A$5:$J$47,4,FALSE),"")</x:f>
      </x:c>
      <x:c r="J297" s="151" t="str">
        <x:f>IFERROR(VLOOKUP(F297,'Base Sectores'!$A$5:$J$47,5,FALSE),"")</x:f>
      </x:c>
      <x:c r="K297" s="151" t="str">
        <x:f>IFERROR(VLOOKUP(F297,'Base Sectores'!$A$5:$J$47,6,FALSE),"")</x:f>
      </x:c>
      <x:c r="L297" s="151" t="str">
        <x:f>IFERROR(VLOOKUP(F297,'Base Sectores'!$A$5:$J$47,7,FALSE),"")</x:f>
      </x:c>
      <x:c r="M297" s="151" t="str">
        <x:f>IFERROR(VLOOKUP(F297,'Base Sectores'!$A$5:$J$47,9,FALSE),"")</x:f>
      </x:c>
      <x:c r="N297" s="154"/>
      <x:c r="O297" s="151" t="str">
        <x:f>IFERROR(VLOOKUP(N297,'Configuracion'!$D$4:$H$15,2,FALSE),"")</x:f>
      </x:c>
      <x:c r="P297" s="151" t="str">
        <x:f>IFERROR(VLOOKUP(N297,'Configuracion'!$D$4:$H$15,3,FALSE),"")</x:f>
      </x:c>
      <x:c r="Q297" s="155"/>
      <x:c r="R297" s="156" t="str">
        <x:f>IFERROR(VLOOKUP(N297,'Configuracion'!$D$4:$H$15,4,FALSE),"")</x:f>
      </x:c>
      <x:c r="S297" s="153"/>
      <x:c r="T297" s="153"/>
      <x:c r="U297" s="156" t="str">
        <x:f>IF(OR(S297="",T297=""),"",MOD(T297-S297,1)*24)</x:f>
      </x:c>
      <x:c r="V297" s="154"/>
      <x:c r="W297" s="154"/>
      <x:c r="X297" s="151" t="str">
        <x:f>IFERROR(VLOOKUP(N297,'Configuracion'!$D$4:$H$15,5,FALSE),"")</x:f>
      </x:c>
      <x:c r="Y297" s="151" t="str">
        <x:f>IFERROR(VLOOKUP(V297,'Cuadrillas'!$A$5:$J$14,2,FALSE),"")</x:f>
      </x:c>
      <x:c r="Z297" s="154"/>
      <x:c r="AA297" s="154"/>
      <x:c r="AB297" s="154"/>
      <x:c r="AC297" s="153"/>
      <x:c r="AD297" s="153"/>
      <x:c r="AE297" s="156" t="str">
        <x:f>IF(OR(AC297="",AD297=""),"",MOD(AD297-AC297,1)*24)</x:f>
      </x:c>
      <x:c r="AF297" s="154"/>
      <x:c r="AG297" s="156" t="str">
        <x:f>IF(AE297="","",MAX(0,AE297-IF(AF297="",0,AF297/60)))</x:f>
      </x:c>
      <x:c r="AH297" s="155"/>
      <x:c r="AI297" s="154"/>
      <x:c r="AJ297" s="154"/>
      <x:c r="AK297" s="156" t="n">
        <x:f>IFERROR(U297*W297,"")</x:f>
        <x:v>0</x:v>
      </x:c>
      <x:c r="AL297" s="156" t="n">
        <x:f>IFERROR(AE297*AI297,"")</x:f>
        <x:v>0</x:v>
      </x:c>
      <x:c r="AM297" s="157" t="str">
        <x:f>IFERROR(AH297/Q297,"")</x:f>
      </x:c>
      <x:c r="AN297" s="156" t="str">
        <x:f>IFERROR(AH297/AG297,"")</x:f>
      </x:c>
      <x:c r="AO297" s="156" t="str">
        <x:f>IFERROR(AL297/AH297,"")</x:f>
      </x:c>
      <x:c r="AP297" s="157" t="str">
        <x:f>IFERROR(AG297/AE297,"")</x:f>
      </x:c>
      <x:c r="AQ297" s="157" t="str">
        <x:f>IFERROR(AN297/(R297/'Configuracion'!$B$13),"")</x:f>
      </x:c>
      <x:c r="AR297" s="156" t="n">
        <x:f>IFERROR(AE297-U297,"")</x:f>
        <x:v>0</x:v>
      </x:c>
      <x:c r="AS297" s="154"/>
      <x:c r="AT297" s="154"/>
      <x:c r="AU297" s="154"/>
      <x:c r="AV297" s="154"/>
      <x:c r="AW297" s="152"/>
      <x:c r="AX297" s="154"/>
      <x:c r="AY297" s="154"/>
      <x:c r="AZ297" s="151"/>
      <x:c r="BA297" s="151"/>
    </x:row>
    <x:row r="298">
      <x:c r="A298" s="151" t="str">
        <x:f>IF(B298="","",TEXT(B298,"yyyymmdd")&amp;"-"&amp;TEXT(COUNTIF($B$5:B298,B298),"000"))</x:f>
      </x:c>
      <x:c r="B298" s="152"/>
      <x:c r="C298" s="153"/>
      <x:c r="D298" s="151" t="str">
        <x:f>IF(B298="","",'Configuracion'!$B$4)</x:f>
      </x:c>
      <x:c r="E298" s="154"/>
      <x:c r="F298" s="154"/>
      <x:c r="G298" s="151" t="str">
        <x:f>IFERROR(VLOOKUP(F298,'Base Sectores'!$A$5:$J$47,2,FALSE),"")</x:f>
      </x:c>
      <x:c r="H298" s="151" t="str">
        <x:f>IFERROR(VLOOKUP(F298,'Base Sectores'!$A$5:$J$47,3,FALSE),"")</x:f>
      </x:c>
      <x:c r="I298" s="151" t="str">
        <x:f>IFERROR(VLOOKUP(F298,'Base Sectores'!$A$5:$J$47,4,FALSE),"")</x:f>
      </x:c>
      <x:c r="J298" s="151" t="str">
        <x:f>IFERROR(VLOOKUP(F298,'Base Sectores'!$A$5:$J$47,5,FALSE),"")</x:f>
      </x:c>
      <x:c r="K298" s="151" t="str">
        <x:f>IFERROR(VLOOKUP(F298,'Base Sectores'!$A$5:$J$47,6,FALSE),"")</x:f>
      </x:c>
      <x:c r="L298" s="151" t="str">
        <x:f>IFERROR(VLOOKUP(F298,'Base Sectores'!$A$5:$J$47,7,FALSE),"")</x:f>
      </x:c>
      <x:c r="M298" s="151" t="str">
        <x:f>IFERROR(VLOOKUP(F298,'Base Sectores'!$A$5:$J$47,9,FALSE),"")</x:f>
      </x:c>
      <x:c r="N298" s="154"/>
      <x:c r="O298" s="151" t="str">
        <x:f>IFERROR(VLOOKUP(N298,'Configuracion'!$D$4:$H$15,2,FALSE),"")</x:f>
      </x:c>
      <x:c r="P298" s="151" t="str">
        <x:f>IFERROR(VLOOKUP(N298,'Configuracion'!$D$4:$H$15,3,FALSE),"")</x:f>
      </x:c>
      <x:c r="Q298" s="155"/>
      <x:c r="R298" s="156" t="str">
        <x:f>IFERROR(VLOOKUP(N298,'Configuracion'!$D$4:$H$15,4,FALSE),"")</x:f>
      </x:c>
      <x:c r="S298" s="153"/>
      <x:c r="T298" s="153"/>
      <x:c r="U298" s="156" t="str">
        <x:f>IF(OR(S298="",T298=""),"",MOD(T298-S298,1)*24)</x:f>
      </x:c>
      <x:c r="V298" s="154"/>
      <x:c r="W298" s="154"/>
      <x:c r="X298" s="151" t="str">
        <x:f>IFERROR(VLOOKUP(N298,'Configuracion'!$D$4:$H$15,5,FALSE),"")</x:f>
      </x:c>
      <x:c r="Y298" s="151" t="str">
        <x:f>IFERROR(VLOOKUP(V298,'Cuadrillas'!$A$5:$J$14,2,FALSE),"")</x:f>
      </x:c>
      <x:c r="Z298" s="154"/>
      <x:c r="AA298" s="154"/>
      <x:c r="AB298" s="154"/>
      <x:c r="AC298" s="153"/>
      <x:c r="AD298" s="153"/>
      <x:c r="AE298" s="156" t="str">
        <x:f>IF(OR(AC298="",AD298=""),"",MOD(AD298-AC298,1)*24)</x:f>
      </x:c>
      <x:c r="AF298" s="154"/>
      <x:c r="AG298" s="156" t="str">
        <x:f>IF(AE298="","",MAX(0,AE298-IF(AF298="",0,AF298/60)))</x:f>
      </x:c>
      <x:c r="AH298" s="155"/>
      <x:c r="AI298" s="154"/>
      <x:c r="AJ298" s="154"/>
      <x:c r="AK298" s="156" t="n">
        <x:f>IFERROR(U298*W298,"")</x:f>
        <x:v>0</x:v>
      </x:c>
      <x:c r="AL298" s="156" t="n">
        <x:f>IFERROR(AE298*AI298,"")</x:f>
        <x:v>0</x:v>
      </x:c>
      <x:c r="AM298" s="157" t="str">
        <x:f>IFERROR(AH298/Q298,"")</x:f>
      </x:c>
      <x:c r="AN298" s="156" t="str">
        <x:f>IFERROR(AH298/AG298,"")</x:f>
      </x:c>
      <x:c r="AO298" s="156" t="str">
        <x:f>IFERROR(AL298/AH298,"")</x:f>
      </x:c>
      <x:c r="AP298" s="157" t="str">
        <x:f>IFERROR(AG298/AE298,"")</x:f>
      </x:c>
      <x:c r="AQ298" s="157" t="str">
        <x:f>IFERROR(AN298/(R298/'Configuracion'!$B$13),"")</x:f>
      </x:c>
      <x:c r="AR298" s="156" t="n">
        <x:f>IFERROR(AE298-U298,"")</x:f>
        <x:v>0</x:v>
      </x:c>
      <x:c r="AS298" s="154"/>
      <x:c r="AT298" s="154"/>
      <x:c r="AU298" s="154"/>
      <x:c r="AV298" s="154"/>
      <x:c r="AW298" s="152"/>
      <x:c r="AX298" s="154"/>
      <x:c r="AY298" s="154"/>
      <x:c r="AZ298" s="151"/>
      <x:c r="BA298" s="151"/>
    </x:row>
    <x:row r="299">
      <x:c r="A299" s="151" t="str">
        <x:f>IF(B299="","",TEXT(B299,"yyyymmdd")&amp;"-"&amp;TEXT(COUNTIF($B$5:B299,B299),"000"))</x:f>
      </x:c>
      <x:c r="B299" s="152"/>
      <x:c r="C299" s="153"/>
      <x:c r="D299" s="151" t="str">
        <x:f>IF(B299="","",'Configuracion'!$B$4)</x:f>
      </x:c>
      <x:c r="E299" s="154"/>
      <x:c r="F299" s="154"/>
      <x:c r="G299" s="151" t="str">
        <x:f>IFERROR(VLOOKUP(F299,'Base Sectores'!$A$5:$J$47,2,FALSE),"")</x:f>
      </x:c>
      <x:c r="H299" s="151" t="str">
        <x:f>IFERROR(VLOOKUP(F299,'Base Sectores'!$A$5:$J$47,3,FALSE),"")</x:f>
      </x:c>
      <x:c r="I299" s="151" t="str">
        <x:f>IFERROR(VLOOKUP(F299,'Base Sectores'!$A$5:$J$47,4,FALSE),"")</x:f>
      </x:c>
      <x:c r="J299" s="151" t="str">
        <x:f>IFERROR(VLOOKUP(F299,'Base Sectores'!$A$5:$J$47,5,FALSE),"")</x:f>
      </x:c>
      <x:c r="K299" s="151" t="str">
        <x:f>IFERROR(VLOOKUP(F299,'Base Sectores'!$A$5:$J$47,6,FALSE),"")</x:f>
      </x:c>
      <x:c r="L299" s="151" t="str">
        <x:f>IFERROR(VLOOKUP(F299,'Base Sectores'!$A$5:$J$47,7,FALSE),"")</x:f>
      </x:c>
      <x:c r="M299" s="151" t="str">
        <x:f>IFERROR(VLOOKUP(F299,'Base Sectores'!$A$5:$J$47,9,FALSE),"")</x:f>
      </x:c>
      <x:c r="N299" s="154"/>
      <x:c r="O299" s="151" t="str">
        <x:f>IFERROR(VLOOKUP(N299,'Configuracion'!$D$4:$H$15,2,FALSE),"")</x:f>
      </x:c>
      <x:c r="P299" s="151" t="str">
        <x:f>IFERROR(VLOOKUP(N299,'Configuracion'!$D$4:$H$15,3,FALSE),"")</x:f>
      </x:c>
      <x:c r="Q299" s="155"/>
      <x:c r="R299" s="156" t="str">
        <x:f>IFERROR(VLOOKUP(N299,'Configuracion'!$D$4:$H$15,4,FALSE),"")</x:f>
      </x:c>
      <x:c r="S299" s="153"/>
      <x:c r="T299" s="153"/>
      <x:c r="U299" s="156" t="str">
        <x:f>IF(OR(S299="",T299=""),"",MOD(T299-S299,1)*24)</x:f>
      </x:c>
      <x:c r="V299" s="154"/>
      <x:c r="W299" s="154"/>
      <x:c r="X299" s="151" t="str">
        <x:f>IFERROR(VLOOKUP(N299,'Configuracion'!$D$4:$H$15,5,FALSE),"")</x:f>
      </x:c>
      <x:c r="Y299" s="151" t="str">
        <x:f>IFERROR(VLOOKUP(V299,'Cuadrillas'!$A$5:$J$14,2,FALSE),"")</x:f>
      </x:c>
      <x:c r="Z299" s="154"/>
      <x:c r="AA299" s="154"/>
      <x:c r="AB299" s="154"/>
      <x:c r="AC299" s="153"/>
      <x:c r="AD299" s="153"/>
      <x:c r="AE299" s="156" t="str">
        <x:f>IF(OR(AC299="",AD299=""),"",MOD(AD299-AC299,1)*24)</x:f>
      </x:c>
      <x:c r="AF299" s="154"/>
      <x:c r="AG299" s="156" t="str">
        <x:f>IF(AE299="","",MAX(0,AE299-IF(AF299="",0,AF299/60)))</x:f>
      </x:c>
      <x:c r="AH299" s="155"/>
      <x:c r="AI299" s="154"/>
      <x:c r="AJ299" s="154"/>
      <x:c r="AK299" s="156" t="n">
        <x:f>IFERROR(U299*W299,"")</x:f>
        <x:v>0</x:v>
      </x:c>
      <x:c r="AL299" s="156" t="n">
        <x:f>IFERROR(AE299*AI299,"")</x:f>
        <x:v>0</x:v>
      </x:c>
      <x:c r="AM299" s="157" t="str">
        <x:f>IFERROR(AH299/Q299,"")</x:f>
      </x:c>
      <x:c r="AN299" s="156" t="str">
        <x:f>IFERROR(AH299/AG299,"")</x:f>
      </x:c>
      <x:c r="AO299" s="156" t="str">
        <x:f>IFERROR(AL299/AH299,"")</x:f>
      </x:c>
      <x:c r="AP299" s="157" t="str">
        <x:f>IFERROR(AG299/AE299,"")</x:f>
      </x:c>
      <x:c r="AQ299" s="157" t="str">
        <x:f>IFERROR(AN299/(R299/'Configuracion'!$B$13),"")</x:f>
      </x:c>
      <x:c r="AR299" s="156" t="n">
        <x:f>IFERROR(AE299-U299,"")</x:f>
        <x:v>0</x:v>
      </x:c>
      <x:c r="AS299" s="154"/>
      <x:c r="AT299" s="154"/>
      <x:c r="AU299" s="154"/>
      <x:c r="AV299" s="154"/>
      <x:c r="AW299" s="152"/>
      <x:c r="AX299" s="154"/>
      <x:c r="AY299" s="154"/>
      <x:c r="AZ299" s="151"/>
      <x:c r="BA299" s="151"/>
    </x:row>
    <x:row r="300">
      <x:c r="A300" s="151" t="str">
        <x:f>IF(B300="","",TEXT(B300,"yyyymmdd")&amp;"-"&amp;TEXT(COUNTIF($B$5:B300,B300),"000"))</x:f>
      </x:c>
      <x:c r="B300" s="152"/>
      <x:c r="C300" s="153"/>
      <x:c r="D300" s="151" t="str">
        <x:f>IF(B300="","",'Configuracion'!$B$4)</x:f>
      </x:c>
      <x:c r="E300" s="154"/>
      <x:c r="F300" s="154"/>
      <x:c r="G300" s="151" t="str">
        <x:f>IFERROR(VLOOKUP(F300,'Base Sectores'!$A$5:$J$47,2,FALSE),"")</x:f>
      </x:c>
      <x:c r="H300" s="151" t="str">
        <x:f>IFERROR(VLOOKUP(F300,'Base Sectores'!$A$5:$J$47,3,FALSE),"")</x:f>
      </x:c>
      <x:c r="I300" s="151" t="str">
        <x:f>IFERROR(VLOOKUP(F300,'Base Sectores'!$A$5:$J$47,4,FALSE),"")</x:f>
      </x:c>
      <x:c r="J300" s="151" t="str">
        <x:f>IFERROR(VLOOKUP(F300,'Base Sectores'!$A$5:$J$47,5,FALSE),"")</x:f>
      </x:c>
      <x:c r="K300" s="151" t="str">
        <x:f>IFERROR(VLOOKUP(F300,'Base Sectores'!$A$5:$J$47,6,FALSE),"")</x:f>
      </x:c>
      <x:c r="L300" s="151" t="str">
        <x:f>IFERROR(VLOOKUP(F300,'Base Sectores'!$A$5:$J$47,7,FALSE),"")</x:f>
      </x:c>
      <x:c r="M300" s="151" t="str">
        <x:f>IFERROR(VLOOKUP(F300,'Base Sectores'!$A$5:$J$47,9,FALSE),"")</x:f>
      </x:c>
      <x:c r="N300" s="154"/>
      <x:c r="O300" s="151" t="str">
        <x:f>IFERROR(VLOOKUP(N300,'Configuracion'!$D$4:$H$15,2,FALSE),"")</x:f>
      </x:c>
      <x:c r="P300" s="151" t="str">
        <x:f>IFERROR(VLOOKUP(N300,'Configuracion'!$D$4:$H$15,3,FALSE),"")</x:f>
      </x:c>
      <x:c r="Q300" s="155"/>
      <x:c r="R300" s="156" t="str">
        <x:f>IFERROR(VLOOKUP(N300,'Configuracion'!$D$4:$H$15,4,FALSE),"")</x:f>
      </x:c>
      <x:c r="S300" s="153"/>
      <x:c r="T300" s="153"/>
      <x:c r="U300" s="156" t="str">
        <x:f>IF(OR(S300="",T300=""),"",MOD(T300-S300,1)*24)</x:f>
      </x:c>
      <x:c r="V300" s="154"/>
      <x:c r="W300" s="154"/>
      <x:c r="X300" s="151" t="str">
        <x:f>IFERROR(VLOOKUP(N300,'Configuracion'!$D$4:$H$15,5,FALSE),"")</x:f>
      </x:c>
      <x:c r="Y300" s="151" t="str">
        <x:f>IFERROR(VLOOKUP(V300,'Cuadrillas'!$A$5:$J$14,2,FALSE),"")</x:f>
      </x:c>
      <x:c r="Z300" s="154"/>
      <x:c r="AA300" s="154"/>
      <x:c r="AB300" s="154"/>
      <x:c r="AC300" s="153"/>
      <x:c r="AD300" s="153"/>
      <x:c r="AE300" s="156" t="str">
        <x:f>IF(OR(AC300="",AD300=""),"",MOD(AD300-AC300,1)*24)</x:f>
      </x:c>
      <x:c r="AF300" s="154"/>
      <x:c r="AG300" s="156" t="str">
        <x:f>IF(AE300="","",MAX(0,AE300-IF(AF300="",0,AF300/60)))</x:f>
      </x:c>
      <x:c r="AH300" s="155"/>
      <x:c r="AI300" s="154"/>
      <x:c r="AJ300" s="154"/>
      <x:c r="AK300" s="156" t="n">
        <x:f>IFERROR(U300*W300,"")</x:f>
        <x:v>0</x:v>
      </x:c>
      <x:c r="AL300" s="156" t="n">
        <x:f>IFERROR(AE300*AI300,"")</x:f>
        <x:v>0</x:v>
      </x:c>
      <x:c r="AM300" s="157" t="str">
        <x:f>IFERROR(AH300/Q300,"")</x:f>
      </x:c>
      <x:c r="AN300" s="156" t="str">
        <x:f>IFERROR(AH300/AG300,"")</x:f>
      </x:c>
      <x:c r="AO300" s="156" t="str">
        <x:f>IFERROR(AL300/AH300,"")</x:f>
      </x:c>
      <x:c r="AP300" s="157" t="str">
        <x:f>IFERROR(AG300/AE300,"")</x:f>
      </x:c>
      <x:c r="AQ300" s="157" t="str">
        <x:f>IFERROR(AN300/(R300/'Configuracion'!$B$13),"")</x:f>
      </x:c>
      <x:c r="AR300" s="156" t="n">
        <x:f>IFERROR(AE300-U300,"")</x:f>
        <x:v>0</x:v>
      </x:c>
      <x:c r="AS300" s="154"/>
      <x:c r="AT300" s="154"/>
      <x:c r="AU300" s="154"/>
      <x:c r="AV300" s="154"/>
      <x:c r="AW300" s="152"/>
      <x:c r="AX300" s="154"/>
      <x:c r="AY300" s="154"/>
      <x:c r="AZ300" s="151"/>
      <x:c r="BA300" s="151"/>
    </x:row>
    <x:row r="301">
      <x:c r="A301" s="151" t="str">
        <x:f>IF(B301="","",TEXT(B301,"yyyymmdd")&amp;"-"&amp;TEXT(COUNTIF($B$5:B301,B301),"000"))</x:f>
      </x:c>
      <x:c r="B301" s="152"/>
      <x:c r="C301" s="153"/>
      <x:c r="D301" s="151" t="str">
        <x:f>IF(B301="","",'Configuracion'!$B$4)</x:f>
      </x:c>
      <x:c r="E301" s="154"/>
      <x:c r="F301" s="154"/>
      <x:c r="G301" s="151" t="str">
        <x:f>IFERROR(VLOOKUP(F301,'Base Sectores'!$A$5:$J$47,2,FALSE),"")</x:f>
      </x:c>
      <x:c r="H301" s="151" t="str">
        <x:f>IFERROR(VLOOKUP(F301,'Base Sectores'!$A$5:$J$47,3,FALSE),"")</x:f>
      </x:c>
      <x:c r="I301" s="151" t="str">
        <x:f>IFERROR(VLOOKUP(F301,'Base Sectores'!$A$5:$J$47,4,FALSE),"")</x:f>
      </x:c>
      <x:c r="J301" s="151" t="str">
        <x:f>IFERROR(VLOOKUP(F301,'Base Sectores'!$A$5:$J$47,5,FALSE),"")</x:f>
      </x:c>
      <x:c r="K301" s="151" t="str">
        <x:f>IFERROR(VLOOKUP(F301,'Base Sectores'!$A$5:$J$47,6,FALSE),"")</x:f>
      </x:c>
      <x:c r="L301" s="151" t="str">
        <x:f>IFERROR(VLOOKUP(F301,'Base Sectores'!$A$5:$J$47,7,FALSE),"")</x:f>
      </x:c>
      <x:c r="M301" s="151" t="str">
        <x:f>IFERROR(VLOOKUP(F301,'Base Sectores'!$A$5:$J$47,9,FALSE),"")</x:f>
      </x:c>
      <x:c r="N301" s="154"/>
      <x:c r="O301" s="151" t="str">
        <x:f>IFERROR(VLOOKUP(N301,'Configuracion'!$D$4:$H$15,2,FALSE),"")</x:f>
      </x:c>
      <x:c r="P301" s="151" t="str">
        <x:f>IFERROR(VLOOKUP(N301,'Configuracion'!$D$4:$H$15,3,FALSE),"")</x:f>
      </x:c>
      <x:c r="Q301" s="155"/>
      <x:c r="R301" s="156" t="str">
        <x:f>IFERROR(VLOOKUP(N301,'Configuracion'!$D$4:$H$15,4,FALSE),"")</x:f>
      </x:c>
      <x:c r="S301" s="153"/>
      <x:c r="T301" s="153"/>
      <x:c r="U301" s="156" t="str">
        <x:f>IF(OR(S301="",T301=""),"",MOD(T301-S301,1)*24)</x:f>
      </x:c>
      <x:c r="V301" s="154"/>
      <x:c r="W301" s="154"/>
      <x:c r="X301" s="151" t="str">
        <x:f>IFERROR(VLOOKUP(N301,'Configuracion'!$D$4:$H$15,5,FALSE),"")</x:f>
      </x:c>
      <x:c r="Y301" s="151" t="str">
        <x:f>IFERROR(VLOOKUP(V301,'Cuadrillas'!$A$5:$J$14,2,FALSE),"")</x:f>
      </x:c>
      <x:c r="Z301" s="154"/>
      <x:c r="AA301" s="154"/>
      <x:c r="AB301" s="154"/>
      <x:c r="AC301" s="153"/>
      <x:c r="AD301" s="153"/>
      <x:c r="AE301" s="156" t="str">
        <x:f>IF(OR(AC301="",AD301=""),"",MOD(AD301-AC301,1)*24)</x:f>
      </x:c>
      <x:c r="AF301" s="154"/>
      <x:c r="AG301" s="156" t="str">
        <x:f>IF(AE301="","",MAX(0,AE301-IF(AF301="",0,AF301/60)))</x:f>
      </x:c>
      <x:c r="AH301" s="155"/>
      <x:c r="AI301" s="154"/>
      <x:c r="AJ301" s="154"/>
      <x:c r="AK301" s="156" t="n">
        <x:f>IFERROR(U301*W301,"")</x:f>
        <x:v>0</x:v>
      </x:c>
      <x:c r="AL301" s="156" t="n">
        <x:f>IFERROR(AE301*AI301,"")</x:f>
        <x:v>0</x:v>
      </x:c>
      <x:c r="AM301" s="157" t="str">
        <x:f>IFERROR(AH301/Q301,"")</x:f>
      </x:c>
      <x:c r="AN301" s="156" t="str">
        <x:f>IFERROR(AH301/AG301,"")</x:f>
      </x:c>
      <x:c r="AO301" s="156" t="str">
        <x:f>IFERROR(AL301/AH301,"")</x:f>
      </x:c>
      <x:c r="AP301" s="157" t="str">
        <x:f>IFERROR(AG301/AE301,"")</x:f>
      </x:c>
      <x:c r="AQ301" s="157" t="str">
        <x:f>IFERROR(AN301/(R301/'Configuracion'!$B$13),"")</x:f>
      </x:c>
      <x:c r="AR301" s="156" t="n">
        <x:f>IFERROR(AE301-U301,"")</x:f>
        <x:v>0</x:v>
      </x:c>
      <x:c r="AS301" s="154"/>
      <x:c r="AT301" s="154"/>
      <x:c r="AU301" s="154"/>
      <x:c r="AV301" s="154"/>
      <x:c r="AW301" s="152"/>
      <x:c r="AX301" s="154"/>
      <x:c r="AY301" s="154"/>
      <x:c r="AZ301" s="151"/>
      <x:c r="BA301" s="151"/>
    </x:row>
    <x:row r="302">
      <x:c r="A302" s="151" t="str">
        <x:f>IF(B302="","",TEXT(B302,"yyyymmdd")&amp;"-"&amp;TEXT(COUNTIF($B$5:B302,B302),"000"))</x:f>
      </x:c>
      <x:c r="B302" s="152"/>
      <x:c r="C302" s="153"/>
      <x:c r="D302" s="151" t="str">
        <x:f>IF(B302="","",'Configuracion'!$B$4)</x:f>
      </x:c>
      <x:c r="E302" s="154"/>
      <x:c r="F302" s="154"/>
      <x:c r="G302" s="151" t="str">
        <x:f>IFERROR(VLOOKUP(F302,'Base Sectores'!$A$5:$J$47,2,FALSE),"")</x:f>
      </x:c>
      <x:c r="H302" s="151" t="str">
        <x:f>IFERROR(VLOOKUP(F302,'Base Sectores'!$A$5:$J$47,3,FALSE),"")</x:f>
      </x:c>
      <x:c r="I302" s="151" t="str">
        <x:f>IFERROR(VLOOKUP(F302,'Base Sectores'!$A$5:$J$47,4,FALSE),"")</x:f>
      </x:c>
      <x:c r="J302" s="151" t="str">
        <x:f>IFERROR(VLOOKUP(F302,'Base Sectores'!$A$5:$J$47,5,FALSE),"")</x:f>
      </x:c>
      <x:c r="K302" s="151" t="str">
        <x:f>IFERROR(VLOOKUP(F302,'Base Sectores'!$A$5:$J$47,6,FALSE),"")</x:f>
      </x:c>
      <x:c r="L302" s="151" t="str">
        <x:f>IFERROR(VLOOKUP(F302,'Base Sectores'!$A$5:$J$47,7,FALSE),"")</x:f>
      </x:c>
      <x:c r="M302" s="151" t="str">
        <x:f>IFERROR(VLOOKUP(F302,'Base Sectores'!$A$5:$J$47,9,FALSE),"")</x:f>
      </x:c>
      <x:c r="N302" s="154"/>
      <x:c r="O302" s="151" t="str">
        <x:f>IFERROR(VLOOKUP(N302,'Configuracion'!$D$4:$H$15,2,FALSE),"")</x:f>
      </x:c>
      <x:c r="P302" s="151" t="str">
        <x:f>IFERROR(VLOOKUP(N302,'Configuracion'!$D$4:$H$15,3,FALSE),"")</x:f>
      </x:c>
      <x:c r="Q302" s="155"/>
      <x:c r="R302" s="156" t="str">
        <x:f>IFERROR(VLOOKUP(N302,'Configuracion'!$D$4:$H$15,4,FALSE),"")</x:f>
      </x:c>
      <x:c r="S302" s="153"/>
      <x:c r="T302" s="153"/>
      <x:c r="U302" s="156" t="str">
        <x:f>IF(OR(S302="",T302=""),"",MOD(T302-S302,1)*24)</x:f>
      </x:c>
      <x:c r="V302" s="154"/>
      <x:c r="W302" s="154"/>
      <x:c r="X302" s="151" t="str">
        <x:f>IFERROR(VLOOKUP(N302,'Configuracion'!$D$4:$H$15,5,FALSE),"")</x:f>
      </x:c>
      <x:c r="Y302" s="151" t="str">
        <x:f>IFERROR(VLOOKUP(V302,'Cuadrillas'!$A$5:$J$14,2,FALSE),"")</x:f>
      </x:c>
      <x:c r="Z302" s="154"/>
      <x:c r="AA302" s="154"/>
      <x:c r="AB302" s="154"/>
      <x:c r="AC302" s="153"/>
      <x:c r="AD302" s="153"/>
      <x:c r="AE302" s="156" t="str">
        <x:f>IF(OR(AC302="",AD302=""),"",MOD(AD302-AC302,1)*24)</x:f>
      </x:c>
      <x:c r="AF302" s="154"/>
      <x:c r="AG302" s="156" t="str">
        <x:f>IF(AE302="","",MAX(0,AE302-IF(AF302="",0,AF302/60)))</x:f>
      </x:c>
      <x:c r="AH302" s="155"/>
      <x:c r="AI302" s="154"/>
      <x:c r="AJ302" s="154"/>
      <x:c r="AK302" s="156" t="n">
        <x:f>IFERROR(U302*W302,"")</x:f>
        <x:v>0</x:v>
      </x:c>
      <x:c r="AL302" s="156" t="n">
        <x:f>IFERROR(AE302*AI302,"")</x:f>
        <x:v>0</x:v>
      </x:c>
      <x:c r="AM302" s="157" t="str">
        <x:f>IFERROR(AH302/Q302,"")</x:f>
      </x:c>
      <x:c r="AN302" s="156" t="str">
        <x:f>IFERROR(AH302/AG302,"")</x:f>
      </x:c>
      <x:c r="AO302" s="156" t="str">
        <x:f>IFERROR(AL302/AH302,"")</x:f>
      </x:c>
      <x:c r="AP302" s="157" t="str">
        <x:f>IFERROR(AG302/AE302,"")</x:f>
      </x:c>
      <x:c r="AQ302" s="157" t="str">
        <x:f>IFERROR(AN302/(R302/'Configuracion'!$B$13),"")</x:f>
      </x:c>
      <x:c r="AR302" s="156" t="n">
        <x:f>IFERROR(AE302-U302,"")</x:f>
        <x:v>0</x:v>
      </x:c>
      <x:c r="AS302" s="154"/>
      <x:c r="AT302" s="154"/>
      <x:c r="AU302" s="154"/>
      <x:c r="AV302" s="154"/>
      <x:c r="AW302" s="152"/>
      <x:c r="AX302" s="154"/>
      <x:c r="AY302" s="154"/>
      <x:c r="AZ302" s="151"/>
      <x:c r="BA302" s="151"/>
    </x:row>
    <x:row r="303">
      <x:c r="A303" s="151" t="str">
        <x:f>IF(B303="","",TEXT(B303,"yyyymmdd")&amp;"-"&amp;TEXT(COUNTIF($B$5:B303,B303),"000"))</x:f>
      </x:c>
      <x:c r="B303" s="152"/>
      <x:c r="C303" s="153"/>
      <x:c r="D303" s="151" t="str">
        <x:f>IF(B303="","",'Configuracion'!$B$4)</x:f>
      </x:c>
      <x:c r="E303" s="154"/>
      <x:c r="F303" s="154"/>
      <x:c r="G303" s="151" t="str">
        <x:f>IFERROR(VLOOKUP(F303,'Base Sectores'!$A$5:$J$47,2,FALSE),"")</x:f>
      </x:c>
      <x:c r="H303" s="151" t="str">
        <x:f>IFERROR(VLOOKUP(F303,'Base Sectores'!$A$5:$J$47,3,FALSE),"")</x:f>
      </x:c>
      <x:c r="I303" s="151" t="str">
        <x:f>IFERROR(VLOOKUP(F303,'Base Sectores'!$A$5:$J$47,4,FALSE),"")</x:f>
      </x:c>
      <x:c r="J303" s="151" t="str">
        <x:f>IFERROR(VLOOKUP(F303,'Base Sectores'!$A$5:$J$47,5,FALSE),"")</x:f>
      </x:c>
      <x:c r="K303" s="151" t="str">
        <x:f>IFERROR(VLOOKUP(F303,'Base Sectores'!$A$5:$J$47,6,FALSE),"")</x:f>
      </x:c>
      <x:c r="L303" s="151" t="str">
        <x:f>IFERROR(VLOOKUP(F303,'Base Sectores'!$A$5:$J$47,7,FALSE),"")</x:f>
      </x:c>
      <x:c r="M303" s="151" t="str">
        <x:f>IFERROR(VLOOKUP(F303,'Base Sectores'!$A$5:$J$47,9,FALSE),"")</x:f>
      </x:c>
      <x:c r="N303" s="154"/>
      <x:c r="O303" s="151" t="str">
        <x:f>IFERROR(VLOOKUP(N303,'Configuracion'!$D$4:$H$15,2,FALSE),"")</x:f>
      </x:c>
      <x:c r="P303" s="151" t="str">
        <x:f>IFERROR(VLOOKUP(N303,'Configuracion'!$D$4:$H$15,3,FALSE),"")</x:f>
      </x:c>
      <x:c r="Q303" s="155"/>
      <x:c r="R303" s="156" t="str">
        <x:f>IFERROR(VLOOKUP(N303,'Configuracion'!$D$4:$H$15,4,FALSE),"")</x:f>
      </x:c>
      <x:c r="S303" s="153"/>
      <x:c r="T303" s="153"/>
      <x:c r="U303" s="156" t="str">
        <x:f>IF(OR(S303="",T303=""),"",MOD(T303-S303,1)*24)</x:f>
      </x:c>
      <x:c r="V303" s="154"/>
      <x:c r="W303" s="154"/>
      <x:c r="X303" s="151" t="str">
        <x:f>IFERROR(VLOOKUP(N303,'Configuracion'!$D$4:$H$15,5,FALSE),"")</x:f>
      </x:c>
      <x:c r="Y303" s="151" t="str">
        <x:f>IFERROR(VLOOKUP(V303,'Cuadrillas'!$A$5:$J$14,2,FALSE),"")</x:f>
      </x:c>
      <x:c r="Z303" s="154"/>
      <x:c r="AA303" s="154"/>
      <x:c r="AB303" s="154"/>
      <x:c r="AC303" s="153"/>
      <x:c r="AD303" s="153"/>
      <x:c r="AE303" s="156" t="str">
        <x:f>IF(OR(AC303="",AD303=""),"",MOD(AD303-AC303,1)*24)</x:f>
      </x:c>
      <x:c r="AF303" s="154"/>
      <x:c r="AG303" s="156" t="str">
        <x:f>IF(AE303="","",MAX(0,AE303-IF(AF303="",0,AF303/60)))</x:f>
      </x:c>
      <x:c r="AH303" s="155"/>
      <x:c r="AI303" s="154"/>
      <x:c r="AJ303" s="154"/>
      <x:c r="AK303" s="156" t="n">
        <x:f>IFERROR(U303*W303,"")</x:f>
        <x:v>0</x:v>
      </x:c>
      <x:c r="AL303" s="156" t="n">
        <x:f>IFERROR(AE303*AI303,"")</x:f>
        <x:v>0</x:v>
      </x:c>
      <x:c r="AM303" s="157" t="str">
        <x:f>IFERROR(AH303/Q303,"")</x:f>
      </x:c>
      <x:c r="AN303" s="156" t="str">
        <x:f>IFERROR(AH303/AG303,"")</x:f>
      </x:c>
      <x:c r="AO303" s="156" t="str">
        <x:f>IFERROR(AL303/AH303,"")</x:f>
      </x:c>
      <x:c r="AP303" s="157" t="str">
        <x:f>IFERROR(AG303/AE303,"")</x:f>
      </x:c>
      <x:c r="AQ303" s="157" t="str">
        <x:f>IFERROR(AN303/(R303/'Configuracion'!$B$13),"")</x:f>
      </x:c>
      <x:c r="AR303" s="156" t="n">
        <x:f>IFERROR(AE303-U303,"")</x:f>
        <x:v>0</x:v>
      </x:c>
      <x:c r="AS303" s="154"/>
      <x:c r="AT303" s="154"/>
      <x:c r="AU303" s="154"/>
      <x:c r="AV303" s="154"/>
      <x:c r="AW303" s="152"/>
      <x:c r="AX303" s="154"/>
      <x:c r="AY303" s="154"/>
      <x:c r="AZ303" s="151"/>
      <x:c r="BA303" s="151"/>
    </x:row>
    <x:row r="304">
      <x:c r="A304" s="151" t="str">
        <x:f>IF(B304="","",TEXT(B304,"yyyymmdd")&amp;"-"&amp;TEXT(COUNTIF($B$5:B304,B304),"000"))</x:f>
      </x:c>
      <x:c r="B304" s="152"/>
      <x:c r="C304" s="153"/>
      <x:c r="D304" s="151" t="str">
        <x:f>IF(B304="","",'Configuracion'!$B$4)</x:f>
      </x:c>
      <x:c r="E304" s="154"/>
      <x:c r="F304" s="154"/>
      <x:c r="G304" s="151" t="str">
        <x:f>IFERROR(VLOOKUP(F304,'Base Sectores'!$A$5:$J$47,2,FALSE),"")</x:f>
      </x:c>
      <x:c r="H304" s="151" t="str">
        <x:f>IFERROR(VLOOKUP(F304,'Base Sectores'!$A$5:$J$47,3,FALSE),"")</x:f>
      </x:c>
      <x:c r="I304" s="151" t="str">
        <x:f>IFERROR(VLOOKUP(F304,'Base Sectores'!$A$5:$J$47,4,FALSE),"")</x:f>
      </x:c>
      <x:c r="J304" s="151" t="str">
        <x:f>IFERROR(VLOOKUP(F304,'Base Sectores'!$A$5:$J$47,5,FALSE),"")</x:f>
      </x:c>
      <x:c r="K304" s="151" t="str">
        <x:f>IFERROR(VLOOKUP(F304,'Base Sectores'!$A$5:$J$47,6,FALSE),"")</x:f>
      </x:c>
      <x:c r="L304" s="151" t="str">
        <x:f>IFERROR(VLOOKUP(F304,'Base Sectores'!$A$5:$J$47,7,FALSE),"")</x:f>
      </x:c>
      <x:c r="M304" s="151" t="str">
        <x:f>IFERROR(VLOOKUP(F304,'Base Sectores'!$A$5:$J$47,9,FALSE),"")</x:f>
      </x:c>
      <x:c r="N304" s="154"/>
      <x:c r="O304" s="151" t="str">
        <x:f>IFERROR(VLOOKUP(N304,'Configuracion'!$D$4:$H$15,2,FALSE),"")</x:f>
      </x:c>
      <x:c r="P304" s="151" t="str">
        <x:f>IFERROR(VLOOKUP(N304,'Configuracion'!$D$4:$H$15,3,FALSE),"")</x:f>
      </x:c>
      <x:c r="Q304" s="155"/>
      <x:c r="R304" s="156" t="str">
        <x:f>IFERROR(VLOOKUP(N304,'Configuracion'!$D$4:$H$15,4,FALSE),"")</x:f>
      </x:c>
      <x:c r="S304" s="153"/>
      <x:c r="T304" s="153"/>
      <x:c r="U304" s="156" t="str">
        <x:f>IF(OR(S304="",T304=""),"",MOD(T304-S304,1)*24)</x:f>
      </x:c>
      <x:c r="V304" s="154"/>
      <x:c r="W304" s="154"/>
      <x:c r="X304" s="151" t="str">
        <x:f>IFERROR(VLOOKUP(N304,'Configuracion'!$D$4:$H$15,5,FALSE),"")</x:f>
      </x:c>
      <x:c r="Y304" s="151" t="str">
        <x:f>IFERROR(VLOOKUP(V304,'Cuadrillas'!$A$5:$J$14,2,FALSE),"")</x:f>
      </x:c>
      <x:c r="Z304" s="154"/>
      <x:c r="AA304" s="154"/>
      <x:c r="AB304" s="154"/>
      <x:c r="AC304" s="153"/>
      <x:c r="AD304" s="153"/>
      <x:c r="AE304" s="156" t="str">
        <x:f>IF(OR(AC304="",AD304=""),"",MOD(AD304-AC304,1)*24)</x:f>
      </x:c>
      <x:c r="AF304" s="154"/>
      <x:c r="AG304" s="156" t="str">
        <x:f>IF(AE304="","",MAX(0,AE304-IF(AF304="",0,AF304/60)))</x:f>
      </x:c>
      <x:c r="AH304" s="155"/>
      <x:c r="AI304" s="154"/>
      <x:c r="AJ304" s="154"/>
      <x:c r="AK304" s="156" t="n">
        <x:f>IFERROR(U304*W304,"")</x:f>
        <x:v>0</x:v>
      </x:c>
      <x:c r="AL304" s="156" t="n">
        <x:f>IFERROR(AE304*AI304,"")</x:f>
        <x:v>0</x:v>
      </x:c>
      <x:c r="AM304" s="157" t="str">
        <x:f>IFERROR(AH304/Q304,"")</x:f>
      </x:c>
      <x:c r="AN304" s="156" t="str">
        <x:f>IFERROR(AH304/AG304,"")</x:f>
      </x:c>
      <x:c r="AO304" s="156" t="str">
        <x:f>IFERROR(AL304/AH304,"")</x:f>
      </x:c>
      <x:c r="AP304" s="157" t="str">
        <x:f>IFERROR(AG304/AE304,"")</x:f>
      </x:c>
      <x:c r="AQ304" s="157" t="str">
        <x:f>IFERROR(AN304/(R304/'Configuracion'!$B$13),"")</x:f>
      </x:c>
      <x:c r="AR304" s="156" t="n">
        <x:f>IFERROR(AE304-U304,"")</x:f>
        <x:v>0</x:v>
      </x:c>
      <x:c r="AS304" s="154"/>
      <x:c r="AT304" s="154"/>
      <x:c r="AU304" s="154"/>
      <x:c r="AV304" s="154"/>
      <x:c r="AW304" s="152"/>
      <x:c r="AX304" s="154"/>
      <x:c r="AY304" s="154"/>
      <x:c r="AZ304" s="151"/>
      <x:c r="BA304" s="151"/>
    </x:row>
    <x:row r="305">
      <x:c r="A305" s="151" t="str">
        <x:f>IF(B305="","",TEXT(B305,"yyyymmdd")&amp;"-"&amp;TEXT(COUNTIF($B$5:B305,B305),"000"))</x:f>
      </x:c>
      <x:c r="B305" s="152"/>
      <x:c r="C305" s="153"/>
      <x:c r="D305" s="151" t="str">
        <x:f>IF(B305="","",'Configuracion'!$B$4)</x:f>
      </x:c>
      <x:c r="E305" s="154"/>
      <x:c r="F305" s="154"/>
      <x:c r="G305" s="151" t="str">
        <x:f>IFERROR(VLOOKUP(F305,'Base Sectores'!$A$5:$J$47,2,FALSE),"")</x:f>
      </x:c>
      <x:c r="H305" s="151" t="str">
        <x:f>IFERROR(VLOOKUP(F305,'Base Sectores'!$A$5:$J$47,3,FALSE),"")</x:f>
      </x:c>
      <x:c r="I305" s="151" t="str">
        <x:f>IFERROR(VLOOKUP(F305,'Base Sectores'!$A$5:$J$47,4,FALSE),"")</x:f>
      </x:c>
      <x:c r="J305" s="151" t="str">
        <x:f>IFERROR(VLOOKUP(F305,'Base Sectores'!$A$5:$J$47,5,FALSE),"")</x:f>
      </x:c>
      <x:c r="K305" s="151" t="str">
        <x:f>IFERROR(VLOOKUP(F305,'Base Sectores'!$A$5:$J$47,6,FALSE),"")</x:f>
      </x:c>
      <x:c r="L305" s="151" t="str">
        <x:f>IFERROR(VLOOKUP(F305,'Base Sectores'!$A$5:$J$47,7,FALSE),"")</x:f>
      </x:c>
      <x:c r="M305" s="151" t="str">
        <x:f>IFERROR(VLOOKUP(F305,'Base Sectores'!$A$5:$J$47,9,FALSE),"")</x:f>
      </x:c>
      <x:c r="N305" s="154"/>
      <x:c r="O305" s="151" t="str">
        <x:f>IFERROR(VLOOKUP(N305,'Configuracion'!$D$4:$H$15,2,FALSE),"")</x:f>
      </x:c>
      <x:c r="P305" s="151" t="str">
        <x:f>IFERROR(VLOOKUP(N305,'Configuracion'!$D$4:$H$15,3,FALSE),"")</x:f>
      </x:c>
      <x:c r="Q305" s="155"/>
      <x:c r="R305" s="156" t="str">
        <x:f>IFERROR(VLOOKUP(N305,'Configuracion'!$D$4:$H$15,4,FALSE),"")</x:f>
      </x:c>
      <x:c r="S305" s="153"/>
      <x:c r="T305" s="153"/>
      <x:c r="U305" s="156" t="str">
        <x:f>IF(OR(S305="",T305=""),"",MOD(T305-S305,1)*24)</x:f>
      </x:c>
      <x:c r="V305" s="154"/>
      <x:c r="W305" s="154"/>
      <x:c r="X305" s="151" t="str">
        <x:f>IFERROR(VLOOKUP(N305,'Configuracion'!$D$4:$H$15,5,FALSE),"")</x:f>
      </x:c>
      <x:c r="Y305" s="151" t="str">
        <x:f>IFERROR(VLOOKUP(V305,'Cuadrillas'!$A$5:$J$14,2,FALSE),"")</x:f>
      </x:c>
      <x:c r="Z305" s="154"/>
      <x:c r="AA305" s="154"/>
      <x:c r="AB305" s="154"/>
      <x:c r="AC305" s="153"/>
      <x:c r="AD305" s="153"/>
      <x:c r="AE305" s="156" t="str">
        <x:f>IF(OR(AC305="",AD305=""),"",MOD(AD305-AC305,1)*24)</x:f>
      </x:c>
      <x:c r="AF305" s="154"/>
      <x:c r="AG305" s="156" t="str">
        <x:f>IF(AE305="","",MAX(0,AE305-IF(AF305="",0,AF305/60)))</x:f>
      </x:c>
      <x:c r="AH305" s="155"/>
      <x:c r="AI305" s="154"/>
      <x:c r="AJ305" s="154"/>
      <x:c r="AK305" s="156" t="n">
        <x:f>IFERROR(U305*W305,"")</x:f>
        <x:v>0</x:v>
      </x:c>
      <x:c r="AL305" s="156" t="n">
        <x:f>IFERROR(AE305*AI305,"")</x:f>
        <x:v>0</x:v>
      </x:c>
      <x:c r="AM305" s="157" t="str">
        <x:f>IFERROR(AH305/Q305,"")</x:f>
      </x:c>
      <x:c r="AN305" s="156" t="str">
        <x:f>IFERROR(AH305/AG305,"")</x:f>
      </x:c>
      <x:c r="AO305" s="156" t="str">
        <x:f>IFERROR(AL305/AH305,"")</x:f>
      </x:c>
      <x:c r="AP305" s="157" t="str">
        <x:f>IFERROR(AG305/AE305,"")</x:f>
      </x:c>
      <x:c r="AQ305" s="157" t="str">
        <x:f>IFERROR(AN305/(R305/'Configuracion'!$B$13),"")</x:f>
      </x:c>
      <x:c r="AR305" s="156" t="n">
        <x:f>IFERROR(AE305-U305,"")</x:f>
        <x:v>0</x:v>
      </x:c>
      <x:c r="AS305" s="154"/>
      <x:c r="AT305" s="154"/>
      <x:c r="AU305" s="154"/>
      <x:c r="AV305" s="154"/>
      <x:c r="AW305" s="152"/>
      <x:c r="AX305" s="154"/>
      <x:c r="AY305" s="154"/>
      <x:c r="AZ305" s="151"/>
      <x:c r="BA305" s="151"/>
    </x:row>
    <x:row r="306">
      <x:c r="A306" s="151" t="str">
        <x:f>IF(B306="","",TEXT(B306,"yyyymmdd")&amp;"-"&amp;TEXT(COUNTIF($B$5:B306,B306),"000"))</x:f>
      </x:c>
      <x:c r="B306" s="152"/>
      <x:c r="C306" s="153"/>
      <x:c r="D306" s="151" t="str">
        <x:f>IF(B306="","",'Configuracion'!$B$4)</x:f>
      </x:c>
      <x:c r="E306" s="154"/>
      <x:c r="F306" s="154"/>
      <x:c r="G306" s="151" t="str">
        <x:f>IFERROR(VLOOKUP(F306,'Base Sectores'!$A$5:$J$47,2,FALSE),"")</x:f>
      </x:c>
      <x:c r="H306" s="151" t="str">
        <x:f>IFERROR(VLOOKUP(F306,'Base Sectores'!$A$5:$J$47,3,FALSE),"")</x:f>
      </x:c>
      <x:c r="I306" s="151" t="str">
        <x:f>IFERROR(VLOOKUP(F306,'Base Sectores'!$A$5:$J$47,4,FALSE),"")</x:f>
      </x:c>
      <x:c r="J306" s="151" t="str">
        <x:f>IFERROR(VLOOKUP(F306,'Base Sectores'!$A$5:$J$47,5,FALSE),"")</x:f>
      </x:c>
      <x:c r="K306" s="151" t="str">
        <x:f>IFERROR(VLOOKUP(F306,'Base Sectores'!$A$5:$J$47,6,FALSE),"")</x:f>
      </x:c>
      <x:c r="L306" s="151" t="str">
        <x:f>IFERROR(VLOOKUP(F306,'Base Sectores'!$A$5:$J$47,7,FALSE),"")</x:f>
      </x:c>
      <x:c r="M306" s="151" t="str">
        <x:f>IFERROR(VLOOKUP(F306,'Base Sectores'!$A$5:$J$47,9,FALSE),"")</x:f>
      </x:c>
      <x:c r="N306" s="154"/>
      <x:c r="O306" s="151" t="str">
        <x:f>IFERROR(VLOOKUP(N306,'Configuracion'!$D$4:$H$15,2,FALSE),"")</x:f>
      </x:c>
      <x:c r="P306" s="151" t="str">
        <x:f>IFERROR(VLOOKUP(N306,'Configuracion'!$D$4:$H$15,3,FALSE),"")</x:f>
      </x:c>
      <x:c r="Q306" s="155"/>
      <x:c r="R306" s="156" t="str">
        <x:f>IFERROR(VLOOKUP(N306,'Configuracion'!$D$4:$H$15,4,FALSE),"")</x:f>
      </x:c>
      <x:c r="S306" s="153"/>
      <x:c r="T306" s="153"/>
      <x:c r="U306" s="156" t="str">
        <x:f>IF(OR(S306="",T306=""),"",MOD(T306-S306,1)*24)</x:f>
      </x:c>
      <x:c r="V306" s="154"/>
      <x:c r="W306" s="154"/>
      <x:c r="X306" s="151" t="str">
        <x:f>IFERROR(VLOOKUP(N306,'Configuracion'!$D$4:$H$15,5,FALSE),"")</x:f>
      </x:c>
      <x:c r="Y306" s="151" t="str">
        <x:f>IFERROR(VLOOKUP(V306,'Cuadrillas'!$A$5:$J$14,2,FALSE),"")</x:f>
      </x:c>
      <x:c r="Z306" s="154"/>
      <x:c r="AA306" s="154"/>
      <x:c r="AB306" s="154"/>
      <x:c r="AC306" s="153"/>
      <x:c r="AD306" s="153"/>
      <x:c r="AE306" s="156" t="str">
        <x:f>IF(OR(AC306="",AD306=""),"",MOD(AD306-AC306,1)*24)</x:f>
      </x:c>
      <x:c r="AF306" s="154"/>
      <x:c r="AG306" s="156" t="str">
        <x:f>IF(AE306="","",MAX(0,AE306-IF(AF306="",0,AF306/60)))</x:f>
      </x:c>
      <x:c r="AH306" s="155"/>
      <x:c r="AI306" s="154"/>
      <x:c r="AJ306" s="154"/>
      <x:c r="AK306" s="156" t="n">
        <x:f>IFERROR(U306*W306,"")</x:f>
        <x:v>0</x:v>
      </x:c>
      <x:c r="AL306" s="156" t="n">
        <x:f>IFERROR(AE306*AI306,"")</x:f>
        <x:v>0</x:v>
      </x:c>
      <x:c r="AM306" s="157" t="str">
        <x:f>IFERROR(AH306/Q306,"")</x:f>
      </x:c>
      <x:c r="AN306" s="156" t="str">
        <x:f>IFERROR(AH306/AG306,"")</x:f>
      </x:c>
      <x:c r="AO306" s="156" t="str">
        <x:f>IFERROR(AL306/AH306,"")</x:f>
      </x:c>
      <x:c r="AP306" s="157" t="str">
        <x:f>IFERROR(AG306/AE306,"")</x:f>
      </x:c>
      <x:c r="AQ306" s="157" t="str">
        <x:f>IFERROR(AN306/(R306/'Configuracion'!$B$13),"")</x:f>
      </x:c>
      <x:c r="AR306" s="156" t="n">
        <x:f>IFERROR(AE306-U306,"")</x:f>
        <x:v>0</x:v>
      </x:c>
      <x:c r="AS306" s="154"/>
      <x:c r="AT306" s="154"/>
      <x:c r="AU306" s="154"/>
      <x:c r="AV306" s="154"/>
      <x:c r="AW306" s="152"/>
      <x:c r="AX306" s="154"/>
      <x:c r="AY306" s="154"/>
      <x:c r="AZ306" s="151"/>
      <x:c r="BA306" s="151"/>
    </x:row>
    <x:row r="307">
      <x:c r="A307" s="151" t="str">
        <x:f>IF(B307="","",TEXT(B307,"yyyymmdd")&amp;"-"&amp;TEXT(COUNTIF($B$5:B307,B307),"000"))</x:f>
      </x:c>
      <x:c r="B307" s="152"/>
      <x:c r="C307" s="153"/>
      <x:c r="D307" s="151" t="str">
        <x:f>IF(B307="","",'Configuracion'!$B$4)</x:f>
      </x:c>
      <x:c r="E307" s="154"/>
      <x:c r="F307" s="154"/>
      <x:c r="G307" s="151" t="str">
        <x:f>IFERROR(VLOOKUP(F307,'Base Sectores'!$A$5:$J$47,2,FALSE),"")</x:f>
      </x:c>
      <x:c r="H307" s="151" t="str">
        <x:f>IFERROR(VLOOKUP(F307,'Base Sectores'!$A$5:$J$47,3,FALSE),"")</x:f>
      </x:c>
      <x:c r="I307" s="151" t="str">
        <x:f>IFERROR(VLOOKUP(F307,'Base Sectores'!$A$5:$J$47,4,FALSE),"")</x:f>
      </x:c>
      <x:c r="J307" s="151" t="str">
        <x:f>IFERROR(VLOOKUP(F307,'Base Sectores'!$A$5:$J$47,5,FALSE),"")</x:f>
      </x:c>
      <x:c r="K307" s="151" t="str">
        <x:f>IFERROR(VLOOKUP(F307,'Base Sectores'!$A$5:$J$47,6,FALSE),"")</x:f>
      </x:c>
      <x:c r="L307" s="151" t="str">
        <x:f>IFERROR(VLOOKUP(F307,'Base Sectores'!$A$5:$J$47,7,FALSE),"")</x:f>
      </x:c>
      <x:c r="M307" s="151" t="str">
        <x:f>IFERROR(VLOOKUP(F307,'Base Sectores'!$A$5:$J$47,9,FALSE),"")</x:f>
      </x:c>
      <x:c r="N307" s="154"/>
      <x:c r="O307" s="151" t="str">
        <x:f>IFERROR(VLOOKUP(N307,'Configuracion'!$D$4:$H$15,2,FALSE),"")</x:f>
      </x:c>
      <x:c r="P307" s="151" t="str">
        <x:f>IFERROR(VLOOKUP(N307,'Configuracion'!$D$4:$H$15,3,FALSE),"")</x:f>
      </x:c>
      <x:c r="Q307" s="155"/>
      <x:c r="R307" s="156" t="str">
        <x:f>IFERROR(VLOOKUP(N307,'Configuracion'!$D$4:$H$15,4,FALSE),"")</x:f>
      </x:c>
      <x:c r="S307" s="153"/>
      <x:c r="T307" s="153"/>
      <x:c r="U307" s="156" t="str">
        <x:f>IF(OR(S307="",T307=""),"",MOD(T307-S307,1)*24)</x:f>
      </x:c>
      <x:c r="V307" s="154"/>
      <x:c r="W307" s="154"/>
      <x:c r="X307" s="151" t="str">
        <x:f>IFERROR(VLOOKUP(N307,'Configuracion'!$D$4:$H$15,5,FALSE),"")</x:f>
      </x:c>
      <x:c r="Y307" s="151" t="str">
        <x:f>IFERROR(VLOOKUP(V307,'Cuadrillas'!$A$5:$J$14,2,FALSE),"")</x:f>
      </x:c>
      <x:c r="Z307" s="154"/>
      <x:c r="AA307" s="154"/>
      <x:c r="AB307" s="154"/>
      <x:c r="AC307" s="153"/>
      <x:c r="AD307" s="153"/>
      <x:c r="AE307" s="156" t="str">
        <x:f>IF(OR(AC307="",AD307=""),"",MOD(AD307-AC307,1)*24)</x:f>
      </x:c>
      <x:c r="AF307" s="154"/>
      <x:c r="AG307" s="156" t="str">
        <x:f>IF(AE307="","",MAX(0,AE307-IF(AF307="",0,AF307/60)))</x:f>
      </x:c>
      <x:c r="AH307" s="155"/>
      <x:c r="AI307" s="154"/>
      <x:c r="AJ307" s="154"/>
      <x:c r="AK307" s="156" t="n">
        <x:f>IFERROR(U307*W307,"")</x:f>
        <x:v>0</x:v>
      </x:c>
      <x:c r="AL307" s="156" t="n">
        <x:f>IFERROR(AE307*AI307,"")</x:f>
        <x:v>0</x:v>
      </x:c>
      <x:c r="AM307" s="157" t="str">
        <x:f>IFERROR(AH307/Q307,"")</x:f>
      </x:c>
      <x:c r="AN307" s="156" t="str">
        <x:f>IFERROR(AH307/AG307,"")</x:f>
      </x:c>
      <x:c r="AO307" s="156" t="str">
        <x:f>IFERROR(AL307/AH307,"")</x:f>
      </x:c>
      <x:c r="AP307" s="157" t="str">
        <x:f>IFERROR(AG307/AE307,"")</x:f>
      </x:c>
      <x:c r="AQ307" s="157" t="str">
        <x:f>IFERROR(AN307/(R307/'Configuracion'!$B$13),"")</x:f>
      </x:c>
      <x:c r="AR307" s="156" t="n">
        <x:f>IFERROR(AE307-U307,"")</x:f>
        <x:v>0</x:v>
      </x:c>
      <x:c r="AS307" s="154"/>
      <x:c r="AT307" s="154"/>
      <x:c r="AU307" s="154"/>
      <x:c r="AV307" s="154"/>
      <x:c r="AW307" s="152"/>
      <x:c r="AX307" s="154"/>
      <x:c r="AY307" s="154"/>
      <x:c r="AZ307" s="151"/>
      <x:c r="BA307" s="151"/>
    </x:row>
    <x:row r="308">
      <x:c r="A308" s="151" t="str">
        <x:f>IF(B308="","",TEXT(B308,"yyyymmdd")&amp;"-"&amp;TEXT(COUNTIF($B$5:B308,B308),"000"))</x:f>
      </x:c>
      <x:c r="B308" s="152"/>
      <x:c r="C308" s="153"/>
      <x:c r="D308" s="151" t="str">
        <x:f>IF(B308="","",'Configuracion'!$B$4)</x:f>
      </x:c>
      <x:c r="E308" s="154"/>
      <x:c r="F308" s="154"/>
      <x:c r="G308" s="151" t="str">
        <x:f>IFERROR(VLOOKUP(F308,'Base Sectores'!$A$5:$J$47,2,FALSE),"")</x:f>
      </x:c>
      <x:c r="H308" s="151" t="str">
        <x:f>IFERROR(VLOOKUP(F308,'Base Sectores'!$A$5:$J$47,3,FALSE),"")</x:f>
      </x:c>
      <x:c r="I308" s="151" t="str">
        <x:f>IFERROR(VLOOKUP(F308,'Base Sectores'!$A$5:$J$47,4,FALSE),"")</x:f>
      </x:c>
      <x:c r="J308" s="151" t="str">
        <x:f>IFERROR(VLOOKUP(F308,'Base Sectores'!$A$5:$J$47,5,FALSE),"")</x:f>
      </x:c>
      <x:c r="K308" s="151" t="str">
        <x:f>IFERROR(VLOOKUP(F308,'Base Sectores'!$A$5:$J$47,6,FALSE),"")</x:f>
      </x:c>
      <x:c r="L308" s="151" t="str">
        <x:f>IFERROR(VLOOKUP(F308,'Base Sectores'!$A$5:$J$47,7,FALSE),"")</x:f>
      </x:c>
      <x:c r="M308" s="151" t="str">
        <x:f>IFERROR(VLOOKUP(F308,'Base Sectores'!$A$5:$J$47,9,FALSE),"")</x:f>
      </x:c>
      <x:c r="N308" s="154"/>
      <x:c r="O308" s="151" t="str">
        <x:f>IFERROR(VLOOKUP(N308,'Configuracion'!$D$4:$H$15,2,FALSE),"")</x:f>
      </x:c>
      <x:c r="P308" s="151" t="str">
        <x:f>IFERROR(VLOOKUP(N308,'Configuracion'!$D$4:$H$15,3,FALSE),"")</x:f>
      </x:c>
      <x:c r="Q308" s="155"/>
      <x:c r="R308" s="156" t="str">
        <x:f>IFERROR(VLOOKUP(N308,'Configuracion'!$D$4:$H$15,4,FALSE),"")</x:f>
      </x:c>
      <x:c r="S308" s="153"/>
      <x:c r="T308" s="153"/>
      <x:c r="U308" s="156" t="str">
        <x:f>IF(OR(S308="",T308=""),"",MOD(T308-S308,1)*24)</x:f>
      </x:c>
      <x:c r="V308" s="154"/>
      <x:c r="W308" s="154"/>
      <x:c r="X308" s="151" t="str">
        <x:f>IFERROR(VLOOKUP(N308,'Configuracion'!$D$4:$H$15,5,FALSE),"")</x:f>
      </x:c>
      <x:c r="Y308" s="151" t="str">
        <x:f>IFERROR(VLOOKUP(V308,'Cuadrillas'!$A$5:$J$14,2,FALSE),"")</x:f>
      </x:c>
      <x:c r="Z308" s="154"/>
      <x:c r="AA308" s="154"/>
      <x:c r="AB308" s="154"/>
      <x:c r="AC308" s="153"/>
      <x:c r="AD308" s="153"/>
      <x:c r="AE308" s="156" t="str">
        <x:f>IF(OR(AC308="",AD308=""),"",MOD(AD308-AC308,1)*24)</x:f>
      </x:c>
      <x:c r="AF308" s="154"/>
      <x:c r="AG308" s="156" t="str">
        <x:f>IF(AE308="","",MAX(0,AE308-IF(AF308="",0,AF308/60)))</x:f>
      </x:c>
      <x:c r="AH308" s="155"/>
      <x:c r="AI308" s="154"/>
      <x:c r="AJ308" s="154"/>
      <x:c r="AK308" s="156" t="n">
        <x:f>IFERROR(U308*W308,"")</x:f>
        <x:v>0</x:v>
      </x:c>
      <x:c r="AL308" s="156" t="n">
        <x:f>IFERROR(AE308*AI308,"")</x:f>
        <x:v>0</x:v>
      </x:c>
      <x:c r="AM308" s="157" t="str">
        <x:f>IFERROR(AH308/Q308,"")</x:f>
      </x:c>
      <x:c r="AN308" s="156" t="str">
        <x:f>IFERROR(AH308/AG308,"")</x:f>
      </x:c>
      <x:c r="AO308" s="156" t="str">
        <x:f>IFERROR(AL308/AH308,"")</x:f>
      </x:c>
      <x:c r="AP308" s="157" t="str">
        <x:f>IFERROR(AG308/AE308,"")</x:f>
      </x:c>
      <x:c r="AQ308" s="157" t="str">
        <x:f>IFERROR(AN308/(R308/'Configuracion'!$B$13),"")</x:f>
      </x:c>
      <x:c r="AR308" s="156" t="n">
        <x:f>IFERROR(AE308-U308,"")</x:f>
        <x:v>0</x:v>
      </x:c>
      <x:c r="AS308" s="154"/>
      <x:c r="AT308" s="154"/>
      <x:c r="AU308" s="154"/>
      <x:c r="AV308" s="154"/>
      <x:c r="AW308" s="152"/>
      <x:c r="AX308" s="154"/>
      <x:c r="AY308" s="154"/>
      <x:c r="AZ308" s="151"/>
      <x:c r="BA308" s="151"/>
    </x:row>
    <x:row r="309">
      <x:c r="A309" s="151" t="str">
        <x:f>IF(B309="","",TEXT(B309,"yyyymmdd")&amp;"-"&amp;TEXT(COUNTIF($B$5:B309,B309),"000"))</x:f>
      </x:c>
      <x:c r="B309" s="152"/>
      <x:c r="C309" s="153"/>
      <x:c r="D309" s="151" t="str">
        <x:f>IF(B309="","",'Configuracion'!$B$4)</x:f>
      </x:c>
      <x:c r="E309" s="154"/>
      <x:c r="F309" s="154"/>
      <x:c r="G309" s="151" t="str">
        <x:f>IFERROR(VLOOKUP(F309,'Base Sectores'!$A$5:$J$47,2,FALSE),"")</x:f>
      </x:c>
      <x:c r="H309" s="151" t="str">
        <x:f>IFERROR(VLOOKUP(F309,'Base Sectores'!$A$5:$J$47,3,FALSE),"")</x:f>
      </x:c>
      <x:c r="I309" s="151" t="str">
        <x:f>IFERROR(VLOOKUP(F309,'Base Sectores'!$A$5:$J$47,4,FALSE),"")</x:f>
      </x:c>
      <x:c r="J309" s="151" t="str">
        <x:f>IFERROR(VLOOKUP(F309,'Base Sectores'!$A$5:$J$47,5,FALSE),"")</x:f>
      </x:c>
      <x:c r="K309" s="151" t="str">
        <x:f>IFERROR(VLOOKUP(F309,'Base Sectores'!$A$5:$J$47,6,FALSE),"")</x:f>
      </x:c>
      <x:c r="L309" s="151" t="str">
        <x:f>IFERROR(VLOOKUP(F309,'Base Sectores'!$A$5:$J$47,7,FALSE),"")</x:f>
      </x:c>
      <x:c r="M309" s="151" t="str">
        <x:f>IFERROR(VLOOKUP(F309,'Base Sectores'!$A$5:$J$47,9,FALSE),"")</x:f>
      </x:c>
      <x:c r="N309" s="154"/>
      <x:c r="O309" s="151" t="str">
        <x:f>IFERROR(VLOOKUP(N309,'Configuracion'!$D$4:$H$15,2,FALSE),"")</x:f>
      </x:c>
      <x:c r="P309" s="151" t="str">
        <x:f>IFERROR(VLOOKUP(N309,'Configuracion'!$D$4:$H$15,3,FALSE),"")</x:f>
      </x:c>
      <x:c r="Q309" s="155"/>
      <x:c r="R309" s="156" t="str">
        <x:f>IFERROR(VLOOKUP(N309,'Configuracion'!$D$4:$H$15,4,FALSE),"")</x:f>
      </x:c>
      <x:c r="S309" s="153"/>
      <x:c r="T309" s="153"/>
      <x:c r="U309" s="156" t="str">
        <x:f>IF(OR(S309="",T309=""),"",MOD(T309-S309,1)*24)</x:f>
      </x:c>
      <x:c r="V309" s="154"/>
      <x:c r="W309" s="154"/>
      <x:c r="X309" s="151" t="str">
        <x:f>IFERROR(VLOOKUP(N309,'Configuracion'!$D$4:$H$15,5,FALSE),"")</x:f>
      </x:c>
      <x:c r="Y309" s="151" t="str">
        <x:f>IFERROR(VLOOKUP(V309,'Cuadrillas'!$A$5:$J$14,2,FALSE),"")</x:f>
      </x:c>
      <x:c r="Z309" s="154"/>
      <x:c r="AA309" s="154"/>
      <x:c r="AB309" s="154"/>
      <x:c r="AC309" s="153"/>
      <x:c r="AD309" s="153"/>
      <x:c r="AE309" s="156" t="str">
        <x:f>IF(OR(AC309="",AD309=""),"",MOD(AD309-AC309,1)*24)</x:f>
      </x:c>
      <x:c r="AF309" s="154"/>
      <x:c r="AG309" s="156" t="str">
        <x:f>IF(AE309="","",MAX(0,AE309-IF(AF309="",0,AF309/60)))</x:f>
      </x:c>
      <x:c r="AH309" s="155"/>
      <x:c r="AI309" s="154"/>
      <x:c r="AJ309" s="154"/>
      <x:c r="AK309" s="156" t="n">
        <x:f>IFERROR(U309*W309,"")</x:f>
        <x:v>0</x:v>
      </x:c>
      <x:c r="AL309" s="156" t="n">
        <x:f>IFERROR(AE309*AI309,"")</x:f>
        <x:v>0</x:v>
      </x:c>
      <x:c r="AM309" s="157" t="str">
        <x:f>IFERROR(AH309/Q309,"")</x:f>
      </x:c>
      <x:c r="AN309" s="156" t="str">
        <x:f>IFERROR(AH309/AG309,"")</x:f>
      </x:c>
      <x:c r="AO309" s="156" t="str">
        <x:f>IFERROR(AL309/AH309,"")</x:f>
      </x:c>
      <x:c r="AP309" s="157" t="str">
        <x:f>IFERROR(AG309/AE309,"")</x:f>
      </x:c>
      <x:c r="AQ309" s="157" t="str">
        <x:f>IFERROR(AN309/(R309/'Configuracion'!$B$13),"")</x:f>
      </x:c>
      <x:c r="AR309" s="156" t="n">
        <x:f>IFERROR(AE309-U309,"")</x:f>
        <x:v>0</x:v>
      </x:c>
      <x:c r="AS309" s="154"/>
      <x:c r="AT309" s="154"/>
      <x:c r="AU309" s="154"/>
      <x:c r="AV309" s="154"/>
      <x:c r="AW309" s="152"/>
      <x:c r="AX309" s="154"/>
      <x:c r="AY309" s="154"/>
      <x:c r="AZ309" s="151"/>
      <x:c r="BA309" s="151"/>
    </x:row>
    <x:row r="310">
      <x:c r="A310" s="151" t="str">
        <x:f>IF(B310="","",TEXT(B310,"yyyymmdd")&amp;"-"&amp;TEXT(COUNTIF($B$5:B310,B310),"000"))</x:f>
      </x:c>
      <x:c r="B310" s="152"/>
      <x:c r="C310" s="153"/>
      <x:c r="D310" s="151" t="str">
        <x:f>IF(B310="","",'Configuracion'!$B$4)</x:f>
      </x:c>
      <x:c r="E310" s="154"/>
      <x:c r="F310" s="154"/>
      <x:c r="G310" s="151" t="str">
        <x:f>IFERROR(VLOOKUP(F310,'Base Sectores'!$A$5:$J$47,2,FALSE),"")</x:f>
      </x:c>
      <x:c r="H310" s="151" t="str">
        <x:f>IFERROR(VLOOKUP(F310,'Base Sectores'!$A$5:$J$47,3,FALSE),"")</x:f>
      </x:c>
      <x:c r="I310" s="151" t="str">
        <x:f>IFERROR(VLOOKUP(F310,'Base Sectores'!$A$5:$J$47,4,FALSE),"")</x:f>
      </x:c>
      <x:c r="J310" s="151" t="str">
        <x:f>IFERROR(VLOOKUP(F310,'Base Sectores'!$A$5:$J$47,5,FALSE),"")</x:f>
      </x:c>
      <x:c r="K310" s="151" t="str">
        <x:f>IFERROR(VLOOKUP(F310,'Base Sectores'!$A$5:$J$47,6,FALSE),"")</x:f>
      </x:c>
      <x:c r="L310" s="151" t="str">
        <x:f>IFERROR(VLOOKUP(F310,'Base Sectores'!$A$5:$J$47,7,FALSE),"")</x:f>
      </x:c>
      <x:c r="M310" s="151" t="str">
        <x:f>IFERROR(VLOOKUP(F310,'Base Sectores'!$A$5:$J$47,9,FALSE),"")</x:f>
      </x:c>
      <x:c r="N310" s="154"/>
      <x:c r="O310" s="151" t="str">
        <x:f>IFERROR(VLOOKUP(N310,'Configuracion'!$D$4:$H$15,2,FALSE),"")</x:f>
      </x:c>
      <x:c r="P310" s="151" t="str">
        <x:f>IFERROR(VLOOKUP(N310,'Configuracion'!$D$4:$H$15,3,FALSE),"")</x:f>
      </x:c>
      <x:c r="Q310" s="155"/>
      <x:c r="R310" s="156" t="str">
        <x:f>IFERROR(VLOOKUP(N310,'Configuracion'!$D$4:$H$15,4,FALSE),"")</x:f>
      </x:c>
      <x:c r="S310" s="153"/>
      <x:c r="T310" s="153"/>
      <x:c r="U310" s="156" t="str">
        <x:f>IF(OR(S310="",T310=""),"",MOD(T310-S310,1)*24)</x:f>
      </x:c>
      <x:c r="V310" s="154"/>
      <x:c r="W310" s="154"/>
      <x:c r="X310" s="151" t="str">
        <x:f>IFERROR(VLOOKUP(N310,'Configuracion'!$D$4:$H$15,5,FALSE),"")</x:f>
      </x:c>
      <x:c r="Y310" s="151" t="str">
        <x:f>IFERROR(VLOOKUP(V310,'Cuadrillas'!$A$5:$J$14,2,FALSE),"")</x:f>
      </x:c>
      <x:c r="Z310" s="154"/>
      <x:c r="AA310" s="154"/>
      <x:c r="AB310" s="154"/>
      <x:c r="AC310" s="153"/>
      <x:c r="AD310" s="153"/>
      <x:c r="AE310" s="156" t="str">
        <x:f>IF(OR(AC310="",AD310=""),"",MOD(AD310-AC310,1)*24)</x:f>
      </x:c>
      <x:c r="AF310" s="154"/>
      <x:c r="AG310" s="156" t="str">
        <x:f>IF(AE310="","",MAX(0,AE310-IF(AF310="",0,AF310/60)))</x:f>
      </x:c>
      <x:c r="AH310" s="155"/>
      <x:c r="AI310" s="154"/>
      <x:c r="AJ310" s="154"/>
      <x:c r="AK310" s="156" t="n">
        <x:f>IFERROR(U310*W310,"")</x:f>
        <x:v>0</x:v>
      </x:c>
      <x:c r="AL310" s="156" t="n">
        <x:f>IFERROR(AE310*AI310,"")</x:f>
        <x:v>0</x:v>
      </x:c>
      <x:c r="AM310" s="157" t="str">
        <x:f>IFERROR(AH310/Q310,"")</x:f>
      </x:c>
      <x:c r="AN310" s="156" t="str">
        <x:f>IFERROR(AH310/AG310,"")</x:f>
      </x:c>
      <x:c r="AO310" s="156" t="str">
        <x:f>IFERROR(AL310/AH310,"")</x:f>
      </x:c>
      <x:c r="AP310" s="157" t="str">
        <x:f>IFERROR(AG310/AE310,"")</x:f>
      </x:c>
      <x:c r="AQ310" s="157" t="str">
        <x:f>IFERROR(AN310/(R310/'Configuracion'!$B$13),"")</x:f>
      </x:c>
      <x:c r="AR310" s="156" t="n">
        <x:f>IFERROR(AE310-U310,"")</x:f>
        <x:v>0</x:v>
      </x:c>
      <x:c r="AS310" s="154"/>
      <x:c r="AT310" s="154"/>
      <x:c r="AU310" s="154"/>
      <x:c r="AV310" s="154"/>
      <x:c r="AW310" s="152"/>
      <x:c r="AX310" s="154"/>
      <x:c r="AY310" s="154"/>
      <x:c r="AZ310" s="151"/>
      <x:c r="BA310" s="151"/>
    </x:row>
    <x:row r="311">
      <x:c r="A311" s="151" t="str">
        <x:f>IF(B311="","",TEXT(B311,"yyyymmdd")&amp;"-"&amp;TEXT(COUNTIF($B$5:B311,B311),"000"))</x:f>
      </x:c>
      <x:c r="B311" s="152"/>
      <x:c r="C311" s="153"/>
      <x:c r="D311" s="151" t="str">
        <x:f>IF(B311="","",'Configuracion'!$B$4)</x:f>
      </x:c>
      <x:c r="E311" s="154"/>
      <x:c r="F311" s="154"/>
      <x:c r="G311" s="151" t="str">
        <x:f>IFERROR(VLOOKUP(F311,'Base Sectores'!$A$5:$J$47,2,FALSE),"")</x:f>
      </x:c>
      <x:c r="H311" s="151" t="str">
        <x:f>IFERROR(VLOOKUP(F311,'Base Sectores'!$A$5:$J$47,3,FALSE),"")</x:f>
      </x:c>
      <x:c r="I311" s="151" t="str">
        <x:f>IFERROR(VLOOKUP(F311,'Base Sectores'!$A$5:$J$47,4,FALSE),"")</x:f>
      </x:c>
      <x:c r="J311" s="151" t="str">
        <x:f>IFERROR(VLOOKUP(F311,'Base Sectores'!$A$5:$J$47,5,FALSE),"")</x:f>
      </x:c>
      <x:c r="K311" s="151" t="str">
        <x:f>IFERROR(VLOOKUP(F311,'Base Sectores'!$A$5:$J$47,6,FALSE),"")</x:f>
      </x:c>
      <x:c r="L311" s="151" t="str">
        <x:f>IFERROR(VLOOKUP(F311,'Base Sectores'!$A$5:$J$47,7,FALSE),"")</x:f>
      </x:c>
      <x:c r="M311" s="151" t="str">
        <x:f>IFERROR(VLOOKUP(F311,'Base Sectores'!$A$5:$J$47,9,FALSE),"")</x:f>
      </x:c>
      <x:c r="N311" s="154"/>
      <x:c r="O311" s="151" t="str">
        <x:f>IFERROR(VLOOKUP(N311,'Configuracion'!$D$4:$H$15,2,FALSE),"")</x:f>
      </x:c>
      <x:c r="P311" s="151" t="str">
        <x:f>IFERROR(VLOOKUP(N311,'Configuracion'!$D$4:$H$15,3,FALSE),"")</x:f>
      </x:c>
      <x:c r="Q311" s="155"/>
      <x:c r="R311" s="156" t="str">
        <x:f>IFERROR(VLOOKUP(N311,'Configuracion'!$D$4:$H$15,4,FALSE),"")</x:f>
      </x:c>
      <x:c r="S311" s="153"/>
      <x:c r="T311" s="153"/>
      <x:c r="U311" s="156" t="str">
        <x:f>IF(OR(S311="",T311=""),"",MOD(T311-S311,1)*24)</x:f>
      </x:c>
      <x:c r="V311" s="154"/>
      <x:c r="W311" s="154"/>
      <x:c r="X311" s="151" t="str">
        <x:f>IFERROR(VLOOKUP(N311,'Configuracion'!$D$4:$H$15,5,FALSE),"")</x:f>
      </x:c>
      <x:c r="Y311" s="151" t="str">
        <x:f>IFERROR(VLOOKUP(V311,'Cuadrillas'!$A$5:$J$14,2,FALSE),"")</x:f>
      </x:c>
      <x:c r="Z311" s="154"/>
      <x:c r="AA311" s="154"/>
      <x:c r="AB311" s="154"/>
      <x:c r="AC311" s="153"/>
      <x:c r="AD311" s="153"/>
      <x:c r="AE311" s="156" t="str">
        <x:f>IF(OR(AC311="",AD311=""),"",MOD(AD311-AC311,1)*24)</x:f>
      </x:c>
      <x:c r="AF311" s="154"/>
      <x:c r="AG311" s="156" t="str">
        <x:f>IF(AE311="","",MAX(0,AE311-IF(AF311="",0,AF311/60)))</x:f>
      </x:c>
      <x:c r="AH311" s="155"/>
      <x:c r="AI311" s="154"/>
      <x:c r="AJ311" s="154"/>
      <x:c r="AK311" s="156" t="n">
        <x:f>IFERROR(U311*W311,"")</x:f>
        <x:v>0</x:v>
      </x:c>
      <x:c r="AL311" s="156" t="n">
        <x:f>IFERROR(AE311*AI311,"")</x:f>
        <x:v>0</x:v>
      </x:c>
      <x:c r="AM311" s="157" t="str">
        <x:f>IFERROR(AH311/Q311,"")</x:f>
      </x:c>
      <x:c r="AN311" s="156" t="str">
        <x:f>IFERROR(AH311/AG311,"")</x:f>
      </x:c>
      <x:c r="AO311" s="156" t="str">
        <x:f>IFERROR(AL311/AH311,"")</x:f>
      </x:c>
      <x:c r="AP311" s="157" t="str">
        <x:f>IFERROR(AG311/AE311,"")</x:f>
      </x:c>
      <x:c r="AQ311" s="157" t="str">
        <x:f>IFERROR(AN311/(R311/'Configuracion'!$B$13),"")</x:f>
      </x:c>
      <x:c r="AR311" s="156" t="n">
        <x:f>IFERROR(AE311-U311,"")</x:f>
        <x:v>0</x:v>
      </x:c>
      <x:c r="AS311" s="154"/>
      <x:c r="AT311" s="154"/>
      <x:c r="AU311" s="154"/>
      <x:c r="AV311" s="154"/>
      <x:c r="AW311" s="152"/>
      <x:c r="AX311" s="154"/>
      <x:c r="AY311" s="154"/>
      <x:c r="AZ311" s="151"/>
      <x:c r="BA311" s="151"/>
    </x:row>
    <x:row r="312">
      <x:c r="A312" s="151" t="str">
        <x:f>IF(B312="","",TEXT(B312,"yyyymmdd")&amp;"-"&amp;TEXT(COUNTIF($B$5:B312,B312),"000"))</x:f>
      </x:c>
      <x:c r="B312" s="152"/>
      <x:c r="C312" s="153"/>
      <x:c r="D312" s="151" t="str">
        <x:f>IF(B312="","",'Configuracion'!$B$4)</x:f>
      </x:c>
      <x:c r="E312" s="154"/>
      <x:c r="F312" s="154"/>
      <x:c r="G312" s="151" t="str">
        <x:f>IFERROR(VLOOKUP(F312,'Base Sectores'!$A$5:$J$47,2,FALSE),"")</x:f>
      </x:c>
      <x:c r="H312" s="151" t="str">
        <x:f>IFERROR(VLOOKUP(F312,'Base Sectores'!$A$5:$J$47,3,FALSE),"")</x:f>
      </x:c>
      <x:c r="I312" s="151" t="str">
        <x:f>IFERROR(VLOOKUP(F312,'Base Sectores'!$A$5:$J$47,4,FALSE),"")</x:f>
      </x:c>
      <x:c r="J312" s="151" t="str">
        <x:f>IFERROR(VLOOKUP(F312,'Base Sectores'!$A$5:$J$47,5,FALSE),"")</x:f>
      </x:c>
      <x:c r="K312" s="151" t="str">
        <x:f>IFERROR(VLOOKUP(F312,'Base Sectores'!$A$5:$J$47,6,FALSE),"")</x:f>
      </x:c>
      <x:c r="L312" s="151" t="str">
        <x:f>IFERROR(VLOOKUP(F312,'Base Sectores'!$A$5:$J$47,7,FALSE),"")</x:f>
      </x:c>
      <x:c r="M312" s="151" t="str">
        <x:f>IFERROR(VLOOKUP(F312,'Base Sectores'!$A$5:$J$47,9,FALSE),"")</x:f>
      </x:c>
      <x:c r="N312" s="154"/>
      <x:c r="O312" s="151" t="str">
        <x:f>IFERROR(VLOOKUP(N312,'Configuracion'!$D$4:$H$15,2,FALSE),"")</x:f>
      </x:c>
      <x:c r="P312" s="151" t="str">
        <x:f>IFERROR(VLOOKUP(N312,'Configuracion'!$D$4:$H$15,3,FALSE),"")</x:f>
      </x:c>
      <x:c r="Q312" s="155"/>
      <x:c r="R312" s="156" t="str">
        <x:f>IFERROR(VLOOKUP(N312,'Configuracion'!$D$4:$H$15,4,FALSE),"")</x:f>
      </x:c>
      <x:c r="S312" s="153"/>
      <x:c r="T312" s="153"/>
      <x:c r="U312" s="156" t="str">
        <x:f>IF(OR(S312="",T312=""),"",MOD(T312-S312,1)*24)</x:f>
      </x:c>
      <x:c r="V312" s="154"/>
      <x:c r="W312" s="154"/>
      <x:c r="X312" s="151" t="str">
        <x:f>IFERROR(VLOOKUP(N312,'Configuracion'!$D$4:$H$15,5,FALSE),"")</x:f>
      </x:c>
      <x:c r="Y312" s="151" t="str">
        <x:f>IFERROR(VLOOKUP(V312,'Cuadrillas'!$A$5:$J$14,2,FALSE),"")</x:f>
      </x:c>
      <x:c r="Z312" s="154"/>
      <x:c r="AA312" s="154"/>
      <x:c r="AB312" s="154"/>
      <x:c r="AC312" s="153"/>
      <x:c r="AD312" s="153"/>
      <x:c r="AE312" s="156" t="str">
        <x:f>IF(OR(AC312="",AD312=""),"",MOD(AD312-AC312,1)*24)</x:f>
      </x:c>
      <x:c r="AF312" s="154"/>
      <x:c r="AG312" s="156" t="str">
        <x:f>IF(AE312="","",MAX(0,AE312-IF(AF312="",0,AF312/60)))</x:f>
      </x:c>
      <x:c r="AH312" s="155"/>
      <x:c r="AI312" s="154"/>
      <x:c r="AJ312" s="154"/>
      <x:c r="AK312" s="156" t="n">
        <x:f>IFERROR(U312*W312,"")</x:f>
        <x:v>0</x:v>
      </x:c>
      <x:c r="AL312" s="156" t="n">
        <x:f>IFERROR(AE312*AI312,"")</x:f>
        <x:v>0</x:v>
      </x:c>
      <x:c r="AM312" s="157" t="str">
        <x:f>IFERROR(AH312/Q312,"")</x:f>
      </x:c>
      <x:c r="AN312" s="156" t="str">
        <x:f>IFERROR(AH312/AG312,"")</x:f>
      </x:c>
      <x:c r="AO312" s="156" t="str">
        <x:f>IFERROR(AL312/AH312,"")</x:f>
      </x:c>
      <x:c r="AP312" s="157" t="str">
        <x:f>IFERROR(AG312/AE312,"")</x:f>
      </x:c>
      <x:c r="AQ312" s="157" t="str">
        <x:f>IFERROR(AN312/(R312/'Configuracion'!$B$13),"")</x:f>
      </x:c>
      <x:c r="AR312" s="156" t="n">
        <x:f>IFERROR(AE312-U312,"")</x:f>
        <x:v>0</x:v>
      </x:c>
      <x:c r="AS312" s="154"/>
      <x:c r="AT312" s="154"/>
      <x:c r="AU312" s="154"/>
      <x:c r="AV312" s="154"/>
      <x:c r="AW312" s="152"/>
      <x:c r="AX312" s="154"/>
      <x:c r="AY312" s="154"/>
      <x:c r="AZ312" s="151"/>
      <x:c r="BA312" s="151"/>
    </x:row>
    <x:row r="313">
      <x:c r="A313" s="151" t="str">
        <x:f>IF(B313="","",TEXT(B313,"yyyymmdd")&amp;"-"&amp;TEXT(COUNTIF($B$5:B313,B313),"000"))</x:f>
      </x:c>
      <x:c r="B313" s="152"/>
      <x:c r="C313" s="153"/>
      <x:c r="D313" s="151" t="str">
        <x:f>IF(B313="","",'Configuracion'!$B$4)</x:f>
      </x:c>
      <x:c r="E313" s="154"/>
      <x:c r="F313" s="154"/>
      <x:c r="G313" s="151" t="str">
        <x:f>IFERROR(VLOOKUP(F313,'Base Sectores'!$A$5:$J$47,2,FALSE),"")</x:f>
      </x:c>
      <x:c r="H313" s="151" t="str">
        <x:f>IFERROR(VLOOKUP(F313,'Base Sectores'!$A$5:$J$47,3,FALSE),"")</x:f>
      </x:c>
      <x:c r="I313" s="151" t="str">
        <x:f>IFERROR(VLOOKUP(F313,'Base Sectores'!$A$5:$J$47,4,FALSE),"")</x:f>
      </x:c>
      <x:c r="J313" s="151" t="str">
        <x:f>IFERROR(VLOOKUP(F313,'Base Sectores'!$A$5:$J$47,5,FALSE),"")</x:f>
      </x:c>
      <x:c r="K313" s="151" t="str">
        <x:f>IFERROR(VLOOKUP(F313,'Base Sectores'!$A$5:$J$47,6,FALSE),"")</x:f>
      </x:c>
      <x:c r="L313" s="151" t="str">
        <x:f>IFERROR(VLOOKUP(F313,'Base Sectores'!$A$5:$J$47,7,FALSE),"")</x:f>
      </x:c>
      <x:c r="M313" s="151" t="str">
        <x:f>IFERROR(VLOOKUP(F313,'Base Sectores'!$A$5:$J$47,9,FALSE),"")</x:f>
      </x:c>
      <x:c r="N313" s="154"/>
      <x:c r="O313" s="151" t="str">
        <x:f>IFERROR(VLOOKUP(N313,'Configuracion'!$D$4:$H$15,2,FALSE),"")</x:f>
      </x:c>
      <x:c r="P313" s="151" t="str">
        <x:f>IFERROR(VLOOKUP(N313,'Configuracion'!$D$4:$H$15,3,FALSE),"")</x:f>
      </x:c>
      <x:c r="Q313" s="155"/>
      <x:c r="R313" s="156" t="str">
        <x:f>IFERROR(VLOOKUP(N313,'Configuracion'!$D$4:$H$15,4,FALSE),"")</x:f>
      </x:c>
      <x:c r="S313" s="153"/>
      <x:c r="T313" s="153"/>
      <x:c r="U313" s="156" t="str">
        <x:f>IF(OR(S313="",T313=""),"",MOD(T313-S313,1)*24)</x:f>
      </x:c>
      <x:c r="V313" s="154"/>
      <x:c r="W313" s="154"/>
      <x:c r="X313" s="151" t="str">
        <x:f>IFERROR(VLOOKUP(N313,'Configuracion'!$D$4:$H$15,5,FALSE),"")</x:f>
      </x:c>
      <x:c r="Y313" s="151" t="str">
        <x:f>IFERROR(VLOOKUP(V313,'Cuadrillas'!$A$5:$J$14,2,FALSE),"")</x:f>
      </x:c>
      <x:c r="Z313" s="154"/>
      <x:c r="AA313" s="154"/>
      <x:c r="AB313" s="154"/>
      <x:c r="AC313" s="153"/>
      <x:c r="AD313" s="153"/>
      <x:c r="AE313" s="156" t="str">
        <x:f>IF(OR(AC313="",AD313=""),"",MOD(AD313-AC313,1)*24)</x:f>
      </x:c>
      <x:c r="AF313" s="154"/>
      <x:c r="AG313" s="156" t="str">
        <x:f>IF(AE313="","",MAX(0,AE313-IF(AF313="",0,AF313/60)))</x:f>
      </x:c>
      <x:c r="AH313" s="155"/>
      <x:c r="AI313" s="154"/>
      <x:c r="AJ313" s="154"/>
      <x:c r="AK313" s="156" t="n">
        <x:f>IFERROR(U313*W313,"")</x:f>
        <x:v>0</x:v>
      </x:c>
      <x:c r="AL313" s="156" t="n">
        <x:f>IFERROR(AE313*AI313,"")</x:f>
        <x:v>0</x:v>
      </x:c>
      <x:c r="AM313" s="157" t="str">
        <x:f>IFERROR(AH313/Q313,"")</x:f>
      </x:c>
      <x:c r="AN313" s="156" t="str">
        <x:f>IFERROR(AH313/AG313,"")</x:f>
      </x:c>
      <x:c r="AO313" s="156" t="str">
        <x:f>IFERROR(AL313/AH313,"")</x:f>
      </x:c>
      <x:c r="AP313" s="157" t="str">
        <x:f>IFERROR(AG313/AE313,"")</x:f>
      </x:c>
      <x:c r="AQ313" s="157" t="str">
        <x:f>IFERROR(AN313/(R313/'Configuracion'!$B$13),"")</x:f>
      </x:c>
      <x:c r="AR313" s="156" t="n">
        <x:f>IFERROR(AE313-U313,"")</x:f>
        <x:v>0</x:v>
      </x:c>
      <x:c r="AS313" s="154"/>
      <x:c r="AT313" s="154"/>
      <x:c r="AU313" s="154"/>
      <x:c r="AV313" s="154"/>
      <x:c r="AW313" s="152"/>
      <x:c r="AX313" s="154"/>
      <x:c r="AY313" s="154"/>
      <x:c r="AZ313" s="151"/>
      <x:c r="BA313" s="151"/>
    </x:row>
    <x:row r="314">
      <x:c r="A314" s="151" t="str">
        <x:f>IF(B314="","",TEXT(B314,"yyyymmdd")&amp;"-"&amp;TEXT(COUNTIF($B$5:B314,B314),"000"))</x:f>
      </x:c>
      <x:c r="B314" s="152"/>
      <x:c r="C314" s="153"/>
      <x:c r="D314" s="151" t="str">
        <x:f>IF(B314="","",'Configuracion'!$B$4)</x:f>
      </x:c>
      <x:c r="E314" s="154"/>
      <x:c r="F314" s="154"/>
      <x:c r="G314" s="151" t="str">
        <x:f>IFERROR(VLOOKUP(F314,'Base Sectores'!$A$5:$J$47,2,FALSE),"")</x:f>
      </x:c>
      <x:c r="H314" s="151" t="str">
        <x:f>IFERROR(VLOOKUP(F314,'Base Sectores'!$A$5:$J$47,3,FALSE),"")</x:f>
      </x:c>
      <x:c r="I314" s="151" t="str">
        <x:f>IFERROR(VLOOKUP(F314,'Base Sectores'!$A$5:$J$47,4,FALSE),"")</x:f>
      </x:c>
      <x:c r="J314" s="151" t="str">
        <x:f>IFERROR(VLOOKUP(F314,'Base Sectores'!$A$5:$J$47,5,FALSE),"")</x:f>
      </x:c>
      <x:c r="K314" s="151" t="str">
        <x:f>IFERROR(VLOOKUP(F314,'Base Sectores'!$A$5:$J$47,6,FALSE),"")</x:f>
      </x:c>
      <x:c r="L314" s="151" t="str">
        <x:f>IFERROR(VLOOKUP(F314,'Base Sectores'!$A$5:$J$47,7,FALSE),"")</x:f>
      </x:c>
      <x:c r="M314" s="151" t="str">
        <x:f>IFERROR(VLOOKUP(F314,'Base Sectores'!$A$5:$J$47,9,FALSE),"")</x:f>
      </x:c>
      <x:c r="N314" s="154"/>
      <x:c r="O314" s="151" t="str">
        <x:f>IFERROR(VLOOKUP(N314,'Configuracion'!$D$4:$H$15,2,FALSE),"")</x:f>
      </x:c>
      <x:c r="P314" s="151" t="str">
        <x:f>IFERROR(VLOOKUP(N314,'Configuracion'!$D$4:$H$15,3,FALSE),"")</x:f>
      </x:c>
      <x:c r="Q314" s="155"/>
      <x:c r="R314" s="156" t="str">
        <x:f>IFERROR(VLOOKUP(N314,'Configuracion'!$D$4:$H$15,4,FALSE),"")</x:f>
      </x:c>
      <x:c r="S314" s="153"/>
      <x:c r="T314" s="153"/>
      <x:c r="U314" s="156" t="str">
        <x:f>IF(OR(S314="",T314=""),"",MOD(T314-S314,1)*24)</x:f>
      </x:c>
      <x:c r="V314" s="154"/>
      <x:c r="W314" s="154"/>
      <x:c r="X314" s="151" t="str">
        <x:f>IFERROR(VLOOKUP(N314,'Configuracion'!$D$4:$H$15,5,FALSE),"")</x:f>
      </x:c>
      <x:c r="Y314" s="151" t="str">
        <x:f>IFERROR(VLOOKUP(V314,'Cuadrillas'!$A$5:$J$14,2,FALSE),"")</x:f>
      </x:c>
      <x:c r="Z314" s="154"/>
      <x:c r="AA314" s="154"/>
      <x:c r="AB314" s="154"/>
      <x:c r="AC314" s="153"/>
      <x:c r="AD314" s="153"/>
      <x:c r="AE314" s="156" t="str">
        <x:f>IF(OR(AC314="",AD314=""),"",MOD(AD314-AC314,1)*24)</x:f>
      </x:c>
      <x:c r="AF314" s="154"/>
      <x:c r="AG314" s="156" t="str">
        <x:f>IF(AE314="","",MAX(0,AE314-IF(AF314="",0,AF314/60)))</x:f>
      </x:c>
      <x:c r="AH314" s="155"/>
      <x:c r="AI314" s="154"/>
      <x:c r="AJ314" s="154"/>
      <x:c r="AK314" s="156" t="n">
        <x:f>IFERROR(U314*W314,"")</x:f>
        <x:v>0</x:v>
      </x:c>
      <x:c r="AL314" s="156" t="n">
        <x:f>IFERROR(AE314*AI314,"")</x:f>
        <x:v>0</x:v>
      </x:c>
      <x:c r="AM314" s="157" t="str">
        <x:f>IFERROR(AH314/Q314,"")</x:f>
      </x:c>
      <x:c r="AN314" s="156" t="str">
        <x:f>IFERROR(AH314/AG314,"")</x:f>
      </x:c>
      <x:c r="AO314" s="156" t="str">
        <x:f>IFERROR(AL314/AH314,"")</x:f>
      </x:c>
      <x:c r="AP314" s="157" t="str">
        <x:f>IFERROR(AG314/AE314,"")</x:f>
      </x:c>
      <x:c r="AQ314" s="157" t="str">
        <x:f>IFERROR(AN314/(R314/'Configuracion'!$B$13),"")</x:f>
      </x:c>
      <x:c r="AR314" s="156" t="n">
        <x:f>IFERROR(AE314-U314,"")</x:f>
        <x:v>0</x:v>
      </x:c>
      <x:c r="AS314" s="154"/>
      <x:c r="AT314" s="154"/>
      <x:c r="AU314" s="154"/>
      <x:c r="AV314" s="154"/>
      <x:c r="AW314" s="152"/>
      <x:c r="AX314" s="154"/>
      <x:c r="AY314" s="154"/>
      <x:c r="AZ314" s="151"/>
      <x:c r="BA314" s="151"/>
    </x:row>
    <x:row r="315">
      <x:c r="A315" s="151" t="str">
        <x:f>IF(B315="","",TEXT(B315,"yyyymmdd")&amp;"-"&amp;TEXT(COUNTIF($B$5:B315,B315),"000"))</x:f>
      </x:c>
      <x:c r="B315" s="152"/>
      <x:c r="C315" s="153"/>
      <x:c r="D315" s="151" t="str">
        <x:f>IF(B315="","",'Configuracion'!$B$4)</x:f>
      </x:c>
      <x:c r="E315" s="154"/>
      <x:c r="F315" s="154"/>
      <x:c r="G315" s="151" t="str">
        <x:f>IFERROR(VLOOKUP(F315,'Base Sectores'!$A$5:$J$47,2,FALSE),"")</x:f>
      </x:c>
      <x:c r="H315" s="151" t="str">
        <x:f>IFERROR(VLOOKUP(F315,'Base Sectores'!$A$5:$J$47,3,FALSE),"")</x:f>
      </x:c>
      <x:c r="I315" s="151" t="str">
        <x:f>IFERROR(VLOOKUP(F315,'Base Sectores'!$A$5:$J$47,4,FALSE),"")</x:f>
      </x:c>
      <x:c r="J315" s="151" t="str">
        <x:f>IFERROR(VLOOKUP(F315,'Base Sectores'!$A$5:$J$47,5,FALSE),"")</x:f>
      </x:c>
      <x:c r="K315" s="151" t="str">
        <x:f>IFERROR(VLOOKUP(F315,'Base Sectores'!$A$5:$J$47,6,FALSE),"")</x:f>
      </x:c>
      <x:c r="L315" s="151" t="str">
        <x:f>IFERROR(VLOOKUP(F315,'Base Sectores'!$A$5:$J$47,7,FALSE),"")</x:f>
      </x:c>
      <x:c r="M315" s="151" t="str">
        <x:f>IFERROR(VLOOKUP(F315,'Base Sectores'!$A$5:$J$47,9,FALSE),"")</x:f>
      </x:c>
      <x:c r="N315" s="154"/>
      <x:c r="O315" s="151" t="str">
        <x:f>IFERROR(VLOOKUP(N315,'Configuracion'!$D$4:$H$15,2,FALSE),"")</x:f>
      </x:c>
      <x:c r="P315" s="151" t="str">
        <x:f>IFERROR(VLOOKUP(N315,'Configuracion'!$D$4:$H$15,3,FALSE),"")</x:f>
      </x:c>
      <x:c r="Q315" s="155"/>
      <x:c r="R315" s="156" t="str">
        <x:f>IFERROR(VLOOKUP(N315,'Configuracion'!$D$4:$H$15,4,FALSE),"")</x:f>
      </x:c>
      <x:c r="S315" s="153"/>
      <x:c r="T315" s="153"/>
      <x:c r="U315" s="156" t="str">
        <x:f>IF(OR(S315="",T315=""),"",MOD(T315-S315,1)*24)</x:f>
      </x:c>
      <x:c r="V315" s="154"/>
      <x:c r="W315" s="154"/>
      <x:c r="X315" s="151" t="str">
        <x:f>IFERROR(VLOOKUP(N315,'Configuracion'!$D$4:$H$15,5,FALSE),"")</x:f>
      </x:c>
      <x:c r="Y315" s="151" t="str">
        <x:f>IFERROR(VLOOKUP(V315,'Cuadrillas'!$A$5:$J$14,2,FALSE),"")</x:f>
      </x:c>
      <x:c r="Z315" s="154"/>
      <x:c r="AA315" s="154"/>
      <x:c r="AB315" s="154"/>
      <x:c r="AC315" s="153"/>
      <x:c r="AD315" s="153"/>
      <x:c r="AE315" s="156" t="str">
        <x:f>IF(OR(AC315="",AD315=""),"",MOD(AD315-AC315,1)*24)</x:f>
      </x:c>
      <x:c r="AF315" s="154"/>
      <x:c r="AG315" s="156" t="str">
        <x:f>IF(AE315="","",MAX(0,AE315-IF(AF315="",0,AF315/60)))</x:f>
      </x:c>
      <x:c r="AH315" s="155"/>
      <x:c r="AI315" s="154"/>
      <x:c r="AJ315" s="154"/>
      <x:c r="AK315" s="156" t="n">
        <x:f>IFERROR(U315*W315,"")</x:f>
        <x:v>0</x:v>
      </x:c>
      <x:c r="AL315" s="156" t="n">
        <x:f>IFERROR(AE315*AI315,"")</x:f>
        <x:v>0</x:v>
      </x:c>
      <x:c r="AM315" s="157" t="str">
        <x:f>IFERROR(AH315/Q315,"")</x:f>
      </x:c>
      <x:c r="AN315" s="156" t="str">
        <x:f>IFERROR(AH315/AG315,"")</x:f>
      </x:c>
      <x:c r="AO315" s="156" t="str">
        <x:f>IFERROR(AL315/AH315,"")</x:f>
      </x:c>
      <x:c r="AP315" s="157" t="str">
        <x:f>IFERROR(AG315/AE315,"")</x:f>
      </x:c>
      <x:c r="AQ315" s="157" t="str">
        <x:f>IFERROR(AN315/(R315/'Configuracion'!$B$13),"")</x:f>
      </x:c>
      <x:c r="AR315" s="156" t="n">
        <x:f>IFERROR(AE315-U315,"")</x:f>
        <x:v>0</x:v>
      </x:c>
      <x:c r="AS315" s="154"/>
      <x:c r="AT315" s="154"/>
      <x:c r="AU315" s="154"/>
      <x:c r="AV315" s="154"/>
      <x:c r="AW315" s="152"/>
      <x:c r="AX315" s="154"/>
      <x:c r="AY315" s="154"/>
      <x:c r="AZ315" s="151"/>
      <x:c r="BA315" s="151"/>
    </x:row>
    <x:row r="316">
      <x:c r="A316" s="151" t="str">
        <x:f>IF(B316="","",TEXT(B316,"yyyymmdd")&amp;"-"&amp;TEXT(COUNTIF($B$5:B316,B316),"000"))</x:f>
      </x:c>
      <x:c r="B316" s="152"/>
      <x:c r="C316" s="153"/>
      <x:c r="D316" s="151" t="str">
        <x:f>IF(B316="","",'Configuracion'!$B$4)</x:f>
      </x:c>
      <x:c r="E316" s="154"/>
      <x:c r="F316" s="154"/>
      <x:c r="G316" s="151" t="str">
        <x:f>IFERROR(VLOOKUP(F316,'Base Sectores'!$A$5:$J$47,2,FALSE),"")</x:f>
      </x:c>
      <x:c r="H316" s="151" t="str">
        <x:f>IFERROR(VLOOKUP(F316,'Base Sectores'!$A$5:$J$47,3,FALSE),"")</x:f>
      </x:c>
      <x:c r="I316" s="151" t="str">
        <x:f>IFERROR(VLOOKUP(F316,'Base Sectores'!$A$5:$J$47,4,FALSE),"")</x:f>
      </x:c>
      <x:c r="J316" s="151" t="str">
        <x:f>IFERROR(VLOOKUP(F316,'Base Sectores'!$A$5:$J$47,5,FALSE),"")</x:f>
      </x:c>
      <x:c r="K316" s="151" t="str">
        <x:f>IFERROR(VLOOKUP(F316,'Base Sectores'!$A$5:$J$47,6,FALSE),"")</x:f>
      </x:c>
      <x:c r="L316" s="151" t="str">
        <x:f>IFERROR(VLOOKUP(F316,'Base Sectores'!$A$5:$J$47,7,FALSE),"")</x:f>
      </x:c>
      <x:c r="M316" s="151" t="str">
        <x:f>IFERROR(VLOOKUP(F316,'Base Sectores'!$A$5:$J$47,9,FALSE),"")</x:f>
      </x:c>
      <x:c r="N316" s="154"/>
      <x:c r="O316" s="151" t="str">
        <x:f>IFERROR(VLOOKUP(N316,'Configuracion'!$D$4:$H$15,2,FALSE),"")</x:f>
      </x:c>
      <x:c r="P316" s="151" t="str">
        <x:f>IFERROR(VLOOKUP(N316,'Configuracion'!$D$4:$H$15,3,FALSE),"")</x:f>
      </x:c>
      <x:c r="Q316" s="155"/>
      <x:c r="R316" s="156" t="str">
        <x:f>IFERROR(VLOOKUP(N316,'Configuracion'!$D$4:$H$15,4,FALSE),"")</x:f>
      </x:c>
      <x:c r="S316" s="153"/>
      <x:c r="T316" s="153"/>
      <x:c r="U316" s="156" t="str">
        <x:f>IF(OR(S316="",T316=""),"",MOD(T316-S316,1)*24)</x:f>
      </x:c>
      <x:c r="V316" s="154"/>
      <x:c r="W316" s="154"/>
      <x:c r="X316" s="151" t="str">
        <x:f>IFERROR(VLOOKUP(N316,'Configuracion'!$D$4:$H$15,5,FALSE),"")</x:f>
      </x:c>
      <x:c r="Y316" s="151" t="str">
        <x:f>IFERROR(VLOOKUP(V316,'Cuadrillas'!$A$5:$J$14,2,FALSE),"")</x:f>
      </x:c>
      <x:c r="Z316" s="154"/>
      <x:c r="AA316" s="154"/>
      <x:c r="AB316" s="154"/>
      <x:c r="AC316" s="153"/>
      <x:c r="AD316" s="153"/>
      <x:c r="AE316" s="156" t="str">
        <x:f>IF(OR(AC316="",AD316=""),"",MOD(AD316-AC316,1)*24)</x:f>
      </x:c>
      <x:c r="AF316" s="154"/>
      <x:c r="AG316" s="156" t="str">
        <x:f>IF(AE316="","",MAX(0,AE316-IF(AF316="",0,AF316/60)))</x:f>
      </x:c>
      <x:c r="AH316" s="155"/>
      <x:c r="AI316" s="154"/>
      <x:c r="AJ316" s="154"/>
      <x:c r="AK316" s="156" t="n">
        <x:f>IFERROR(U316*W316,"")</x:f>
        <x:v>0</x:v>
      </x:c>
      <x:c r="AL316" s="156" t="n">
        <x:f>IFERROR(AE316*AI316,"")</x:f>
        <x:v>0</x:v>
      </x:c>
      <x:c r="AM316" s="157" t="str">
        <x:f>IFERROR(AH316/Q316,"")</x:f>
      </x:c>
      <x:c r="AN316" s="156" t="str">
        <x:f>IFERROR(AH316/AG316,"")</x:f>
      </x:c>
      <x:c r="AO316" s="156" t="str">
        <x:f>IFERROR(AL316/AH316,"")</x:f>
      </x:c>
      <x:c r="AP316" s="157" t="str">
        <x:f>IFERROR(AG316/AE316,"")</x:f>
      </x:c>
      <x:c r="AQ316" s="157" t="str">
        <x:f>IFERROR(AN316/(R316/'Configuracion'!$B$13),"")</x:f>
      </x:c>
      <x:c r="AR316" s="156" t="n">
        <x:f>IFERROR(AE316-U316,"")</x:f>
        <x:v>0</x:v>
      </x:c>
      <x:c r="AS316" s="154"/>
      <x:c r="AT316" s="154"/>
      <x:c r="AU316" s="154"/>
      <x:c r="AV316" s="154"/>
      <x:c r="AW316" s="152"/>
      <x:c r="AX316" s="154"/>
      <x:c r="AY316" s="154"/>
      <x:c r="AZ316" s="151"/>
      <x:c r="BA316" s="151"/>
    </x:row>
    <x:row r="317">
      <x:c r="A317" s="151" t="str">
        <x:f>IF(B317="","",TEXT(B317,"yyyymmdd")&amp;"-"&amp;TEXT(COUNTIF($B$5:B317,B317),"000"))</x:f>
      </x:c>
      <x:c r="B317" s="152"/>
      <x:c r="C317" s="153"/>
      <x:c r="D317" s="151" t="str">
        <x:f>IF(B317="","",'Configuracion'!$B$4)</x:f>
      </x:c>
      <x:c r="E317" s="154"/>
      <x:c r="F317" s="154"/>
      <x:c r="G317" s="151" t="str">
        <x:f>IFERROR(VLOOKUP(F317,'Base Sectores'!$A$5:$J$47,2,FALSE),"")</x:f>
      </x:c>
      <x:c r="H317" s="151" t="str">
        <x:f>IFERROR(VLOOKUP(F317,'Base Sectores'!$A$5:$J$47,3,FALSE),"")</x:f>
      </x:c>
      <x:c r="I317" s="151" t="str">
        <x:f>IFERROR(VLOOKUP(F317,'Base Sectores'!$A$5:$J$47,4,FALSE),"")</x:f>
      </x:c>
      <x:c r="J317" s="151" t="str">
        <x:f>IFERROR(VLOOKUP(F317,'Base Sectores'!$A$5:$J$47,5,FALSE),"")</x:f>
      </x:c>
      <x:c r="K317" s="151" t="str">
        <x:f>IFERROR(VLOOKUP(F317,'Base Sectores'!$A$5:$J$47,6,FALSE),"")</x:f>
      </x:c>
      <x:c r="L317" s="151" t="str">
        <x:f>IFERROR(VLOOKUP(F317,'Base Sectores'!$A$5:$J$47,7,FALSE),"")</x:f>
      </x:c>
      <x:c r="M317" s="151" t="str">
        <x:f>IFERROR(VLOOKUP(F317,'Base Sectores'!$A$5:$J$47,9,FALSE),"")</x:f>
      </x:c>
      <x:c r="N317" s="154"/>
      <x:c r="O317" s="151" t="str">
        <x:f>IFERROR(VLOOKUP(N317,'Configuracion'!$D$4:$H$15,2,FALSE),"")</x:f>
      </x:c>
      <x:c r="P317" s="151" t="str">
        <x:f>IFERROR(VLOOKUP(N317,'Configuracion'!$D$4:$H$15,3,FALSE),"")</x:f>
      </x:c>
      <x:c r="Q317" s="155"/>
      <x:c r="R317" s="156" t="str">
        <x:f>IFERROR(VLOOKUP(N317,'Configuracion'!$D$4:$H$15,4,FALSE),"")</x:f>
      </x:c>
      <x:c r="S317" s="153"/>
      <x:c r="T317" s="153"/>
      <x:c r="U317" s="156" t="str">
        <x:f>IF(OR(S317="",T317=""),"",MOD(T317-S317,1)*24)</x:f>
      </x:c>
      <x:c r="V317" s="154"/>
      <x:c r="W317" s="154"/>
      <x:c r="X317" s="151" t="str">
        <x:f>IFERROR(VLOOKUP(N317,'Configuracion'!$D$4:$H$15,5,FALSE),"")</x:f>
      </x:c>
      <x:c r="Y317" s="151" t="str">
        <x:f>IFERROR(VLOOKUP(V317,'Cuadrillas'!$A$5:$J$14,2,FALSE),"")</x:f>
      </x:c>
      <x:c r="Z317" s="154"/>
      <x:c r="AA317" s="154"/>
      <x:c r="AB317" s="154"/>
      <x:c r="AC317" s="153"/>
      <x:c r="AD317" s="153"/>
      <x:c r="AE317" s="156" t="str">
        <x:f>IF(OR(AC317="",AD317=""),"",MOD(AD317-AC317,1)*24)</x:f>
      </x:c>
      <x:c r="AF317" s="154"/>
      <x:c r="AG317" s="156" t="str">
        <x:f>IF(AE317="","",MAX(0,AE317-IF(AF317="",0,AF317/60)))</x:f>
      </x:c>
      <x:c r="AH317" s="155"/>
      <x:c r="AI317" s="154"/>
      <x:c r="AJ317" s="154"/>
      <x:c r="AK317" s="156" t="n">
        <x:f>IFERROR(U317*W317,"")</x:f>
        <x:v>0</x:v>
      </x:c>
      <x:c r="AL317" s="156" t="n">
        <x:f>IFERROR(AE317*AI317,"")</x:f>
        <x:v>0</x:v>
      </x:c>
      <x:c r="AM317" s="157" t="str">
        <x:f>IFERROR(AH317/Q317,"")</x:f>
      </x:c>
      <x:c r="AN317" s="156" t="str">
        <x:f>IFERROR(AH317/AG317,"")</x:f>
      </x:c>
      <x:c r="AO317" s="156" t="str">
        <x:f>IFERROR(AL317/AH317,"")</x:f>
      </x:c>
      <x:c r="AP317" s="157" t="str">
        <x:f>IFERROR(AG317/AE317,"")</x:f>
      </x:c>
      <x:c r="AQ317" s="157" t="str">
        <x:f>IFERROR(AN317/(R317/'Configuracion'!$B$13),"")</x:f>
      </x:c>
      <x:c r="AR317" s="156" t="n">
        <x:f>IFERROR(AE317-U317,"")</x:f>
        <x:v>0</x:v>
      </x:c>
      <x:c r="AS317" s="154"/>
      <x:c r="AT317" s="154"/>
      <x:c r="AU317" s="154"/>
      <x:c r="AV317" s="154"/>
      <x:c r="AW317" s="152"/>
      <x:c r="AX317" s="154"/>
      <x:c r="AY317" s="154"/>
      <x:c r="AZ317" s="151"/>
      <x:c r="BA317" s="151"/>
    </x:row>
    <x:row r="318">
      <x:c r="A318" s="151" t="str">
        <x:f>IF(B318="","",TEXT(B318,"yyyymmdd")&amp;"-"&amp;TEXT(COUNTIF($B$5:B318,B318),"000"))</x:f>
      </x:c>
      <x:c r="B318" s="152"/>
      <x:c r="C318" s="153"/>
      <x:c r="D318" s="151" t="str">
        <x:f>IF(B318="","",'Configuracion'!$B$4)</x:f>
      </x:c>
      <x:c r="E318" s="154"/>
      <x:c r="F318" s="154"/>
      <x:c r="G318" s="151" t="str">
        <x:f>IFERROR(VLOOKUP(F318,'Base Sectores'!$A$5:$J$47,2,FALSE),"")</x:f>
      </x:c>
      <x:c r="H318" s="151" t="str">
        <x:f>IFERROR(VLOOKUP(F318,'Base Sectores'!$A$5:$J$47,3,FALSE),"")</x:f>
      </x:c>
      <x:c r="I318" s="151" t="str">
        <x:f>IFERROR(VLOOKUP(F318,'Base Sectores'!$A$5:$J$47,4,FALSE),"")</x:f>
      </x:c>
      <x:c r="J318" s="151" t="str">
        <x:f>IFERROR(VLOOKUP(F318,'Base Sectores'!$A$5:$J$47,5,FALSE),"")</x:f>
      </x:c>
      <x:c r="K318" s="151" t="str">
        <x:f>IFERROR(VLOOKUP(F318,'Base Sectores'!$A$5:$J$47,6,FALSE),"")</x:f>
      </x:c>
      <x:c r="L318" s="151" t="str">
        <x:f>IFERROR(VLOOKUP(F318,'Base Sectores'!$A$5:$J$47,7,FALSE),"")</x:f>
      </x:c>
      <x:c r="M318" s="151" t="str">
        <x:f>IFERROR(VLOOKUP(F318,'Base Sectores'!$A$5:$J$47,9,FALSE),"")</x:f>
      </x:c>
      <x:c r="N318" s="154"/>
      <x:c r="O318" s="151" t="str">
        <x:f>IFERROR(VLOOKUP(N318,'Configuracion'!$D$4:$H$15,2,FALSE),"")</x:f>
      </x:c>
      <x:c r="P318" s="151" t="str">
        <x:f>IFERROR(VLOOKUP(N318,'Configuracion'!$D$4:$H$15,3,FALSE),"")</x:f>
      </x:c>
      <x:c r="Q318" s="155"/>
      <x:c r="R318" s="156" t="str">
        <x:f>IFERROR(VLOOKUP(N318,'Configuracion'!$D$4:$H$15,4,FALSE),"")</x:f>
      </x:c>
      <x:c r="S318" s="153"/>
      <x:c r="T318" s="153"/>
      <x:c r="U318" s="156" t="str">
        <x:f>IF(OR(S318="",T318=""),"",MOD(T318-S318,1)*24)</x:f>
      </x:c>
      <x:c r="V318" s="154"/>
      <x:c r="W318" s="154"/>
      <x:c r="X318" s="151" t="str">
        <x:f>IFERROR(VLOOKUP(N318,'Configuracion'!$D$4:$H$15,5,FALSE),"")</x:f>
      </x:c>
      <x:c r="Y318" s="151" t="str">
        <x:f>IFERROR(VLOOKUP(V318,'Cuadrillas'!$A$5:$J$14,2,FALSE),"")</x:f>
      </x:c>
      <x:c r="Z318" s="154"/>
      <x:c r="AA318" s="154"/>
      <x:c r="AB318" s="154"/>
      <x:c r="AC318" s="153"/>
      <x:c r="AD318" s="153"/>
      <x:c r="AE318" s="156" t="str">
        <x:f>IF(OR(AC318="",AD318=""),"",MOD(AD318-AC318,1)*24)</x:f>
      </x:c>
      <x:c r="AF318" s="154"/>
      <x:c r="AG318" s="156" t="str">
        <x:f>IF(AE318="","",MAX(0,AE318-IF(AF318="",0,AF318/60)))</x:f>
      </x:c>
      <x:c r="AH318" s="155"/>
      <x:c r="AI318" s="154"/>
      <x:c r="AJ318" s="154"/>
      <x:c r="AK318" s="156" t="n">
        <x:f>IFERROR(U318*W318,"")</x:f>
        <x:v>0</x:v>
      </x:c>
      <x:c r="AL318" s="156" t="n">
        <x:f>IFERROR(AE318*AI318,"")</x:f>
        <x:v>0</x:v>
      </x:c>
      <x:c r="AM318" s="157" t="str">
        <x:f>IFERROR(AH318/Q318,"")</x:f>
      </x:c>
      <x:c r="AN318" s="156" t="str">
        <x:f>IFERROR(AH318/AG318,"")</x:f>
      </x:c>
      <x:c r="AO318" s="156" t="str">
        <x:f>IFERROR(AL318/AH318,"")</x:f>
      </x:c>
      <x:c r="AP318" s="157" t="str">
        <x:f>IFERROR(AG318/AE318,"")</x:f>
      </x:c>
      <x:c r="AQ318" s="157" t="str">
        <x:f>IFERROR(AN318/(R318/'Configuracion'!$B$13),"")</x:f>
      </x:c>
      <x:c r="AR318" s="156" t="n">
        <x:f>IFERROR(AE318-U318,"")</x:f>
        <x:v>0</x:v>
      </x:c>
      <x:c r="AS318" s="154"/>
      <x:c r="AT318" s="154"/>
      <x:c r="AU318" s="154"/>
      <x:c r="AV318" s="154"/>
      <x:c r="AW318" s="152"/>
      <x:c r="AX318" s="154"/>
      <x:c r="AY318" s="154"/>
      <x:c r="AZ318" s="151"/>
      <x:c r="BA318" s="151"/>
    </x:row>
    <x:row r="319">
      <x:c r="A319" s="151" t="str">
        <x:f>IF(B319="","",TEXT(B319,"yyyymmdd")&amp;"-"&amp;TEXT(COUNTIF($B$5:B319,B319),"000"))</x:f>
      </x:c>
      <x:c r="B319" s="152"/>
      <x:c r="C319" s="153"/>
      <x:c r="D319" s="151" t="str">
        <x:f>IF(B319="","",'Configuracion'!$B$4)</x:f>
      </x:c>
      <x:c r="E319" s="154"/>
      <x:c r="F319" s="154"/>
      <x:c r="G319" s="151" t="str">
        <x:f>IFERROR(VLOOKUP(F319,'Base Sectores'!$A$5:$J$47,2,FALSE),"")</x:f>
      </x:c>
      <x:c r="H319" s="151" t="str">
        <x:f>IFERROR(VLOOKUP(F319,'Base Sectores'!$A$5:$J$47,3,FALSE),"")</x:f>
      </x:c>
      <x:c r="I319" s="151" t="str">
        <x:f>IFERROR(VLOOKUP(F319,'Base Sectores'!$A$5:$J$47,4,FALSE),"")</x:f>
      </x:c>
      <x:c r="J319" s="151" t="str">
        <x:f>IFERROR(VLOOKUP(F319,'Base Sectores'!$A$5:$J$47,5,FALSE),"")</x:f>
      </x:c>
      <x:c r="K319" s="151" t="str">
        <x:f>IFERROR(VLOOKUP(F319,'Base Sectores'!$A$5:$J$47,6,FALSE),"")</x:f>
      </x:c>
      <x:c r="L319" s="151" t="str">
        <x:f>IFERROR(VLOOKUP(F319,'Base Sectores'!$A$5:$J$47,7,FALSE),"")</x:f>
      </x:c>
      <x:c r="M319" s="151" t="str">
        <x:f>IFERROR(VLOOKUP(F319,'Base Sectores'!$A$5:$J$47,9,FALSE),"")</x:f>
      </x:c>
      <x:c r="N319" s="154"/>
      <x:c r="O319" s="151" t="str">
        <x:f>IFERROR(VLOOKUP(N319,'Configuracion'!$D$4:$H$15,2,FALSE),"")</x:f>
      </x:c>
      <x:c r="P319" s="151" t="str">
        <x:f>IFERROR(VLOOKUP(N319,'Configuracion'!$D$4:$H$15,3,FALSE),"")</x:f>
      </x:c>
      <x:c r="Q319" s="155"/>
      <x:c r="R319" s="156" t="str">
        <x:f>IFERROR(VLOOKUP(N319,'Configuracion'!$D$4:$H$15,4,FALSE),"")</x:f>
      </x:c>
      <x:c r="S319" s="153"/>
      <x:c r="T319" s="153"/>
      <x:c r="U319" s="156" t="str">
        <x:f>IF(OR(S319="",T319=""),"",MOD(T319-S319,1)*24)</x:f>
      </x:c>
      <x:c r="V319" s="154"/>
      <x:c r="W319" s="154"/>
      <x:c r="X319" s="151" t="str">
        <x:f>IFERROR(VLOOKUP(N319,'Configuracion'!$D$4:$H$15,5,FALSE),"")</x:f>
      </x:c>
      <x:c r="Y319" s="151" t="str">
        <x:f>IFERROR(VLOOKUP(V319,'Cuadrillas'!$A$5:$J$14,2,FALSE),"")</x:f>
      </x:c>
      <x:c r="Z319" s="154"/>
      <x:c r="AA319" s="154"/>
      <x:c r="AB319" s="154"/>
      <x:c r="AC319" s="153"/>
      <x:c r="AD319" s="153"/>
      <x:c r="AE319" s="156" t="str">
        <x:f>IF(OR(AC319="",AD319=""),"",MOD(AD319-AC319,1)*24)</x:f>
      </x:c>
      <x:c r="AF319" s="154"/>
      <x:c r="AG319" s="156" t="str">
        <x:f>IF(AE319="","",MAX(0,AE319-IF(AF319="",0,AF319/60)))</x:f>
      </x:c>
      <x:c r="AH319" s="155"/>
      <x:c r="AI319" s="154"/>
      <x:c r="AJ319" s="154"/>
      <x:c r="AK319" s="156" t="n">
        <x:f>IFERROR(U319*W319,"")</x:f>
        <x:v>0</x:v>
      </x:c>
      <x:c r="AL319" s="156" t="n">
        <x:f>IFERROR(AE319*AI319,"")</x:f>
        <x:v>0</x:v>
      </x:c>
      <x:c r="AM319" s="157" t="str">
        <x:f>IFERROR(AH319/Q319,"")</x:f>
      </x:c>
      <x:c r="AN319" s="156" t="str">
        <x:f>IFERROR(AH319/AG319,"")</x:f>
      </x:c>
      <x:c r="AO319" s="156" t="str">
        <x:f>IFERROR(AL319/AH319,"")</x:f>
      </x:c>
      <x:c r="AP319" s="157" t="str">
        <x:f>IFERROR(AG319/AE319,"")</x:f>
      </x:c>
      <x:c r="AQ319" s="157" t="str">
        <x:f>IFERROR(AN319/(R319/'Configuracion'!$B$13),"")</x:f>
      </x:c>
      <x:c r="AR319" s="156" t="n">
        <x:f>IFERROR(AE319-U319,"")</x:f>
        <x:v>0</x:v>
      </x:c>
      <x:c r="AS319" s="154"/>
      <x:c r="AT319" s="154"/>
      <x:c r="AU319" s="154"/>
      <x:c r="AV319" s="154"/>
      <x:c r="AW319" s="152"/>
      <x:c r="AX319" s="154"/>
      <x:c r="AY319" s="154"/>
      <x:c r="AZ319" s="151"/>
      <x:c r="BA319" s="151"/>
    </x:row>
    <x:row r="320">
      <x:c r="A320" s="151" t="str">
        <x:f>IF(B320="","",TEXT(B320,"yyyymmdd")&amp;"-"&amp;TEXT(COUNTIF($B$5:B320,B320),"000"))</x:f>
      </x:c>
      <x:c r="B320" s="152"/>
      <x:c r="C320" s="153"/>
      <x:c r="D320" s="151" t="str">
        <x:f>IF(B320="","",'Configuracion'!$B$4)</x:f>
      </x:c>
      <x:c r="E320" s="154"/>
      <x:c r="F320" s="154"/>
      <x:c r="G320" s="151" t="str">
        <x:f>IFERROR(VLOOKUP(F320,'Base Sectores'!$A$5:$J$47,2,FALSE),"")</x:f>
      </x:c>
      <x:c r="H320" s="151" t="str">
        <x:f>IFERROR(VLOOKUP(F320,'Base Sectores'!$A$5:$J$47,3,FALSE),"")</x:f>
      </x:c>
      <x:c r="I320" s="151" t="str">
        <x:f>IFERROR(VLOOKUP(F320,'Base Sectores'!$A$5:$J$47,4,FALSE),"")</x:f>
      </x:c>
      <x:c r="J320" s="151" t="str">
        <x:f>IFERROR(VLOOKUP(F320,'Base Sectores'!$A$5:$J$47,5,FALSE),"")</x:f>
      </x:c>
      <x:c r="K320" s="151" t="str">
        <x:f>IFERROR(VLOOKUP(F320,'Base Sectores'!$A$5:$J$47,6,FALSE),"")</x:f>
      </x:c>
      <x:c r="L320" s="151" t="str">
        <x:f>IFERROR(VLOOKUP(F320,'Base Sectores'!$A$5:$J$47,7,FALSE),"")</x:f>
      </x:c>
      <x:c r="M320" s="151" t="str">
        <x:f>IFERROR(VLOOKUP(F320,'Base Sectores'!$A$5:$J$47,9,FALSE),"")</x:f>
      </x:c>
      <x:c r="N320" s="154"/>
      <x:c r="O320" s="151" t="str">
        <x:f>IFERROR(VLOOKUP(N320,'Configuracion'!$D$4:$H$15,2,FALSE),"")</x:f>
      </x:c>
      <x:c r="P320" s="151" t="str">
        <x:f>IFERROR(VLOOKUP(N320,'Configuracion'!$D$4:$H$15,3,FALSE),"")</x:f>
      </x:c>
      <x:c r="Q320" s="155"/>
      <x:c r="R320" s="156" t="str">
        <x:f>IFERROR(VLOOKUP(N320,'Configuracion'!$D$4:$H$15,4,FALSE),"")</x:f>
      </x:c>
      <x:c r="S320" s="153"/>
      <x:c r="T320" s="153"/>
      <x:c r="U320" s="156" t="str">
        <x:f>IF(OR(S320="",T320=""),"",MOD(T320-S320,1)*24)</x:f>
      </x:c>
      <x:c r="V320" s="154"/>
      <x:c r="W320" s="154"/>
      <x:c r="X320" s="151" t="str">
        <x:f>IFERROR(VLOOKUP(N320,'Configuracion'!$D$4:$H$15,5,FALSE),"")</x:f>
      </x:c>
      <x:c r="Y320" s="151" t="str">
        <x:f>IFERROR(VLOOKUP(V320,'Cuadrillas'!$A$5:$J$14,2,FALSE),"")</x:f>
      </x:c>
      <x:c r="Z320" s="154"/>
      <x:c r="AA320" s="154"/>
      <x:c r="AB320" s="154"/>
      <x:c r="AC320" s="153"/>
      <x:c r="AD320" s="153"/>
      <x:c r="AE320" s="156" t="str">
        <x:f>IF(OR(AC320="",AD320=""),"",MOD(AD320-AC320,1)*24)</x:f>
      </x:c>
      <x:c r="AF320" s="154"/>
      <x:c r="AG320" s="156" t="str">
        <x:f>IF(AE320="","",MAX(0,AE320-IF(AF320="",0,AF320/60)))</x:f>
      </x:c>
      <x:c r="AH320" s="155"/>
      <x:c r="AI320" s="154"/>
      <x:c r="AJ320" s="154"/>
      <x:c r="AK320" s="156" t="n">
        <x:f>IFERROR(U320*W320,"")</x:f>
        <x:v>0</x:v>
      </x:c>
      <x:c r="AL320" s="156" t="n">
        <x:f>IFERROR(AE320*AI320,"")</x:f>
        <x:v>0</x:v>
      </x:c>
      <x:c r="AM320" s="157" t="str">
        <x:f>IFERROR(AH320/Q320,"")</x:f>
      </x:c>
      <x:c r="AN320" s="156" t="str">
        <x:f>IFERROR(AH320/AG320,"")</x:f>
      </x:c>
      <x:c r="AO320" s="156" t="str">
        <x:f>IFERROR(AL320/AH320,"")</x:f>
      </x:c>
      <x:c r="AP320" s="157" t="str">
        <x:f>IFERROR(AG320/AE320,"")</x:f>
      </x:c>
      <x:c r="AQ320" s="157" t="str">
        <x:f>IFERROR(AN320/(R320/'Configuracion'!$B$13),"")</x:f>
      </x:c>
      <x:c r="AR320" s="156" t="n">
        <x:f>IFERROR(AE320-U320,"")</x:f>
        <x:v>0</x:v>
      </x:c>
      <x:c r="AS320" s="154"/>
      <x:c r="AT320" s="154"/>
      <x:c r="AU320" s="154"/>
      <x:c r="AV320" s="154"/>
      <x:c r="AW320" s="152"/>
      <x:c r="AX320" s="154"/>
      <x:c r="AY320" s="154"/>
      <x:c r="AZ320" s="151"/>
      <x:c r="BA320" s="151"/>
    </x:row>
    <x:row r="321">
      <x:c r="A321" s="151" t="str">
        <x:f>IF(B321="","",TEXT(B321,"yyyymmdd")&amp;"-"&amp;TEXT(COUNTIF($B$5:B321,B321),"000"))</x:f>
      </x:c>
      <x:c r="B321" s="152"/>
      <x:c r="C321" s="153"/>
      <x:c r="D321" s="151" t="str">
        <x:f>IF(B321="","",'Configuracion'!$B$4)</x:f>
      </x:c>
      <x:c r="E321" s="154"/>
      <x:c r="F321" s="154"/>
      <x:c r="G321" s="151" t="str">
        <x:f>IFERROR(VLOOKUP(F321,'Base Sectores'!$A$5:$J$47,2,FALSE),"")</x:f>
      </x:c>
      <x:c r="H321" s="151" t="str">
        <x:f>IFERROR(VLOOKUP(F321,'Base Sectores'!$A$5:$J$47,3,FALSE),"")</x:f>
      </x:c>
      <x:c r="I321" s="151" t="str">
        <x:f>IFERROR(VLOOKUP(F321,'Base Sectores'!$A$5:$J$47,4,FALSE),"")</x:f>
      </x:c>
      <x:c r="J321" s="151" t="str">
        <x:f>IFERROR(VLOOKUP(F321,'Base Sectores'!$A$5:$J$47,5,FALSE),"")</x:f>
      </x:c>
      <x:c r="K321" s="151" t="str">
        <x:f>IFERROR(VLOOKUP(F321,'Base Sectores'!$A$5:$J$47,6,FALSE),"")</x:f>
      </x:c>
      <x:c r="L321" s="151" t="str">
        <x:f>IFERROR(VLOOKUP(F321,'Base Sectores'!$A$5:$J$47,7,FALSE),"")</x:f>
      </x:c>
      <x:c r="M321" s="151" t="str">
        <x:f>IFERROR(VLOOKUP(F321,'Base Sectores'!$A$5:$J$47,9,FALSE),"")</x:f>
      </x:c>
      <x:c r="N321" s="154"/>
      <x:c r="O321" s="151" t="str">
        <x:f>IFERROR(VLOOKUP(N321,'Configuracion'!$D$4:$H$15,2,FALSE),"")</x:f>
      </x:c>
      <x:c r="P321" s="151" t="str">
        <x:f>IFERROR(VLOOKUP(N321,'Configuracion'!$D$4:$H$15,3,FALSE),"")</x:f>
      </x:c>
      <x:c r="Q321" s="155"/>
      <x:c r="R321" s="156" t="str">
        <x:f>IFERROR(VLOOKUP(N321,'Configuracion'!$D$4:$H$15,4,FALSE),"")</x:f>
      </x:c>
      <x:c r="S321" s="153"/>
      <x:c r="T321" s="153"/>
      <x:c r="U321" s="156" t="str">
        <x:f>IF(OR(S321="",T321=""),"",MOD(T321-S321,1)*24)</x:f>
      </x:c>
      <x:c r="V321" s="154"/>
      <x:c r="W321" s="154"/>
      <x:c r="X321" s="151" t="str">
        <x:f>IFERROR(VLOOKUP(N321,'Configuracion'!$D$4:$H$15,5,FALSE),"")</x:f>
      </x:c>
      <x:c r="Y321" s="151" t="str">
        <x:f>IFERROR(VLOOKUP(V321,'Cuadrillas'!$A$5:$J$14,2,FALSE),"")</x:f>
      </x:c>
      <x:c r="Z321" s="154"/>
      <x:c r="AA321" s="154"/>
      <x:c r="AB321" s="154"/>
      <x:c r="AC321" s="153"/>
      <x:c r="AD321" s="153"/>
      <x:c r="AE321" s="156" t="str">
        <x:f>IF(OR(AC321="",AD321=""),"",MOD(AD321-AC321,1)*24)</x:f>
      </x:c>
      <x:c r="AF321" s="154"/>
      <x:c r="AG321" s="156" t="str">
        <x:f>IF(AE321="","",MAX(0,AE321-IF(AF321="",0,AF321/60)))</x:f>
      </x:c>
      <x:c r="AH321" s="155"/>
      <x:c r="AI321" s="154"/>
      <x:c r="AJ321" s="154"/>
      <x:c r="AK321" s="156" t="n">
        <x:f>IFERROR(U321*W321,"")</x:f>
        <x:v>0</x:v>
      </x:c>
      <x:c r="AL321" s="156" t="n">
        <x:f>IFERROR(AE321*AI321,"")</x:f>
        <x:v>0</x:v>
      </x:c>
      <x:c r="AM321" s="157" t="str">
        <x:f>IFERROR(AH321/Q321,"")</x:f>
      </x:c>
      <x:c r="AN321" s="156" t="str">
        <x:f>IFERROR(AH321/AG321,"")</x:f>
      </x:c>
      <x:c r="AO321" s="156" t="str">
        <x:f>IFERROR(AL321/AH321,"")</x:f>
      </x:c>
      <x:c r="AP321" s="157" t="str">
        <x:f>IFERROR(AG321/AE321,"")</x:f>
      </x:c>
      <x:c r="AQ321" s="157" t="str">
        <x:f>IFERROR(AN321/(R321/'Configuracion'!$B$13),"")</x:f>
      </x:c>
      <x:c r="AR321" s="156" t="n">
        <x:f>IFERROR(AE321-U321,"")</x:f>
        <x:v>0</x:v>
      </x:c>
      <x:c r="AS321" s="154"/>
      <x:c r="AT321" s="154"/>
      <x:c r="AU321" s="154"/>
      <x:c r="AV321" s="154"/>
      <x:c r="AW321" s="152"/>
      <x:c r="AX321" s="154"/>
      <x:c r="AY321" s="154"/>
      <x:c r="AZ321" s="151"/>
      <x:c r="BA321" s="151"/>
    </x:row>
    <x:row r="322">
      <x:c r="A322" s="151" t="str">
        <x:f>IF(B322="","",TEXT(B322,"yyyymmdd")&amp;"-"&amp;TEXT(COUNTIF($B$5:B322,B322),"000"))</x:f>
      </x:c>
      <x:c r="B322" s="152"/>
      <x:c r="C322" s="153"/>
      <x:c r="D322" s="151" t="str">
        <x:f>IF(B322="","",'Configuracion'!$B$4)</x:f>
      </x:c>
      <x:c r="E322" s="154"/>
      <x:c r="F322" s="154"/>
      <x:c r="G322" s="151" t="str">
        <x:f>IFERROR(VLOOKUP(F322,'Base Sectores'!$A$5:$J$47,2,FALSE),"")</x:f>
      </x:c>
      <x:c r="H322" s="151" t="str">
        <x:f>IFERROR(VLOOKUP(F322,'Base Sectores'!$A$5:$J$47,3,FALSE),"")</x:f>
      </x:c>
      <x:c r="I322" s="151" t="str">
        <x:f>IFERROR(VLOOKUP(F322,'Base Sectores'!$A$5:$J$47,4,FALSE),"")</x:f>
      </x:c>
      <x:c r="J322" s="151" t="str">
        <x:f>IFERROR(VLOOKUP(F322,'Base Sectores'!$A$5:$J$47,5,FALSE),"")</x:f>
      </x:c>
      <x:c r="K322" s="151" t="str">
        <x:f>IFERROR(VLOOKUP(F322,'Base Sectores'!$A$5:$J$47,6,FALSE),"")</x:f>
      </x:c>
      <x:c r="L322" s="151" t="str">
        <x:f>IFERROR(VLOOKUP(F322,'Base Sectores'!$A$5:$J$47,7,FALSE),"")</x:f>
      </x:c>
      <x:c r="M322" s="151" t="str">
        <x:f>IFERROR(VLOOKUP(F322,'Base Sectores'!$A$5:$J$47,9,FALSE),"")</x:f>
      </x:c>
      <x:c r="N322" s="154"/>
      <x:c r="O322" s="151" t="str">
        <x:f>IFERROR(VLOOKUP(N322,'Configuracion'!$D$4:$H$15,2,FALSE),"")</x:f>
      </x:c>
      <x:c r="P322" s="151" t="str">
        <x:f>IFERROR(VLOOKUP(N322,'Configuracion'!$D$4:$H$15,3,FALSE),"")</x:f>
      </x:c>
      <x:c r="Q322" s="155"/>
      <x:c r="R322" s="156" t="str">
        <x:f>IFERROR(VLOOKUP(N322,'Configuracion'!$D$4:$H$15,4,FALSE),"")</x:f>
      </x:c>
      <x:c r="S322" s="153"/>
      <x:c r="T322" s="153"/>
      <x:c r="U322" s="156" t="str">
        <x:f>IF(OR(S322="",T322=""),"",MOD(T322-S322,1)*24)</x:f>
      </x:c>
      <x:c r="V322" s="154"/>
      <x:c r="W322" s="154"/>
      <x:c r="X322" s="151" t="str">
        <x:f>IFERROR(VLOOKUP(N322,'Configuracion'!$D$4:$H$15,5,FALSE),"")</x:f>
      </x:c>
      <x:c r="Y322" s="151" t="str">
        <x:f>IFERROR(VLOOKUP(V322,'Cuadrillas'!$A$5:$J$14,2,FALSE),"")</x:f>
      </x:c>
      <x:c r="Z322" s="154"/>
      <x:c r="AA322" s="154"/>
      <x:c r="AB322" s="154"/>
      <x:c r="AC322" s="153"/>
      <x:c r="AD322" s="153"/>
      <x:c r="AE322" s="156" t="str">
        <x:f>IF(OR(AC322="",AD322=""),"",MOD(AD322-AC322,1)*24)</x:f>
      </x:c>
      <x:c r="AF322" s="154"/>
      <x:c r="AG322" s="156" t="str">
        <x:f>IF(AE322="","",MAX(0,AE322-IF(AF322="",0,AF322/60)))</x:f>
      </x:c>
      <x:c r="AH322" s="155"/>
      <x:c r="AI322" s="154"/>
      <x:c r="AJ322" s="154"/>
      <x:c r="AK322" s="156" t="n">
        <x:f>IFERROR(U322*W322,"")</x:f>
        <x:v>0</x:v>
      </x:c>
      <x:c r="AL322" s="156" t="n">
        <x:f>IFERROR(AE322*AI322,"")</x:f>
        <x:v>0</x:v>
      </x:c>
      <x:c r="AM322" s="157" t="str">
        <x:f>IFERROR(AH322/Q322,"")</x:f>
      </x:c>
      <x:c r="AN322" s="156" t="str">
        <x:f>IFERROR(AH322/AG322,"")</x:f>
      </x:c>
      <x:c r="AO322" s="156" t="str">
        <x:f>IFERROR(AL322/AH322,"")</x:f>
      </x:c>
      <x:c r="AP322" s="157" t="str">
        <x:f>IFERROR(AG322/AE322,"")</x:f>
      </x:c>
      <x:c r="AQ322" s="157" t="str">
        <x:f>IFERROR(AN322/(R322/'Configuracion'!$B$13),"")</x:f>
      </x:c>
      <x:c r="AR322" s="156" t="n">
        <x:f>IFERROR(AE322-U322,"")</x:f>
        <x:v>0</x:v>
      </x:c>
      <x:c r="AS322" s="154"/>
      <x:c r="AT322" s="154"/>
      <x:c r="AU322" s="154"/>
      <x:c r="AV322" s="154"/>
      <x:c r="AW322" s="152"/>
      <x:c r="AX322" s="154"/>
      <x:c r="AY322" s="154"/>
      <x:c r="AZ322" s="151"/>
      <x:c r="BA322" s="151"/>
    </x:row>
    <x:row r="323">
      <x:c r="A323" s="151" t="str">
        <x:f>IF(B323="","",TEXT(B323,"yyyymmdd")&amp;"-"&amp;TEXT(COUNTIF($B$5:B323,B323),"000"))</x:f>
      </x:c>
      <x:c r="B323" s="152"/>
      <x:c r="C323" s="153"/>
      <x:c r="D323" s="151" t="str">
        <x:f>IF(B323="","",'Configuracion'!$B$4)</x:f>
      </x:c>
      <x:c r="E323" s="154"/>
      <x:c r="F323" s="154"/>
      <x:c r="G323" s="151" t="str">
        <x:f>IFERROR(VLOOKUP(F323,'Base Sectores'!$A$5:$J$47,2,FALSE),"")</x:f>
      </x:c>
      <x:c r="H323" s="151" t="str">
        <x:f>IFERROR(VLOOKUP(F323,'Base Sectores'!$A$5:$J$47,3,FALSE),"")</x:f>
      </x:c>
      <x:c r="I323" s="151" t="str">
        <x:f>IFERROR(VLOOKUP(F323,'Base Sectores'!$A$5:$J$47,4,FALSE),"")</x:f>
      </x:c>
      <x:c r="J323" s="151" t="str">
        <x:f>IFERROR(VLOOKUP(F323,'Base Sectores'!$A$5:$J$47,5,FALSE),"")</x:f>
      </x:c>
      <x:c r="K323" s="151" t="str">
        <x:f>IFERROR(VLOOKUP(F323,'Base Sectores'!$A$5:$J$47,6,FALSE),"")</x:f>
      </x:c>
      <x:c r="L323" s="151" t="str">
        <x:f>IFERROR(VLOOKUP(F323,'Base Sectores'!$A$5:$J$47,7,FALSE),"")</x:f>
      </x:c>
      <x:c r="M323" s="151" t="str">
        <x:f>IFERROR(VLOOKUP(F323,'Base Sectores'!$A$5:$J$47,9,FALSE),"")</x:f>
      </x:c>
      <x:c r="N323" s="154"/>
      <x:c r="O323" s="151" t="str">
        <x:f>IFERROR(VLOOKUP(N323,'Configuracion'!$D$4:$H$15,2,FALSE),"")</x:f>
      </x:c>
      <x:c r="P323" s="151" t="str">
        <x:f>IFERROR(VLOOKUP(N323,'Configuracion'!$D$4:$H$15,3,FALSE),"")</x:f>
      </x:c>
      <x:c r="Q323" s="155"/>
      <x:c r="R323" s="156" t="str">
        <x:f>IFERROR(VLOOKUP(N323,'Configuracion'!$D$4:$H$15,4,FALSE),"")</x:f>
      </x:c>
      <x:c r="S323" s="153"/>
      <x:c r="T323" s="153"/>
      <x:c r="U323" s="156" t="str">
        <x:f>IF(OR(S323="",T323=""),"",MOD(T323-S323,1)*24)</x:f>
      </x:c>
      <x:c r="V323" s="154"/>
      <x:c r="W323" s="154"/>
      <x:c r="X323" s="151" t="str">
        <x:f>IFERROR(VLOOKUP(N323,'Configuracion'!$D$4:$H$15,5,FALSE),"")</x:f>
      </x:c>
      <x:c r="Y323" s="151" t="str">
        <x:f>IFERROR(VLOOKUP(V323,'Cuadrillas'!$A$5:$J$14,2,FALSE),"")</x:f>
      </x:c>
      <x:c r="Z323" s="154"/>
      <x:c r="AA323" s="154"/>
      <x:c r="AB323" s="154"/>
      <x:c r="AC323" s="153"/>
      <x:c r="AD323" s="153"/>
      <x:c r="AE323" s="156" t="str">
        <x:f>IF(OR(AC323="",AD323=""),"",MOD(AD323-AC323,1)*24)</x:f>
      </x:c>
      <x:c r="AF323" s="154"/>
      <x:c r="AG323" s="156" t="str">
        <x:f>IF(AE323="","",MAX(0,AE323-IF(AF323="",0,AF323/60)))</x:f>
      </x:c>
      <x:c r="AH323" s="155"/>
      <x:c r="AI323" s="154"/>
      <x:c r="AJ323" s="154"/>
      <x:c r="AK323" s="156" t="n">
        <x:f>IFERROR(U323*W323,"")</x:f>
        <x:v>0</x:v>
      </x:c>
      <x:c r="AL323" s="156" t="n">
        <x:f>IFERROR(AE323*AI323,"")</x:f>
        <x:v>0</x:v>
      </x:c>
      <x:c r="AM323" s="157" t="str">
        <x:f>IFERROR(AH323/Q323,"")</x:f>
      </x:c>
      <x:c r="AN323" s="156" t="str">
        <x:f>IFERROR(AH323/AG323,"")</x:f>
      </x:c>
      <x:c r="AO323" s="156" t="str">
        <x:f>IFERROR(AL323/AH323,"")</x:f>
      </x:c>
      <x:c r="AP323" s="157" t="str">
        <x:f>IFERROR(AG323/AE323,"")</x:f>
      </x:c>
      <x:c r="AQ323" s="157" t="str">
        <x:f>IFERROR(AN323/(R323/'Configuracion'!$B$13),"")</x:f>
      </x:c>
      <x:c r="AR323" s="156" t="n">
        <x:f>IFERROR(AE323-U323,"")</x:f>
        <x:v>0</x:v>
      </x:c>
      <x:c r="AS323" s="154"/>
      <x:c r="AT323" s="154"/>
      <x:c r="AU323" s="154"/>
      <x:c r="AV323" s="154"/>
      <x:c r="AW323" s="152"/>
      <x:c r="AX323" s="154"/>
      <x:c r="AY323" s="154"/>
      <x:c r="AZ323" s="151"/>
      <x:c r="BA323" s="151"/>
    </x:row>
    <x:row r="324">
      <x:c r="A324" s="151" t="str">
        <x:f>IF(B324="","",TEXT(B324,"yyyymmdd")&amp;"-"&amp;TEXT(COUNTIF($B$5:B324,B324),"000"))</x:f>
      </x:c>
      <x:c r="B324" s="152"/>
      <x:c r="C324" s="153"/>
      <x:c r="D324" s="151" t="str">
        <x:f>IF(B324="","",'Configuracion'!$B$4)</x:f>
      </x:c>
      <x:c r="E324" s="154"/>
      <x:c r="F324" s="154"/>
      <x:c r="G324" s="151" t="str">
        <x:f>IFERROR(VLOOKUP(F324,'Base Sectores'!$A$5:$J$47,2,FALSE),"")</x:f>
      </x:c>
      <x:c r="H324" s="151" t="str">
        <x:f>IFERROR(VLOOKUP(F324,'Base Sectores'!$A$5:$J$47,3,FALSE),"")</x:f>
      </x:c>
      <x:c r="I324" s="151" t="str">
        <x:f>IFERROR(VLOOKUP(F324,'Base Sectores'!$A$5:$J$47,4,FALSE),"")</x:f>
      </x:c>
      <x:c r="J324" s="151" t="str">
        <x:f>IFERROR(VLOOKUP(F324,'Base Sectores'!$A$5:$J$47,5,FALSE),"")</x:f>
      </x:c>
      <x:c r="K324" s="151" t="str">
        <x:f>IFERROR(VLOOKUP(F324,'Base Sectores'!$A$5:$J$47,6,FALSE),"")</x:f>
      </x:c>
      <x:c r="L324" s="151" t="str">
        <x:f>IFERROR(VLOOKUP(F324,'Base Sectores'!$A$5:$J$47,7,FALSE),"")</x:f>
      </x:c>
      <x:c r="M324" s="151" t="str">
        <x:f>IFERROR(VLOOKUP(F324,'Base Sectores'!$A$5:$J$47,9,FALSE),"")</x:f>
      </x:c>
      <x:c r="N324" s="154"/>
      <x:c r="O324" s="151" t="str">
        <x:f>IFERROR(VLOOKUP(N324,'Configuracion'!$D$4:$H$15,2,FALSE),"")</x:f>
      </x:c>
      <x:c r="P324" s="151" t="str">
        <x:f>IFERROR(VLOOKUP(N324,'Configuracion'!$D$4:$H$15,3,FALSE),"")</x:f>
      </x:c>
      <x:c r="Q324" s="155"/>
      <x:c r="R324" s="156" t="str">
        <x:f>IFERROR(VLOOKUP(N324,'Configuracion'!$D$4:$H$15,4,FALSE),"")</x:f>
      </x:c>
      <x:c r="S324" s="153"/>
      <x:c r="T324" s="153"/>
      <x:c r="U324" s="156" t="str">
        <x:f>IF(OR(S324="",T324=""),"",MOD(T324-S324,1)*24)</x:f>
      </x:c>
      <x:c r="V324" s="154"/>
      <x:c r="W324" s="154"/>
      <x:c r="X324" s="151" t="str">
        <x:f>IFERROR(VLOOKUP(N324,'Configuracion'!$D$4:$H$15,5,FALSE),"")</x:f>
      </x:c>
      <x:c r="Y324" s="151" t="str">
        <x:f>IFERROR(VLOOKUP(V324,'Cuadrillas'!$A$5:$J$14,2,FALSE),"")</x:f>
      </x:c>
      <x:c r="Z324" s="154"/>
      <x:c r="AA324" s="154"/>
      <x:c r="AB324" s="154"/>
      <x:c r="AC324" s="153"/>
      <x:c r="AD324" s="153"/>
      <x:c r="AE324" s="156" t="str">
        <x:f>IF(OR(AC324="",AD324=""),"",MOD(AD324-AC324,1)*24)</x:f>
      </x:c>
      <x:c r="AF324" s="154"/>
      <x:c r="AG324" s="156" t="str">
        <x:f>IF(AE324="","",MAX(0,AE324-IF(AF324="",0,AF324/60)))</x:f>
      </x:c>
      <x:c r="AH324" s="155"/>
      <x:c r="AI324" s="154"/>
      <x:c r="AJ324" s="154"/>
      <x:c r="AK324" s="156" t="n">
        <x:f>IFERROR(U324*W324,"")</x:f>
        <x:v>0</x:v>
      </x:c>
      <x:c r="AL324" s="156" t="n">
        <x:f>IFERROR(AE324*AI324,"")</x:f>
        <x:v>0</x:v>
      </x:c>
      <x:c r="AM324" s="157" t="str">
        <x:f>IFERROR(AH324/Q324,"")</x:f>
      </x:c>
      <x:c r="AN324" s="156" t="str">
        <x:f>IFERROR(AH324/AG324,"")</x:f>
      </x:c>
      <x:c r="AO324" s="156" t="str">
        <x:f>IFERROR(AL324/AH324,"")</x:f>
      </x:c>
      <x:c r="AP324" s="157" t="str">
        <x:f>IFERROR(AG324/AE324,"")</x:f>
      </x:c>
      <x:c r="AQ324" s="157" t="str">
        <x:f>IFERROR(AN324/(R324/'Configuracion'!$B$13),"")</x:f>
      </x:c>
      <x:c r="AR324" s="156" t="n">
        <x:f>IFERROR(AE324-U324,"")</x:f>
        <x:v>0</x:v>
      </x:c>
      <x:c r="AS324" s="154"/>
      <x:c r="AT324" s="154"/>
      <x:c r="AU324" s="154"/>
      <x:c r="AV324" s="154"/>
      <x:c r="AW324" s="152"/>
      <x:c r="AX324" s="154"/>
      <x:c r="AY324" s="154"/>
      <x:c r="AZ324" s="151"/>
      <x:c r="BA324" s="151"/>
    </x:row>
    <x:row r="325">
      <x:c r="A325" s="151" t="str">
        <x:f>IF(B325="","",TEXT(B325,"yyyymmdd")&amp;"-"&amp;TEXT(COUNTIF($B$5:B325,B325),"000"))</x:f>
      </x:c>
      <x:c r="B325" s="152"/>
      <x:c r="C325" s="153"/>
      <x:c r="D325" s="151" t="str">
        <x:f>IF(B325="","",'Configuracion'!$B$4)</x:f>
      </x:c>
      <x:c r="E325" s="154"/>
      <x:c r="F325" s="154"/>
      <x:c r="G325" s="151" t="str">
        <x:f>IFERROR(VLOOKUP(F325,'Base Sectores'!$A$5:$J$47,2,FALSE),"")</x:f>
      </x:c>
      <x:c r="H325" s="151" t="str">
        <x:f>IFERROR(VLOOKUP(F325,'Base Sectores'!$A$5:$J$47,3,FALSE),"")</x:f>
      </x:c>
      <x:c r="I325" s="151" t="str">
        <x:f>IFERROR(VLOOKUP(F325,'Base Sectores'!$A$5:$J$47,4,FALSE),"")</x:f>
      </x:c>
      <x:c r="J325" s="151" t="str">
        <x:f>IFERROR(VLOOKUP(F325,'Base Sectores'!$A$5:$J$47,5,FALSE),"")</x:f>
      </x:c>
      <x:c r="K325" s="151" t="str">
        <x:f>IFERROR(VLOOKUP(F325,'Base Sectores'!$A$5:$J$47,6,FALSE),"")</x:f>
      </x:c>
      <x:c r="L325" s="151" t="str">
        <x:f>IFERROR(VLOOKUP(F325,'Base Sectores'!$A$5:$J$47,7,FALSE),"")</x:f>
      </x:c>
      <x:c r="M325" s="151" t="str">
        <x:f>IFERROR(VLOOKUP(F325,'Base Sectores'!$A$5:$J$47,9,FALSE),"")</x:f>
      </x:c>
      <x:c r="N325" s="154"/>
      <x:c r="O325" s="151" t="str">
        <x:f>IFERROR(VLOOKUP(N325,'Configuracion'!$D$4:$H$15,2,FALSE),"")</x:f>
      </x:c>
      <x:c r="P325" s="151" t="str">
        <x:f>IFERROR(VLOOKUP(N325,'Configuracion'!$D$4:$H$15,3,FALSE),"")</x:f>
      </x:c>
      <x:c r="Q325" s="155"/>
      <x:c r="R325" s="156" t="str">
        <x:f>IFERROR(VLOOKUP(N325,'Configuracion'!$D$4:$H$15,4,FALSE),"")</x:f>
      </x:c>
      <x:c r="S325" s="153"/>
      <x:c r="T325" s="153"/>
      <x:c r="U325" s="156" t="str">
        <x:f>IF(OR(S325="",T325=""),"",MOD(T325-S325,1)*24)</x:f>
      </x:c>
      <x:c r="V325" s="154"/>
      <x:c r="W325" s="154"/>
      <x:c r="X325" s="151" t="str">
        <x:f>IFERROR(VLOOKUP(N325,'Configuracion'!$D$4:$H$15,5,FALSE),"")</x:f>
      </x:c>
      <x:c r="Y325" s="151" t="str">
        <x:f>IFERROR(VLOOKUP(V325,'Cuadrillas'!$A$5:$J$14,2,FALSE),"")</x:f>
      </x:c>
      <x:c r="Z325" s="154"/>
      <x:c r="AA325" s="154"/>
      <x:c r="AB325" s="154"/>
      <x:c r="AC325" s="153"/>
      <x:c r="AD325" s="153"/>
      <x:c r="AE325" s="156" t="str">
        <x:f>IF(OR(AC325="",AD325=""),"",MOD(AD325-AC325,1)*24)</x:f>
      </x:c>
      <x:c r="AF325" s="154"/>
      <x:c r="AG325" s="156" t="str">
        <x:f>IF(AE325="","",MAX(0,AE325-IF(AF325="",0,AF325/60)))</x:f>
      </x:c>
      <x:c r="AH325" s="155"/>
      <x:c r="AI325" s="154"/>
      <x:c r="AJ325" s="154"/>
      <x:c r="AK325" s="156" t="n">
        <x:f>IFERROR(U325*W325,"")</x:f>
        <x:v>0</x:v>
      </x:c>
      <x:c r="AL325" s="156" t="n">
        <x:f>IFERROR(AE325*AI325,"")</x:f>
        <x:v>0</x:v>
      </x:c>
      <x:c r="AM325" s="157" t="str">
        <x:f>IFERROR(AH325/Q325,"")</x:f>
      </x:c>
      <x:c r="AN325" s="156" t="str">
        <x:f>IFERROR(AH325/AG325,"")</x:f>
      </x:c>
      <x:c r="AO325" s="156" t="str">
        <x:f>IFERROR(AL325/AH325,"")</x:f>
      </x:c>
      <x:c r="AP325" s="157" t="str">
        <x:f>IFERROR(AG325/AE325,"")</x:f>
      </x:c>
      <x:c r="AQ325" s="157" t="str">
        <x:f>IFERROR(AN325/(R325/'Configuracion'!$B$13),"")</x:f>
      </x:c>
      <x:c r="AR325" s="156" t="n">
        <x:f>IFERROR(AE325-U325,"")</x:f>
        <x:v>0</x:v>
      </x:c>
      <x:c r="AS325" s="154"/>
      <x:c r="AT325" s="154"/>
      <x:c r="AU325" s="154"/>
      <x:c r="AV325" s="154"/>
      <x:c r="AW325" s="152"/>
      <x:c r="AX325" s="154"/>
      <x:c r="AY325" s="154"/>
      <x:c r="AZ325" s="151"/>
      <x:c r="BA325" s="151"/>
    </x:row>
    <x:row r="326">
      <x:c r="A326" s="151" t="str">
        <x:f>IF(B326="","",TEXT(B326,"yyyymmdd")&amp;"-"&amp;TEXT(COUNTIF($B$5:B326,B326),"000"))</x:f>
      </x:c>
      <x:c r="B326" s="152"/>
      <x:c r="C326" s="153"/>
      <x:c r="D326" s="151" t="str">
        <x:f>IF(B326="","",'Configuracion'!$B$4)</x:f>
      </x:c>
      <x:c r="E326" s="154"/>
      <x:c r="F326" s="154"/>
      <x:c r="G326" s="151" t="str">
        <x:f>IFERROR(VLOOKUP(F326,'Base Sectores'!$A$5:$J$47,2,FALSE),"")</x:f>
      </x:c>
      <x:c r="H326" s="151" t="str">
        <x:f>IFERROR(VLOOKUP(F326,'Base Sectores'!$A$5:$J$47,3,FALSE),"")</x:f>
      </x:c>
      <x:c r="I326" s="151" t="str">
        <x:f>IFERROR(VLOOKUP(F326,'Base Sectores'!$A$5:$J$47,4,FALSE),"")</x:f>
      </x:c>
      <x:c r="J326" s="151" t="str">
        <x:f>IFERROR(VLOOKUP(F326,'Base Sectores'!$A$5:$J$47,5,FALSE),"")</x:f>
      </x:c>
      <x:c r="K326" s="151" t="str">
        <x:f>IFERROR(VLOOKUP(F326,'Base Sectores'!$A$5:$J$47,6,FALSE),"")</x:f>
      </x:c>
      <x:c r="L326" s="151" t="str">
        <x:f>IFERROR(VLOOKUP(F326,'Base Sectores'!$A$5:$J$47,7,FALSE),"")</x:f>
      </x:c>
      <x:c r="M326" s="151" t="str">
        <x:f>IFERROR(VLOOKUP(F326,'Base Sectores'!$A$5:$J$47,9,FALSE),"")</x:f>
      </x:c>
      <x:c r="N326" s="154"/>
      <x:c r="O326" s="151" t="str">
        <x:f>IFERROR(VLOOKUP(N326,'Configuracion'!$D$4:$H$15,2,FALSE),"")</x:f>
      </x:c>
      <x:c r="P326" s="151" t="str">
        <x:f>IFERROR(VLOOKUP(N326,'Configuracion'!$D$4:$H$15,3,FALSE),"")</x:f>
      </x:c>
      <x:c r="Q326" s="155"/>
      <x:c r="R326" s="156" t="str">
        <x:f>IFERROR(VLOOKUP(N326,'Configuracion'!$D$4:$H$15,4,FALSE),"")</x:f>
      </x:c>
      <x:c r="S326" s="153"/>
      <x:c r="T326" s="153"/>
      <x:c r="U326" s="156" t="str">
        <x:f>IF(OR(S326="",T326=""),"",MOD(T326-S326,1)*24)</x:f>
      </x:c>
      <x:c r="V326" s="154"/>
      <x:c r="W326" s="154"/>
      <x:c r="X326" s="151" t="str">
        <x:f>IFERROR(VLOOKUP(N326,'Configuracion'!$D$4:$H$15,5,FALSE),"")</x:f>
      </x:c>
      <x:c r="Y326" s="151" t="str">
        <x:f>IFERROR(VLOOKUP(V326,'Cuadrillas'!$A$5:$J$14,2,FALSE),"")</x:f>
      </x:c>
      <x:c r="Z326" s="154"/>
      <x:c r="AA326" s="154"/>
      <x:c r="AB326" s="154"/>
      <x:c r="AC326" s="153"/>
      <x:c r="AD326" s="153"/>
      <x:c r="AE326" s="156" t="str">
        <x:f>IF(OR(AC326="",AD326=""),"",MOD(AD326-AC326,1)*24)</x:f>
      </x:c>
      <x:c r="AF326" s="154"/>
      <x:c r="AG326" s="156" t="str">
        <x:f>IF(AE326="","",MAX(0,AE326-IF(AF326="",0,AF326/60)))</x:f>
      </x:c>
      <x:c r="AH326" s="155"/>
      <x:c r="AI326" s="154"/>
      <x:c r="AJ326" s="154"/>
      <x:c r="AK326" s="156" t="n">
        <x:f>IFERROR(U326*W326,"")</x:f>
        <x:v>0</x:v>
      </x:c>
      <x:c r="AL326" s="156" t="n">
        <x:f>IFERROR(AE326*AI326,"")</x:f>
        <x:v>0</x:v>
      </x:c>
      <x:c r="AM326" s="157" t="str">
        <x:f>IFERROR(AH326/Q326,"")</x:f>
      </x:c>
      <x:c r="AN326" s="156" t="str">
        <x:f>IFERROR(AH326/AG326,"")</x:f>
      </x:c>
      <x:c r="AO326" s="156" t="str">
        <x:f>IFERROR(AL326/AH326,"")</x:f>
      </x:c>
      <x:c r="AP326" s="157" t="str">
        <x:f>IFERROR(AG326/AE326,"")</x:f>
      </x:c>
      <x:c r="AQ326" s="157" t="str">
        <x:f>IFERROR(AN326/(R326/'Configuracion'!$B$13),"")</x:f>
      </x:c>
      <x:c r="AR326" s="156" t="n">
        <x:f>IFERROR(AE326-U326,"")</x:f>
        <x:v>0</x:v>
      </x:c>
      <x:c r="AS326" s="154"/>
      <x:c r="AT326" s="154"/>
      <x:c r="AU326" s="154"/>
      <x:c r="AV326" s="154"/>
      <x:c r="AW326" s="152"/>
      <x:c r="AX326" s="154"/>
      <x:c r="AY326" s="154"/>
      <x:c r="AZ326" s="151"/>
      <x:c r="BA326" s="151"/>
    </x:row>
    <x:row r="327">
      <x:c r="A327" s="151" t="str">
        <x:f>IF(B327="","",TEXT(B327,"yyyymmdd")&amp;"-"&amp;TEXT(COUNTIF($B$5:B327,B327),"000"))</x:f>
      </x:c>
      <x:c r="B327" s="152"/>
      <x:c r="C327" s="153"/>
      <x:c r="D327" s="151" t="str">
        <x:f>IF(B327="","",'Configuracion'!$B$4)</x:f>
      </x:c>
      <x:c r="E327" s="154"/>
      <x:c r="F327" s="154"/>
      <x:c r="G327" s="151" t="str">
        <x:f>IFERROR(VLOOKUP(F327,'Base Sectores'!$A$5:$J$47,2,FALSE),"")</x:f>
      </x:c>
      <x:c r="H327" s="151" t="str">
        <x:f>IFERROR(VLOOKUP(F327,'Base Sectores'!$A$5:$J$47,3,FALSE),"")</x:f>
      </x:c>
      <x:c r="I327" s="151" t="str">
        <x:f>IFERROR(VLOOKUP(F327,'Base Sectores'!$A$5:$J$47,4,FALSE),"")</x:f>
      </x:c>
      <x:c r="J327" s="151" t="str">
        <x:f>IFERROR(VLOOKUP(F327,'Base Sectores'!$A$5:$J$47,5,FALSE),"")</x:f>
      </x:c>
      <x:c r="K327" s="151" t="str">
        <x:f>IFERROR(VLOOKUP(F327,'Base Sectores'!$A$5:$J$47,6,FALSE),"")</x:f>
      </x:c>
      <x:c r="L327" s="151" t="str">
        <x:f>IFERROR(VLOOKUP(F327,'Base Sectores'!$A$5:$J$47,7,FALSE),"")</x:f>
      </x:c>
      <x:c r="M327" s="151" t="str">
        <x:f>IFERROR(VLOOKUP(F327,'Base Sectores'!$A$5:$J$47,9,FALSE),"")</x:f>
      </x:c>
      <x:c r="N327" s="154"/>
      <x:c r="O327" s="151" t="str">
        <x:f>IFERROR(VLOOKUP(N327,'Configuracion'!$D$4:$H$15,2,FALSE),"")</x:f>
      </x:c>
      <x:c r="P327" s="151" t="str">
        <x:f>IFERROR(VLOOKUP(N327,'Configuracion'!$D$4:$H$15,3,FALSE),"")</x:f>
      </x:c>
      <x:c r="Q327" s="155"/>
      <x:c r="R327" s="156" t="str">
        <x:f>IFERROR(VLOOKUP(N327,'Configuracion'!$D$4:$H$15,4,FALSE),"")</x:f>
      </x:c>
      <x:c r="S327" s="153"/>
      <x:c r="T327" s="153"/>
      <x:c r="U327" s="156" t="str">
        <x:f>IF(OR(S327="",T327=""),"",MOD(T327-S327,1)*24)</x:f>
      </x:c>
      <x:c r="V327" s="154"/>
      <x:c r="W327" s="154"/>
      <x:c r="X327" s="151" t="str">
        <x:f>IFERROR(VLOOKUP(N327,'Configuracion'!$D$4:$H$15,5,FALSE),"")</x:f>
      </x:c>
      <x:c r="Y327" s="151" t="str">
        <x:f>IFERROR(VLOOKUP(V327,'Cuadrillas'!$A$5:$J$14,2,FALSE),"")</x:f>
      </x:c>
      <x:c r="Z327" s="154"/>
      <x:c r="AA327" s="154"/>
      <x:c r="AB327" s="154"/>
      <x:c r="AC327" s="153"/>
      <x:c r="AD327" s="153"/>
      <x:c r="AE327" s="156" t="str">
        <x:f>IF(OR(AC327="",AD327=""),"",MOD(AD327-AC327,1)*24)</x:f>
      </x:c>
      <x:c r="AF327" s="154"/>
      <x:c r="AG327" s="156" t="str">
        <x:f>IF(AE327="","",MAX(0,AE327-IF(AF327="",0,AF327/60)))</x:f>
      </x:c>
      <x:c r="AH327" s="155"/>
      <x:c r="AI327" s="154"/>
      <x:c r="AJ327" s="154"/>
      <x:c r="AK327" s="156" t="n">
        <x:f>IFERROR(U327*W327,"")</x:f>
        <x:v>0</x:v>
      </x:c>
      <x:c r="AL327" s="156" t="n">
        <x:f>IFERROR(AE327*AI327,"")</x:f>
        <x:v>0</x:v>
      </x:c>
      <x:c r="AM327" s="157" t="str">
        <x:f>IFERROR(AH327/Q327,"")</x:f>
      </x:c>
      <x:c r="AN327" s="156" t="str">
        <x:f>IFERROR(AH327/AG327,"")</x:f>
      </x:c>
      <x:c r="AO327" s="156" t="str">
        <x:f>IFERROR(AL327/AH327,"")</x:f>
      </x:c>
      <x:c r="AP327" s="157" t="str">
        <x:f>IFERROR(AG327/AE327,"")</x:f>
      </x:c>
      <x:c r="AQ327" s="157" t="str">
        <x:f>IFERROR(AN327/(R327/'Configuracion'!$B$13),"")</x:f>
      </x:c>
      <x:c r="AR327" s="156" t="n">
        <x:f>IFERROR(AE327-U327,"")</x:f>
        <x:v>0</x:v>
      </x:c>
      <x:c r="AS327" s="154"/>
      <x:c r="AT327" s="154"/>
      <x:c r="AU327" s="154"/>
      <x:c r="AV327" s="154"/>
      <x:c r="AW327" s="152"/>
      <x:c r="AX327" s="154"/>
      <x:c r="AY327" s="154"/>
      <x:c r="AZ327" s="151"/>
      <x:c r="BA327" s="151"/>
    </x:row>
    <x:row r="328">
      <x:c r="A328" s="151" t="str">
        <x:f>IF(B328="","",TEXT(B328,"yyyymmdd")&amp;"-"&amp;TEXT(COUNTIF($B$5:B328,B328),"000"))</x:f>
      </x:c>
      <x:c r="B328" s="152"/>
      <x:c r="C328" s="153"/>
      <x:c r="D328" s="151" t="str">
        <x:f>IF(B328="","",'Configuracion'!$B$4)</x:f>
      </x:c>
      <x:c r="E328" s="154"/>
      <x:c r="F328" s="154"/>
      <x:c r="G328" s="151" t="str">
        <x:f>IFERROR(VLOOKUP(F328,'Base Sectores'!$A$5:$J$47,2,FALSE),"")</x:f>
      </x:c>
      <x:c r="H328" s="151" t="str">
        <x:f>IFERROR(VLOOKUP(F328,'Base Sectores'!$A$5:$J$47,3,FALSE),"")</x:f>
      </x:c>
      <x:c r="I328" s="151" t="str">
        <x:f>IFERROR(VLOOKUP(F328,'Base Sectores'!$A$5:$J$47,4,FALSE),"")</x:f>
      </x:c>
      <x:c r="J328" s="151" t="str">
        <x:f>IFERROR(VLOOKUP(F328,'Base Sectores'!$A$5:$J$47,5,FALSE),"")</x:f>
      </x:c>
      <x:c r="K328" s="151" t="str">
        <x:f>IFERROR(VLOOKUP(F328,'Base Sectores'!$A$5:$J$47,6,FALSE),"")</x:f>
      </x:c>
      <x:c r="L328" s="151" t="str">
        <x:f>IFERROR(VLOOKUP(F328,'Base Sectores'!$A$5:$J$47,7,FALSE),"")</x:f>
      </x:c>
      <x:c r="M328" s="151" t="str">
        <x:f>IFERROR(VLOOKUP(F328,'Base Sectores'!$A$5:$J$47,9,FALSE),"")</x:f>
      </x:c>
      <x:c r="N328" s="154"/>
      <x:c r="O328" s="151" t="str">
        <x:f>IFERROR(VLOOKUP(N328,'Configuracion'!$D$4:$H$15,2,FALSE),"")</x:f>
      </x:c>
      <x:c r="P328" s="151" t="str">
        <x:f>IFERROR(VLOOKUP(N328,'Configuracion'!$D$4:$H$15,3,FALSE),"")</x:f>
      </x:c>
      <x:c r="Q328" s="155"/>
      <x:c r="R328" s="156" t="str">
        <x:f>IFERROR(VLOOKUP(N328,'Configuracion'!$D$4:$H$15,4,FALSE),"")</x:f>
      </x:c>
      <x:c r="S328" s="153"/>
      <x:c r="T328" s="153"/>
      <x:c r="U328" s="156" t="str">
        <x:f>IF(OR(S328="",T328=""),"",MOD(T328-S328,1)*24)</x:f>
      </x:c>
      <x:c r="V328" s="154"/>
      <x:c r="W328" s="154"/>
      <x:c r="X328" s="151" t="str">
        <x:f>IFERROR(VLOOKUP(N328,'Configuracion'!$D$4:$H$15,5,FALSE),"")</x:f>
      </x:c>
      <x:c r="Y328" s="151" t="str">
        <x:f>IFERROR(VLOOKUP(V328,'Cuadrillas'!$A$5:$J$14,2,FALSE),"")</x:f>
      </x:c>
      <x:c r="Z328" s="154"/>
      <x:c r="AA328" s="154"/>
      <x:c r="AB328" s="154"/>
      <x:c r="AC328" s="153"/>
      <x:c r="AD328" s="153"/>
      <x:c r="AE328" s="156" t="str">
        <x:f>IF(OR(AC328="",AD328=""),"",MOD(AD328-AC328,1)*24)</x:f>
      </x:c>
      <x:c r="AF328" s="154"/>
      <x:c r="AG328" s="156" t="str">
        <x:f>IF(AE328="","",MAX(0,AE328-IF(AF328="",0,AF328/60)))</x:f>
      </x:c>
      <x:c r="AH328" s="155"/>
      <x:c r="AI328" s="154"/>
      <x:c r="AJ328" s="154"/>
      <x:c r="AK328" s="156" t="n">
        <x:f>IFERROR(U328*W328,"")</x:f>
        <x:v>0</x:v>
      </x:c>
      <x:c r="AL328" s="156" t="n">
        <x:f>IFERROR(AE328*AI328,"")</x:f>
        <x:v>0</x:v>
      </x:c>
      <x:c r="AM328" s="157" t="str">
        <x:f>IFERROR(AH328/Q328,"")</x:f>
      </x:c>
      <x:c r="AN328" s="156" t="str">
        <x:f>IFERROR(AH328/AG328,"")</x:f>
      </x:c>
      <x:c r="AO328" s="156" t="str">
        <x:f>IFERROR(AL328/AH328,"")</x:f>
      </x:c>
      <x:c r="AP328" s="157" t="str">
        <x:f>IFERROR(AG328/AE328,"")</x:f>
      </x:c>
      <x:c r="AQ328" s="157" t="str">
        <x:f>IFERROR(AN328/(R328/'Configuracion'!$B$13),"")</x:f>
      </x:c>
      <x:c r="AR328" s="156" t="n">
        <x:f>IFERROR(AE328-U328,"")</x:f>
        <x:v>0</x:v>
      </x:c>
      <x:c r="AS328" s="154"/>
      <x:c r="AT328" s="154"/>
      <x:c r="AU328" s="154"/>
      <x:c r="AV328" s="154"/>
      <x:c r="AW328" s="152"/>
      <x:c r="AX328" s="154"/>
      <x:c r="AY328" s="154"/>
      <x:c r="AZ328" s="151"/>
      <x:c r="BA328" s="151"/>
    </x:row>
    <x:row r="329">
      <x:c r="A329" s="151" t="str">
        <x:f>IF(B329="","",TEXT(B329,"yyyymmdd")&amp;"-"&amp;TEXT(COUNTIF($B$5:B329,B329),"000"))</x:f>
      </x:c>
      <x:c r="B329" s="152"/>
      <x:c r="C329" s="153"/>
      <x:c r="D329" s="151" t="str">
        <x:f>IF(B329="","",'Configuracion'!$B$4)</x:f>
      </x:c>
      <x:c r="E329" s="154"/>
      <x:c r="F329" s="154"/>
      <x:c r="G329" s="151" t="str">
        <x:f>IFERROR(VLOOKUP(F329,'Base Sectores'!$A$5:$J$47,2,FALSE),"")</x:f>
      </x:c>
      <x:c r="H329" s="151" t="str">
        <x:f>IFERROR(VLOOKUP(F329,'Base Sectores'!$A$5:$J$47,3,FALSE),"")</x:f>
      </x:c>
      <x:c r="I329" s="151" t="str">
        <x:f>IFERROR(VLOOKUP(F329,'Base Sectores'!$A$5:$J$47,4,FALSE),"")</x:f>
      </x:c>
      <x:c r="J329" s="151" t="str">
        <x:f>IFERROR(VLOOKUP(F329,'Base Sectores'!$A$5:$J$47,5,FALSE),"")</x:f>
      </x:c>
      <x:c r="K329" s="151" t="str">
        <x:f>IFERROR(VLOOKUP(F329,'Base Sectores'!$A$5:$J$47,6,FALSE),"")</x:f>
      </x:c>
      <x:c r="L329" s="151" t="str">
        <x:f>IFERROR(VLOOKUP(F329,'Base Sectores'!$A$5:$J$47,7,FALSE),"")</x:f>
      </x:c>
      <x:c r="M329" s="151" t="str">
        <x:f>IFERROR(VLOOKUP(F329,'Base Sectores'!$A$5:$J$47,9,FALSE),"")</x:f>
      </x:c>
      <x:c r="N329" s="154"/>
      <x:c r="O329" s="151" t="str">
        <x:f>IFERROR(VLOOKUP(N329,'Configuracion'!$D$4:$H$15,2,FALSE),"")</x:f>
      </x:c>
      <x:c r="P329" s="151" t="str">
        <x:f>IFERROR(VLOOKUP(N329,'Configuracion'!$D$4:$H$15,3,FALSE),"")</x:f>
      </x:c>
      <x:c r="Q329" s="155"/>
      <x:c r="R329" s="156" t="str">
        <x:f>IFERROR(VLOOKUP(N329,'Configuracion'!$D$4:$H$15,4,FALSE),"")</x:f>
      </x:c>
      <x:c r="S329" s="153"/>
      <x:c r="T329" s="153"/>
      <x:c r="U329" s="156" t="str">
        <x:f>IF(OR(S329="",T329=""),"",MOD(T329-S329,1)*24)</x:f>
      </x:c>
      <x:c r="V329" s="154"/>
      <x:c r="W329" s="154"/>
      <x:c r="X329" s="151" t="str">
        <x:f>IFERROR(VLOOKUP(N329,'Configuracion'!$D$4:$H$15,5,FALSE),"")</x:f>
      </x:c>
      <x:c r="Y329" s="151" t="str">
        <x:f>IFERROR(VLOOKUP(V329,'Cuadrillas'!$A$5:$J$14,2,FALSE),"")</x:f>
      </x:c>
      <x:c r="Z329" s="154"/>
      <x:c r="AA329" s="154"/>
      <x:c r="AB329" s="154"/>
      <x:c r="AC329" s="153"/>
      <x:c r="AD329" s="153"/>
      <x:c r="AE329" s="156" t="str">
        <x:f>IF(OR(AC329="",AD329=""),"",MOD(AD329-AC329,1)*24)</x:f>
      </x:c>
      <x:c r="AF329" s="154"/>
      <x:c r="AG329" s="156" t="str">
        <x:f>IF(AE329="","",MAX(0,AE329-IF(AF329="",0,AF329/60)))</x:f>
      </x:c>
      <x:c r="AH329" s="155"/>
      <x:c r="AI329" s="154"/>
      <x:c r="AJ329" s="154"/>
      <x:c r="AK329" s="156" t="n">
        <x:f>IFERROR(U329*W329,"")</x:f>
        <x:v>0</x:v>
      </x:c>
      <x:c r="AL329" s="156" t="n">
        <x:f>IFERROR(AE329*AI329,"")</x:f>
        <x:v>0</x:v>
      </x:c>
      <x:c r="AM329" s="157" t="str">
        <x:f>IFERROR(AH329/Q329,"")</x:f>
      </x:c>
      <x:c r="AN329" s="156" t="str">
        <x:f>IFERROR(AH329/AG329,"")</x:f>
      </x:c>
      <x:c r="AO329" s="156" t="str">
        <x:f>IFERROR(AL329/AH329,"")</x:f>
      </x:c>
      <x:c r="AP329" s="157" t="str">
        <x:f>IFERROR(AG329/AE329,"")</x:f>
      </x:c>
      <x:c r="AQ329" s="157" t="str">
        <x:f>IFERROR(AN329/(R329/'Configuracion'!$B$13),"")</x:f>
      </x:c>
      <x:c r="AR329" s="156" t="n">
        <x:f>IFERROR(AE329-U329,"")</x:f>
        <x:v>0</x:v>
      </x:c>
      <x:c r="AS329" s="154"/>
      <x:c r="AT329" s="154"/>
      <x:c r="AU329" s="154"/>
      <x:c r="AV329" s="154"/>
      <x:c r="AW329" s="152"/>
      <x:c r="AX329" s="154"/>
      <x:c r="AY329" s="154"/>
      <x:c r="AZ329" s="151"/>
      <x:c r="BA329" s="151"/>
    </x:row>
    <x:row r="330">
      <x:c r="A330" s="151" t="str">
        <x:f>IF(B330="","",TEXT(B330,"yyyymmdd")&amp;"-"&amp;TEXT(COUNTIF($B$5:B330,B330),"000"))</x:f>
      </x:c>
      <x:c r="B330" s="152"/>
      <x:c r="C330" s="153"/>
      <x:c r="D330" s="151" t="str">
        <x:f>IF(B330="","",'Configuracion'!$B$4)</x:f>
      </x:c>
      <x:c r="E330" s="154"/>
      <x:c r="F330" s="154"/>
      <x:c r="G330" s="151" t="str">
        <x:f>IFERROR(VLOOKUP(F330,'Base Sectores'!$A$5:$J$47,2,FALSE),"")</x:f>
      </x:c>
      <x:c r="H330" s="151" t="str">
        <x:f>IFERROR(VLOOKUP(F330,'Base Sectores'!$A$5:$J$47,3,FALSE),"")</x:f>
      </x:c>
      <x:c r="I330" s="151" t="str">
        <x:f>IFERROR(VLOOKUP(F330,'Base Sectores'!$A$5:$J$47,4,FALSE),"")</x:f>
      </x:c>
      <x:c r="J330" s="151" t="str">
        <x:f>IFERROR(VLOOKUP(F330,'Base Sectores'!$A$5:$J$47,5,FALSE),"")</x:f>
      </x:c>
      <x:c r="K330" s="151" t="str">
        <x:f>IFERROR(VLOOKUP(F330,'Base Sectores'!$A$5:$J$47,6,FALSE),"")</x:f>
      </x:c>
      <x:c r="L330" s="151" t="str">
        <x:f>IFERROR(VLOOKUP(F330,'Base Sectores'!$A$5:$J$47,7,FALSE),"")</x:f>
      </x:c>
      <x:c r="M330" s="151" t="str">
        <x:f>IFERROR(VLOOKUP(F330,'Base Sectores'!$A$5:$J$47,9,FALSE),"")</x:f>
      </x:c>
      <x:c r="N330" s="154"/>
      <x:c r="O330" s="151" t="str">
        <x:f>IFERROR(VLOOKUP(N330,'Configuracion'!$D$4:$H$15,2,FALSE),"")</x:f>
      </x:c>
      <x:c r="P330" s="151" t="str">
        <x:f>IFERROR(VLOOKUP(N330,'Configuracion'!$D$4:$H$15,3,FALSE),"")</x:f>
      </x:c>
      <x:c r="Q330" s="155"/>
      <x:c r="R330" s="156" t="str">
        <x:f>IFERROR(VLOOKUP(N330,'Configuracion'!$D$4:$H$15,4,FALSE),"")</x:f>
      </x:c>
      <x:c r="S330" s="153"/>
      <x:c r="T330" s="153"/>
      <x:c r="U330" s="156" t="str">
        <x:f>IF(OR(S330="",T330=""),"",MOD(T330-S330,1)*24)</x:f>
      </x:c>
      <x:c r="V330" s="154"/>
      <x:c r="W330" s="154"/>
      <x:c r="X330" s="151" t="str">
        <x:f>IFERROR(VLOOKUP(N330,'Configuracion'!$D$4:$H$15,5,FALSE),"")</x:f>
      </x:c>
      <x:c r="Y330" s="151" t="str">
        <x:f>IFERROR(VLOOKUP(V330,'Cuadrillas'!$A$5:$J$14,2,FALSE),"")</x:f>
      </x:c>
      <x:c r="Z330" s="154"/>
      <x:c r="AA330" s="154"/>
      <x:c r="AB330" s="154"/>
      <x:c r="AC330" s="153"/>
      <x:c r="AD330" s="153"/>
      <x:c r="AE330" s="156" t="str">
        <x:f>IF(OR(AC330="",AD330=""),"",MOD(AD330-AC330,1)*24)</x:f>
      </x:c>
      <x:c r="AF330" s="154"/>
      <x:c r="AG330" s="156" t="str">
        <x:f>IF(AE330="","",MAX(0,AE330-IF(AF330="",0,AF330/60)))</x:f>
      </x:c>
      <x:c r="AH330" s="155"/>
      <x:c r="AI330" s="154"/>
      <x:c r="AJ330" s="154"/>
      <x:c r="AK330" s="156" t="n">
        <x:f>IFERROR(U330*W330,"")</x:f>
        <x:v>0</x:v>
      </x:c>
      <x:c r="AL330" s="156" t="n">
        <x:f>IFERROR(AE330*AI330,"")</x:f>
        <x:v>0</x:v>
      </x:c>
      <x:c r="AM330" s="157" t="str">
        <x:f>IFERROR(AH330/Q330,"")</x:f>
      </x:c>
      <x:c r="AN330" s="156" t="str">
        <x:f>IFERROR(AH330/AG330,"")</x:f>
      </x:c>
      <x:c r="AO330" s="156" t="str">
        <x:f>IFERROR(AL330/AH330,"")</x:f>
      </x:c>
      <x:c r="AP330" s="157" t="str">
        <x:f>IFERROR(AG330/AE330,"")</x:f>
      </x:c>
      <x:c r="AQ330" s="157" t="str">
        <x:f>IFERROR(AN330/(R330/'Configuracion'!$B$13),"")</x:f>
      </x:c>
      <x:c r="AR330" s="156" t="n">
        <x:f>IFERROR(AE330-U330,"")</x:f>
        <x:v>0</x:v>
      </x:c>
      <x:c r="AS330" s="154"/>
      <x:c r="AT330" s="154"/>
      <x:c r="AU330" s="154"/>
      <x:c r="AV330" s="154"/>
      <x:c r="AW330" s="152"/>
      <x:c r="AX330" s="154"/>
      <x:c r="AY330" s="154"/>
      <x:c r="AZ330" s="151"/>
      <x:c r="BA330" s="151"/>
    </x:row>
    <x:row r="331">
      <x:c r="A331" s="151" t="str">
        <x:f>IF(B331="","",TEXT(B331,"yyyymmdd")&amp;"-"&amp;TEXT(COUNTIF($B$5:B331,B331),"000"))</x:f>
      </x:c>
      <x:c r="B331" s="152"/>
      <x:c r="C331" s="153"/>
      <x:c r="D331" s="151" t="str">
        <x:f>IF(B331="","",'Configuracion'!$B$4)</x:f>
      </x:c>
      <x:c r="E331" s="154"/>
      <x:c r="F331" s="154"/>
      <x:c r="G331" s="151" t="str">
        <x:f>IFERROR(VLOOKUP(F331,'Base Sectores'!$A$5:$J$47,2,FALSE),"")</x:f>
      </x:c>
      <x:c r="H331" s="151" t="str">
        <x:f>IFERROR(VLOOKUP(F331,'Base Sectores'!$A$5:$J$47,3,FALSE),"")</x:f>
      </x:c>
      <x:c r="I331" s="151" t="str">
        <x:f>IFERROR(VLOOKUP(F331,'Base Sectores'!$A$5:$J$47,4,FALSE),"")</x:f>
      </x:c>
      <x:c r="J331" s="151" t="str">
        <x:f>IFERROR(VLOOKUP(F331,'Base Sectores'!$A$5:$J$47,5,FALSE),"")</x:f>
      </x:c>
      <x:c r="K331" s="151" t="str">
        <x:f>IFERROR(VLOOKUP(F331,'Base Sectores'!$A$5:$J$47,6,FALSE),"")</x:f>
      </x:c>
      <x:c r="L331" s="151" t="str">
        <x:f>IFERROR(VLOOKUP(F331,'Base Sectores'!$A$5:$J$47,7,FALSE),"")</x:f>
      </x:c>
      <x:c r="M331" s="151" t="str">
        <x:f>IFERROR(VLOOKUP(F331,'Base Sectores'!$A$5:$J$47,9,FALSE),"")</x:f>
      </x:c>
      <x:c r="N331" s="154"/>
      <x:c r="O331" s="151" t="str">
        <x:f>IFERROR(VLOOKUP(N331,'Configuracion'!$D$4:$H$15,2,FALSE),"")</x:f>
      </x:c>
      <x:c r="P331" s="151" t="str">
        <x:f>IFERROR(VLOOKUP(N331,'Configuracion'!$D$4:$H$15,3,FALSE),"")</x:f>
      </x:c>
      <x:c r="Q331" s="155"/>
      <x:c r="R331" s="156" t="str">
        <x:f>IFERROR(VLOOKUP(N331,'Configuracion'!$D$4:$H$15,4,FALSE),"")</x:f>
      </x:c>
      <x:c r="S331" s="153"/>
      <x:c r="T331" s="153"/>
      <x:c r="U331" s="156" t="str">
        <x:f>IF(OR(S331="",T331=""),"",MOD(T331-S331,1)*24)</x:f>
      </x:c>
      <x:c r="V331" s="154"/>
      <x:c r="W331" s="154"/>
      <x:c r="X331" s="151" t="str">
        <x:f>IFERROR(VLOOKUP(N331,'Configuracion'!$D$4:$H$15,5,FALSE),"")</x:f>
      </x:c>
      <x:c r="Y331" s="151" t="str">
        <x:f>IFERROR(VLOOKUP(V331,'Cuadrillas'!$A$5:$J$14,2,FALSE),"")</x:f>
      </x:c>
      <x:c r="Z331" s="154"/>
      <x:c r="AA331" s="154"/>
      <x:c r="AB331" s="154"/>
      <x:c r="AC331" s="153"/>
      <x:c r="AD331" s="153"/>
      <x:c r="AE331" s="156" t="str">
        <x:f>IF(OR(AC331="",AD331=""),"",MOD(AD331-AC331,1)*24)</x:f>
      </x:c>
      <x:c r="AF331" s="154"/>
      <x:c r="AG331" s="156" t="str">
        <x:f>IF(AE331="","",MAX(0,AE331-IF(AF331="",0,AF331/60)))</x:f>
      </x:c>
      <x:c r="AH331" s="155"/>
      <x:c r="AI331" s="154"/>
      <x:c r="AJ331" s="154"/>
      <x:c r="AK331" s="156" t="n">
        <x:f>IFERROR(U331*W331,"")</x:f>
        <x:v>0</x:v>
      </x:c>
      <x:c r="AL331" s="156" t="n">
        <x:f>IFERROR(AE331*AI331,"")</x:f>
        <x:v>0</x:v>
      </x:c>
      <x:c r="AM331" s="157" t="str">
        <x:f>IFERROR(AH331/Q331,"")</x:f>
      </x:c>
      <x:c r="AN331" s="156" t="str">
        <x:f>IFERROR(AH331/AG331,"")</x:f>
      </x:c>
      <x:c r="AO331" s="156" t="str">
        <x:f>IFERROR(AL331/AH331,"")</x:f>
      </x:c>
      <x:c r="AP331" s="157" t="str">
        <x:f>IFERROR(AG331/AE331,"")</x:f>
      </x:c>
      <x:c r="AQ331" s="157" t="str">
        <x:f>IFERROR(AN331/(R331/'Configuracion'!$B$13),"")</x:f>
      </x:c>
      <x:c r="AR331" s="156" t="n">
        <x:f>IFERROR(AE331-U331,"")</x:f>
        <x:v>0</x:v>
      </x:c>
      <x:c r="AS331" s="154"/>
      <x:c r="AT331" s="154"/>
      <x:c r="AU331" s="154"/>
      <x:c r="AV331" s="154"/>
      <x:c r="AW331" s="152"/>
      <x:c r="AX331" s="154"/>
      <x:c r="AY331" s="154"/>
      <x:c r="AZ331" s="151"/>
      <x:c r="BA331" s="151"/>
    </x:row>
    <x:row r="332">
      <x:c r="A332" s="151" t="str">
        <x:f>IF(B332="","",TEXT(B332,"yyyymmdd")&amp;"-"&amp;TEXT(COUNTIF($B$5:B332,B332),"000"))</x:f>
      </x:c>
      <x:c r="B332" s="152"/>
      <x:c r="C332" s="153"/>
      <x:c r="D332" s="151" t="str">
        <x:f>IF(B332="","",'Configuracion'!$B$4)</x:f>
      </x:c>
      <x:c r="E332" s="154"/>
      <x:c r="F332" s="154"/>
      <x:c r="G332" s="151" t="str">
        <x:f>IFERROR(VLOOKUP(F332,'Base Sectores'!$A$5:$J$47,2,FALSE),"")</x:f>
      </x:c>
      <x:c r="H332" s="151" t="str">
        <x:f>IFERROR(VLOOKUP(F332,'Base Sectores'!$A$5:$J$47,3,FALSE),"")</x:f>
      </x:c>
      <x:c r="I332" s="151" t="str">
        <x:f>IFERROR(VLOOKUP(F332,'Base Sectores'!$A$5:$J$47,4,FALSE),"")</x:f>
      </x:c>
      <x:c r="J332" s="151" t="str">
        <x:f>IFERROR(VLOOKUP(F332,'Base Sectores'!$A$5:$J$47,5,FALSE),"")</x:f>
      </x:c>
      <x:c r="K332" s="151" t="str">
        <x:f>IFERROR(VLOOKUP(F332,'Base Sectores'!$A$5:$J$47,6,FALSE),"")</x:f>
      </x:c>
      <x:c r="L332" s="151" t="str">
        <x:f>IFERROR(VLOOKUP(F332,'Base Sectores'!$A$5:$J$47,7,FALSE),"")</x:f>
      </x:c>
      <x:c r="M332" s="151" t="str">
        <x:f>IFERROR(VLOOKUP(F332,'Base Sectores'!$A$5:$J$47,9,FALSE),"")</x:f>
      </x:c>
      <x:c r="N332" s="154"/>
      <x:c r="O332" s="151" t="str">
        <x:f>IFERROR(VLOOKUP(N332,'Configuracion'!$D$4:$H$15,2,FALSE),"")</x:f>
      </x:c>
      <x:c r="P332" s="151" t="str">
        <x:f>IFERROR(VLOOKUP(N332,'Configuracion'!$D$4:$H$15,3,FALSE),"")</x:f>
      </x:c>
      <x:c r="Q332" s="155"/>
      <x:c r="R332" s="156" t="str">
        <x:f>IFERROR(VLOOKUP(N332,'Configuracion'!$D$4:$H$15,4,FALSE),"")</x:f>
      </x:c>
      <x:c r="S332" s="153"/>
      <x:c r="T332" s="153"/>
      <x:c r="U332" s="156" t="str">
        <x:f>IF(OR(S332="",T332=""),"",MOD(T332-S332,1)*24)</x:f>
      </x:c>
      <x:c r="V332" s="154"/>
      <x:c r="W332" s="154"/>
      <x:c r="X332" s="151" t="str">
        <x:f>IFERROR(VLOOKUP(N332,'Configuracion'!$D$4:$H$15,5,FALSE),"")</x:f>
      </x:c>
      <x:c r="Y332" s="151" t="str">
        <x:f>IFERROR(VLOOKUP(V332,'Cuadrillas'!$A$5:$J$14,2,FALSE),"")</x:f>
      </x:c>
      <x:c r="Z332" s="154"/>
      <x:c r="AA332" s="154"/>
      <x:c r="AB332" s="154"/>
      <x:c r="AC332" s="153"/>
      <x:c r="AD332" s="153"/>
      <x:c r="AE332" s="156" t="str">
        <x:f>IF(OR(AC332="",AD332=""),"",MOD(AD332-AC332,1)*24)</x:f>
      </x:c>
      <x:c r="AF332" s="154"/>
      <x:c r="AG332" s="156" t="str">
        <x:f>IF(AE332="","",MAX(0,AE332-IF(AF332="",0,AF332/60)))</x:f>
      </x:c>
      <x:c r="AH332" s="155"/>
      <x:c r="AI332" s="154"/>
      <x:c r="AJ332" s="154"/>
      <x:c r="AK332" s="156" t="n">
        <x:f>IFERROR(U332*W332,"")</x:f>
        <x:v>0</x:v>
      </x:c>
      <x:c r="AL332" s="156" t="n">
        <x:f>IFERROR(AE332*AI332,"")</x:f>
        <x:v>0</x:v>
      </x:c>
      <x:c r="AM332" s="157" t="str">
        <x:f>IFERROR(AH332/Q332,"")</x:f>
      </x:c>
      <x:c r="AN332" s="156" t="str">
        <x:f>IFERROR(AH332/AG332,"")</x:f>
      </x:c>
      <x:c r="AO332" s="156" t="str">
        <x:f>IFERROR(AL332/AH332,"")</x:f>
      </x:c>
      <x:c r="AP332" s="157" t="str">
        <x:f>IFERROR(AG332/AE332,"")</x:f>
      </x:c>
      <x:c r="AQ332" s="157" t="str">
        <x:f>IFERROR(AN332/(R332/'Configuracion'!$B$13),"")</x:f>
      </x:c>
      <x:c r="AR332" s="156" t="n">
        <x:f>IFERROR(AE332-U332,"")</x:f>
        <x:v>0</x:v>
      </x:c>
      <x:c r="AS332" s="154"/>
      <x:c r="AT332" s="154"/>
      <x:c r="AU332" s="154"/>
      <x:c r="AV332" s="154"/>
      <x:c r="AW332" s="152"/>
      <x:c r="AX332" s="154"/>
      <x:c r="AY332" s="154"/>
      <x:c r="AZ332" s="151"/>
      <x:c r="BA332" s="151"/>
    </x:row>
    <x:row r="333">
      <x:c r="A333" s="151" t="str">
        <x:f>IF(B333="","",TEXT(B333,"yyyymmdd")&amp;"-"&amp;TEXT(COUNTIF($B$5:B333,B333),"000"))</x:f>
      </x:c>
      <x:c r="B333" s="152"/>
      <x:c r="C333" s="153"/>
      <x:c r="D333" s="151" t="str">
        <x:f>IF(B333="","",'Configuracion'!$B$4)</x:f>
      </x:c>
      <x:c r="E333" s="154"/>
      <x:c r="F333" s="154"/>
      <x:c r="G333" s="151" t="str">
        <x:f>IFERROR(VLOOKUP(F333,'Base Sectores'!$A$5:$J$47,2,FALSE),"")</x:f>
      </x:c>
      <x:c r="H333" s="151" t="str">
        <x:f>IFERROR(VLOOKUP(F333,'Base Sectores'!$A$5:$J$47,3,FALSE),"")</x:f>
      </x:c>
      <x:c r="I333" s="151" t="str">
        <x:f>IFERROR(VLOOKUP(F333,'Base Sectores'!$A$5:$J$47,4,FALSE),"")</x:f>
      </x:c>
      <x:c r="J333" s="151" t="str">
        <x:f>IFERROR(VLOOKUP(F333,'Base Sectores'!$A$5:$J$47,5,FALSE),"")</x:f>
      </x:c>
      <x:c r="K333" s="151" t="str">
        <x:f>IFERROR(VLOOKUP(F333,'Base Sectores'!$A$5:$J$47,6,FALSE),"")</x:f>
      </x:c>
      <x:c r="L333" s="151" t="str">
        <x:f>IFERROR(VLOOKUP(F333,'Base Sectores'!$A$5:$J$47,7,FALSE),"")</x:f>
      </x:c>
      <x:c r="M333" s="151" t="str">
        <x:f>IFERROR(VLOOKUP(F333,'Base Sectores'!$A$5:$J$47,9,FALSE),"")</x:f>
      </x:c>
      <x:c r="N333" s="154"/>
      <x:c r="O333" s="151" t="str">
        <x:f>IFERROR(VLOOKUP(N333,'Configuracion'!$D$4:$H$15,2,FALSE),"")</x:f>
      </x:c>
      <x:c r="P333" s="151" t="str">
        <x:f>IFERROR(VLOOKUP(N333,'Configuracion'!$D$4:$H$15,3,FALSE),"")</x:f>
      </x:c>
      <x:c r="Q333" s="155"/>
      <x:c r="R333" s="156" t="str">
        <x:f>IFERROR(VLOOKUP(N333,'Configuracion'!$D$4:$H$15,4,FALSE),"")</x:f>
      </x:c>
      <x:c r="S333" s="153"/>
      <x:c r="T333" s="153"/>
      <x:c r="U333" s="156" t="str">
        <x:f>IF(OR(S333="",T333=""),"",MOD(T333-S333,1)*24)</x:f>
      </x:c>
      <x:c r="V333" s="154"/>
      <x:c r="W333" s="154"/>
      <x:c r="X333" s="151" t="str">
        <x:f>IFERROR(VLOOKUP(N333,'Configuracion'!$D$4:$H$15,5,FALSE),"")</x:f>
      </x:c>
      <x:c r="Y333" s="151" t="str">
        <x:f>IFERROR(VLOOKUP(V333,'Cuadrillas'!$A$5:$J$14,2,FALSE),"")</x:f>
      </x:c>
      <x:c r="Z333" s="154"/>
      <x:c r="AA333" s="154"/>
      <x:c r="AB333" s="154"/>
      <x:c r="AC333" s="153"/>
      <x:c r="AD333" s="153"/>
      <x:c r="AE333" s="156" t="str">
        <x:f>IF(OR(AC333="",AD333=""),"",MOD(AD333-AC333,1)*24)</x:f>
      </x:c>
      <x:c r="AF333" s="154"/>
      <x:c r="AG333" s="156" t="str">
        <x:f>IF(AE333="","",MAX(0,AE333-IF(AF333="",0,AF333/60)))</x:f>
      </x:c>
      <x:c r="AH333" s="155"/>
      <x:c r="AI333" s="154"/>
      <x:c r="AJ333" s="154"/>
      <x:c r="AK333" s="156" t="n">
        <x:f>IFERROR(U333*W333,"")</x:f>
        <x:v>0</x:v>
      </x:c>
      <x:c r="AL333" s="156" t="n">
        <x:f>IFERROR(AE333*AI333,"")</x:f>
        <x:v>0</x:v>
      </x:c>
      <x:c r="AM333" s="157" t="str">
        <x:f>IFERROR(AH333/Q333,"")</x:f>
      </x:c>
      <x:c r="AN333" s="156" t="str">
        <x:f>IFERROR(AH333/AG333,"")</x:f>
      </x:c>
      <x:c r="AO333" s="156" t="str">
        <x:f>IFERROR(AL333/AH333,"")</x:f>
      </x:c>
      <x:c r="AP333" s="157" t="str">
        <x:f>IFERROR(AG333/AE333,"")</x:f>
      </x:c>
      <x:c r="AQ333" s="157" t="str">
        <x:f>IFERROR(AN333/(R333/'Configuracion'!$B$13),"")</x:f>
      </x:c>
      <x:c r="AR333" s="156" t="n">
        <x:f>IFERROR(AE333-U333,"")</x:f>
        <x:v>0</x:v>
      </x:c>
      <x:c r="AS333" s="154"/>
      <x:c r="AT333" s="154"/>
      <x:c r="AU333" s="154"/>
      <x:c r="AV333" s="154"/>
      <x:c r="AW333" s="152"/>
      <x:c r="AX333" s="154"/>
      <x:c r="AY333" s="154"/>
      <x:c r="AZ333" s="151"/>
      <x:c r="BA333" s="151"/>
    </x:row>
    <x:row r="334">
      <x:c r="A334" s="151" t="str">
        <x:f>IF(B334="","",TEXT(B334,"yyyymmdd")&amp;"-"&amp;TEXT(COUNTIF($B$5:B334,B334),"000"))</x:f>
      </x:c>
      <x:c r="B334" s="152"/>
      <x:c r="C334" s="153"/>
      <x:c r="D334" s="151" t="str">
        <x:f>IF(B334="","",'Configuracion'!$B$4)</x:f>
      </x:c>
      <x:c r="E334" s="154"/>
      <x:c r="F334" s="154"/>
      <x:c r="G334" s="151" t="str">
        <x:f>IFERROR(VLOOKUP(F334,'Base Sectores'!$A$5:$J$47,2,FALSE),"")</x:f>
      </x:c>
      <x:c r="H334" s="151" t="str">
        <x:f>IFERROR(VLOOKUP(F334,'Base Sectores'!$A$5:$J$47,3,FALSE),"")</x:f>
      </x:c>
      <x:c r="I334" s="151" t="str">
        <x:f>IFERROR(VLOOKUP(F334,'Base Sectores'!$A$5:$J$47,4,FALSE),"")</x:f>
      </x:c>
      <x:c r="J334" s="151" t="str">
        <x:f>IFERROR(VLOOKUP(F334,'Base Sectores'!$A$5:$J$47,5,FALSE),"")</x:f>
      </x:c>
      <x:c r="K334" s="151" t="str">
        <x:f>IFERROR(VLOOKUP(F334,'Base Sectores'!$A$5:$J$47,6,FALSE),"")</x:f>
      </x:c>
      <x:c r="L334" s="151" t="str">
        <x:f>IFERROR(VLOOKUP(F334,'Base Sectores'!$A$5:$J$47,7,FALSE),"")</x:f>
      </x:c>
      <x:c r="M334" s="151" t="str">
        <x:f>IFERROR(VLOOKUP(F334,'Base Sectores'!$A$5:$J$47,9,FALSE),"")</x:f>
      </x:c>
      <x:c r="N334" s="154"/>
      <x:c r="O334" s="151" t="str">
        <x:f>IFERROR(VLOOKUP(N334,'Configuracion'!$D$4:$H$15,2,FALSE),"")</x:f>
      </x:c>
      <x:c r="P334" s="151" t="str">
        <x:f>IFERROR(VLOOKUP(N334,'Configuracion'!$D$4:$H$15,3,FALSE),"")</x:f>
      </x:c>
      <x:c r="Q334" s="155"/>
      <x:c r="R334" s="156" t="str">
        <x:f>IFERROR(VLOOKUP(N334,'Configuracion'!$D$4:$H$15,4,FALSE),"")</x:f>
      </x:c>
      <x:c r="S334" s="153"/>
      <x:c r="T334" s="153"/>
      <x:c r="U334" s="156" t="str">
        <x:f>IF(OR(S334="",T334=""),"",MOD(T334-S334,1)*24)</x:f>
      </x:c>
      <x:c r="V334" s="154"/>
      <x:c r="W334" s="154"/>
      <x:c r="X334" s="151" t="str">
        <x:f>IFERROR(VLOOKUP(N334,'Configuracion'!$D$4:$H$15,5,FALSE),"")</x:f>
      </x:c>
      <x:c r="Y334" s="151" t="str">
        <x:f>IFERROR(VLOOKUP(V334,'Cuadrillas'!$A$5:$J$14,2,FALSE),"")</x:f>
      </x:c>
      <x:c r="Z334" s="154"/>
      <x:c r="AA334" s="154"/>
      <x:c r="AB334" s="154"/>
      <x:c r="AC334" s="153"/>
      <x:c r="AD334" s="153"/>
      <x:c r="AE334" s="156" t="str">
        <x:f>IF(OR(AC334="",AD334=""),"",MOD(AD334-AC334,1)*24)</x:f>
      </x:c>
      <x:c r="AF334" s="154"/>
      <x:c r="AG334" s="156" t="str">
        <x:f>IF(AE334="","",MAX(0,AE334-IF(AF334="",0,AF334/60)))</x:f>
      </x:c>
      <x:c r="AH334" s="155"/>
      <x:c r="AI334" s="154"/>
      <x:c r="AJ334" s="154"/>
      <x:c r="AK334" s="156" t="n">
        <x:f>IFERROR(U334*W334,"")</x:f>
        <x:v>0</x:v>
      </x:c>
      <x:c r="AL334" s="156" t="n">
        <x:f>IFERROR(AE334*AI334,"")</x:f>
        <x:v>0</x:v>
      </x:c>
      <x:c r="AM334" s="157" t="str">
        <x:f>IFERROR(AH334/Q334,"")</x:f>
      </x:c>
      <x:c r="AN334" s="156" t="str">
        <x:f>IFERROR(AH334/AG334,"")</x:f>
      </x:c>
      <x:c r="AO334" s="156" t="str">
        <x:f>IFERROR(AL334/AH334,"")</x:f>
      </x:c>
      <x:c r="AP334" s="157" t="str">
        <x:f>IFERROR(AG334/AE334,"")</x:f>
      </x:c>
      <x:c r="AQ334" s="157" t="str">
        <x:f>IFERROR(AN334/(R334/'Configuracion'!$B$13),"")</x:f>
      </x:c>
      <x:c r="AR334" s="156" t="n">
        <x:f>IFERROR(AE334-U334,"")</x:f>
        <x:v>0</x:v>
      </x:c>
      <x:c r="AS334" s="154"/>
      <x:c r="AT334" s="154"/>
      <x:c r="AU334" s="154"/>
      <x:c r="AV334" s="154"/>
      <x:c r="AW334" s="152"/>
      <x:c r="AX334" s="154"/>
      <x:c r="AY334" s="154"/>
      <x:c r="AZ334" s="151"/>
      <x:c r="BA334" s="151"/>
    </x:row>
    <x:row r="335">
      <x:c r="A335" s="151" t="str">
        <x:f>IF(B335="","",TEXT(B335,"yyyymmdd")&amp;"-"&amp;TEXT(COUNTIF($B$5:B335,B335),"000"))</x:f>
      </x:c>
      <x:c r="B335" s="152"/>
      <x:c r="C335" s="153"/>
      <x:c r="D335" s="151" t="str">
        <x:f>IF(B335="","",'Configuracion'!$B$4)</x:f>
      </x:c>
      <x:c r="E335" s="154"/>
      <x:c r="F335" s="154"/>
      <x:c r="G335" s="151" t="str">
        <x:f>IFERROR(VLOOKUP(F335,'Base Sectores'!$A$5:$J$47,2,FALSE),"")</x:f>
      </x:c>
      <x:c r="H335" s="151" t="str">
        <x:f>IFERROR(VLOOKUP(F335,'Base Sectores'!$A$5:$J$47,3,FALSE),"")</x:f>
      </x:c>
      <x:c r="I335" s="151" t="str">
        <x:f>IFERROR(VLOOKUP(F335,'Base Sectores'!$A$5:$J$47,4,FALSE),"")</x:f>
      </x:c>
      <x:c r="J335" s="151" t="str">
        <x:f>IFERROR(VLOOKUP(F335,'Base Sectores'!$A$5:$J$47,5,FALSE),"")</x:f>
      </x:c>
      <x:c r="K335" s="151" t="str">
        <x:f>IFERROR(VLOOKUP(F335,'Base Sectores'!$A$5:$J$47,6,FALSE),"")</x:f>
      </x:c>
      <x:c r="L335" s="151" t="str">
        <x:f>IFERROR(VLOOKUP(F335,'Base Sectores'!$A$5:$J$47,7,FALSE),"")</x:f>
      </x:c>
      <x:c r="M335" s="151" t="str">
        <x:f>IFERROR(VLOOKUP(F335,'Base Sectores'!$A$5:$J$47,9,FALSE),"")</x:f>
      </x:c>
      <x:c r="N335" s="154"/>
      <x:c r="O335" s="151" t="str">
        <x:f>IFERROR(VLOOKUP(N335,'Configuracion'!$D$4:$H$15,2,FALSE),"")</x:f>
      </x:c>
      <x:c r="P335" s="151" t="str">
        <x:f>IFERROR(VLOOKUP(N335,'Configuracion'!$D$4:$H$15,3,FALSE),"")</x:f>
      </x:c>
      <x:c r="Q335" s="155"/>
      <x:c r="R335" s="156" t="str">
        <x:f>IFERROR(VLOOKUP(N335,'Configuracion'!$D$4:$H$15,4,FALSE),"")</x:f>
      </x:c>
      <x:c r="S335" s="153"/>
      <x:c r="T335" s="153"/>
      <x:c r="U335" s="156" t="str">
        <x:f>IF(OR(S335="",T335=""),"",MOD(T335-S335,1)*24)</x:f>
      </x:c>
      <x:c r="V335" s="154"/>
      <x:c r="W335" s="154"/>
      <x:c r="X335" s="151" t="str">
        <x:f>IFERROR(VLOOKUP(N335,'Configuracion'!$D$4:$H$15,5,FALSE),"")</x:f>
      </x:c>
      <x:c r="Y335" s="151" t="str">
        <x:f>IFERROR(VLOOKUP(V335,'Cuadrillas'!$A$5:$J$14,2,FALSE),"")</x:f>
      </x:c>
      <x:c r="Z335" s="154"/>
      <x:c r="AA335" s="154"/>
      <x:c r="AB335" s="154"/>
      <x:c r="AC335" s="153"/>
      <x:c r="AD335" s="153"/>
      <x:c r="AE335" s="156" t="str">
        <x:f>IF(OR(AC335="",AD335=""),"",MOD(AD335-AC335,1)*24)</x:f>
      </x:c>
      <x:c r="AF335" s="154"/>
      <x:c r="AG335" s="156" t="str">
        <x:f>IF(AE335="","",MAX(0,AE335-IF(AF335="",0,AF335/60)))</x:f>
      </x:c>
      <x:c r="AH335" s="155"/>
      <x:c r="AI335" s="154"/>
      <x:c r="AJ335" s="154"/>
      <x:c r="AK335" s="156" t="n">
        <x:f>IFERROR(U335*W335,"")</x:f>
        <x:v>0</x:v>
      </x:c>
      <x:c r="AL335" s="156" t="n">
        <x:f>IFERROR(AE335*AI335,"")</x:f>
        <x:v>0</x:v>
      </x:c>
      <x:c r="AM335" s="157" t="str">
        <x:f>IFERROR(AH335/Q335,"")</x:f>
      </x:c>
      <x:c r="AN335" s="156" t="str">
        <x:f>IFERROR(AH335/AG335,"")</x:f>
      </x:c>
      <x:c r="AO335" s="156" t="str">
        <x:f>IFERROR(AL335/AH335,"")</x:f>
      </x:c>
      <x:c r="AP335" s="157" t="str">
        <x:f>IFERROR(AG335/AE335,"")</x:f>
      </x:c>
      <x:c r="AQ335" s="157" t="str">
        <x:f>IFERROR(AN335/(R335/'Configuracion'!$B$13),"")</x:f>
      </x:c>
      <x:c r="AR335" s="156" t="n">
        <x:f>IFERROR(AE335-U335,"")</x:f>
        <x:v>0</x:v>
      </x:c>
      <x:c r="AS335" s="154"/>
      <x:c r="AT335" s="154"/>
      <x:c r="AU335" s="154"/>
      <x:c r="AV335" s="154"/>
      <x:c r="AW335" s="152"/>
      <x:c r="AX335" s="154"/>
      <x:c r="AY335" s="154"/>
      <x:c r="AZ335" s="151"/>
      <x:c r="BA335" s="151"/>
    </x:row>
    <x:row r="336">
      <x:c r="A336" s="151" t="str">
        <x:f>IF(B336="","",TEXT(B336,"yyyymmdd")&amp;"-"&amp;TEXT(COUNTIF($B$5:B336,B336),"000"))</x:f>
      </x:c>
      <x:c r="B336" s="152"/>
      <x:c r="C336" s="153"/>
      <x:c r="D336" s="151" t="str">
        <x:f>IF(B336="","",'Configuracion'!$B$4)</x:f>
      </x:c>
      <x:c r="E336" s="154"/>
      <x:c r="F336" s="154"/>
      <x:c r="G336" s="151" t="str">
        <x:f>IFERROR(VLOOKUP(F336,'Base Sectores'!$A$5:$J$47,2,FALSE),"")</x:f>
      </x:c>
      <x:c r="H336" s="151" t="str">
        <x:f>IFERROR(VLOOKUP(F336,'Base Sectores'!$A$5:$J$47,3,FALSE),"")</x:f>
      </x:c>
      <x:c r="I336" s="151" t="str">
        <x:f>IFERROR(VLOOKUP(F336,'Base Sectores'!$A$5:$J$47,4,FALSE),"")</x:f>
      </x:c>
      <x:c r="J336" s="151" t="str">
        <x:f>IFERROR(VLOOKUP(F336,'Base Sectores'!$A$5:$J$47,5,FALSE),"")</x:f>
      </x:c>
      <x:c r="K336" s="151" t="str">
        <x:f>IFERROR(VLOOKUP(F336,'Base Sectores'!$A$5:$J$47,6,FALSE),"")</x:f>
      </x:c>
      <x:c r="L336" s="151" t="str">
        <x:f>IFERROR(VLOOKUP(F336,'Base Sectores'!$A$5:$J$47,7,FALSE),"")</x:f>
      </x:c>
      <x:c r="M336" s="151" t="str">
        <x:f>IFERROR(VLOOKUP(F336,'Base Sectores'!$A$5:$J$47,9,FALSE),"")</x:f>
      </x:c>
      <x:c r="N336" s="154"/>
      <x:c r="O336" s="151" t="str">
        <x:f>IFERROR(VLOOKUP(N336,'Configuracion'!$D$4:$H$15,2,FALSE),"")</x:f>
      </x:c>
      <x:c r="P336" s="151" t="str">
        <x:f>IFERROR(VLOOKUP(N336,'Configuracion'!$D$4:$H$15,3,FALSE),"")</x:f>
      </x:c>
      <x:c r="Q336" s="155"/>
      <x:c r="R336" s="156" t="str">
        <x:f>IFERROR(VLOOKUP(N336,'Configuracion'!$D$4:$H$15,4,FALSE),"")</x:f>
      </x:c>
      <x:c r="S336" s="153"/>
      <x:c r="T336" s="153"/>
      <x:c r="U336" s="156" t="str">
        <x:f>IF(OR(S336="",T336=""),"",MOD(T336-S336,1)*24)</x:f>
      </x:c>
      <x:c r="V336" s="154"/>
      <x:c r="W336" s="154"/>
      <x:c r="X336" s="151" t="str">
        <x:f>IFERROR(VLOOKUP(N336,'Configuracion'!$D$4:$H$15,5,FALSE),"")</x:f>
      </x:c>
      <x:c r="Y336" s="151" t="str">
        <x:f>IFERROR(VLOOKUP(V336,'Cuadrillas'!$A$5:$J$14,2,FALSE),"")</x:f>
      </x:c>
      <x:c r="Z336" s="154"/>
      <x:c r="AA336" s="154"/>
      <x:c r="AB336" s="154"/>
      <x:c r="AC336" s="153"/>
      <x:c r="AD336" s="153"/>
      <x:c r="AE336" s="156" t="str">
        <x:f>IF(OR(AC336="",AD336=""),"",MOD(AD336-AC336,1)*24)</x:f>
      </x:c>
      <x:c r="AF336" s="154"/>
      <x:c r="AG336" s="156" t="str">
        <x:f>IF(AE336="","",MAX(0,AE336-IF(AF336="",0,AF336/60)))</x:f>
      </x:c>
      <x:c r="AH336" s="155"/>
      <x:c r="AI336" s="154"/>
      <x:c r="AJ336" s="154"/>
      <x:c r="AK336" s="156" t="n">
        <x:f>IFERROR(U336*W336,"")</x:f>
        <x:v>0</x:v>
      </x:c>
      <x:c r="AL336" s="156" t="n">
        <x:f>IFERROR(AE336*AI336,"")</x:f>
        <x:v>0</x:v>
      </x:c>
      <x:c r="AM336" s="157" t="str">
        <x:f>IFERROR(AH336/Q336,"")</x:f>
      </x:c>
      <x:c r="AN336" s="156" t="str">
        <x:f>IFERROR(AH336/AG336,"")</x:f>
      </x:c>
      <x:c r="AO336" s="156" t="str">
        <x:f>IFERROR(AL336/AH336,"")</x:f>
      </x:c>
      <x:c r="AP336" s="157" t="str">
        <x:f>IFERROR(AG336/AE336,"")</x:f>
      </x:c>
      <x:c r="AQ336" s="157" t="str">
        <x:f>IFERROR(AN336/(R336/'Configuracion'!$B$13),"")</x:f>
      </x:c>
      <x:c r="AR336" s="156" t="n">
        <x:f>IFERROR(AE336-U336,"")</x:f>
        <x:v>0</x:v>
      </x:c>
      <x:c r="AS336" s="154"/>
      <x:c r="AT336" s="154"/>
      <x:c r="AU336" s="154"/>
      <x:c r="AV336" s="154"/>
      <x:c r="AW336" s="152"/>
      <x:c r="AX336" s="154"/>
      <x:c r="AY336" s="154"/>
      <x:c r="AZ336" s="151"/>
      <x:c r="BA336" s="151"/>
    </x:row>
    <x:row r="337">
      <x:c r="A337" s="151" t="str">
        <x:f>IF(B337="","",TEXT(B337,"yyyymmdd")&amp;"-"&amp;TEXT(COUNTIF($B$5:B337,B337),"000"))</x:f>
      </x:c>
      <x:c r="B337" s="152"/>
      <x:c r="C337" s="153"/>
      <x:c r="D337" s="151" t="str">
        <x:f>IF(B337="","",'Configuracion'!$B$4)</x:f>
      </x:c>
      <x:c r="E337" s="154"/>
      <x:c r="F337" s="154"/>
      <x:c r="G337" s="151" t="str">
        <x:f>IFERROR(VLOOKUP(F337,'Base Sectores'!$A$5:$J$47,2,FALSE),"")</x:f>
      </x:c>
      <x:c r="H337" s="151" t="str">
        <x:f>IFERROR(VLOOKUP(F337,'Base Sectores'!$A$5:$J$47,3,FALSE),"")</x:f>
      </x:c>
      <x:c r="I337" s="151" t="str">
        <x:f>IFERROR(VLOOKUP(F337,'Base Sectores'!$A$5:$J$47,4,FALSE),"")</x:f>
      </x:c>
      <x:c r="J337" s="151" t="str">
        <x:f>IFERROR(VLOOKUP(F337,'Base Sectores'!$A$5:$J$47,5,FALSE),"")</x:f>
      </x:c>
      <x:c r="K337" s="151" t="str">
        <x:f>IFERROR(VLOOKUP(F337,'Base Sectores'!$A$5:$J$47,6,FALSE),"")</x:f>
      </x:c>
      <x:c r="L337" s="151" t="str">
        <x:f>IFERROR(VLOOKUP(F337,'Base Sectores'!$A$5:$J$47,7,FALSE),"")</x:f>
      </x:c>
      <x:c r="M337" s="151" t="str">
        <x:f>IFERROR(VLOOKUP(F337,'Base Sectores'!$A$5:$J$47,9,FALSE),"")</x:f>
      </x:c>
      <x:c r="N337" s="154"/>
      <x:c r="O337" s="151" t="str">
        <x:f>IFERROR(VLOOKUP(N337,'Configuracion'!$D$4:$H$15,2,FALSE),"")</x:f>
      </x:c>
      <x:c r="P337" s="151" t="str">
        <x:f>IFERROR(VLOOKUP(N337,'Configuracion'!$D$4:$H$15,3,FALSE),"")</x:f>
      </x:c>
      <x:c r="Q337" s="155"/>
      <x:c r="R337" s="156" t="str">
        <x:f>IFERROR(VLOOKUP(N337,'Configuracion'!$D$4:$H$15,4,FALSE),"")</x:f>
      </x:c>
      <x:c r="S337" s="153"/>
      <x:c r="T337" s="153"/>
      <x:c r="U337" s="156" t="str">
        <x:f>IF(OR(S337="",T337=""),"",MOD(T337-S337,1)*24)</x:f>
      </x:c>
      <x:c r="V337" s="154"/>
      <x:c r="W337" s="154"/>
      <x:c r="X337" s="151" t="str">
        <x:f>IFERROR(VLOOKUP(N337,'Configuracion'!$D$4:$H$15,5,FALSE),"")</x:f>
      </x:c>
      <x:c r="Y337" s="151" t="str">
        <x:f>IFERROR(VLOOKUP(V337,'Cuadrillas'!$A$5:$J$14,2,FALSE),"")</x:f>
      </x:c>
      <x:c r="Z337" s="154"/>
      <x:c r="AA337" s="154"/>
      <x:c r="AB337" s="154"/>
      <x:c r="AC337" s="153"/>
      <x:c r="AD337" s="153"/>
      <x:c r="AE337" s="156" t="str">
        <x:f>IF(OR(AC337="",AD337=""),"",MOD(AD337-AC337,1)*24)</x:f>
      </x:c>
      <x:c r="AF337" s="154"/>
      <x:c r="AG337" s="156" t="str">
        <x:f>IF(AE337="","",MAX(0,AE337-IF(AF337="",0,AF337/60)))</x:f>
      </x:c>
      <x:c r="AH337" s="155"/>
      <x:c r="AI337" s="154"/>
      <x:c r="AJ337" s="154"/>
      <x:c r="AK337" s="156" t="n">
        <x:f>IFERROR(U337*W337,"")</x:f>
        <x:v>0</x:v>
      </x:c>
      <x:c r="AL337" s="156" t="n">
        <x:f>IFERROR(AE337*AI337,"")</x:f>
        <x:v>0</x:v>
      </x:c>
      <x:c r="AM337" s="157" t="str">
        <x:f>IFERROR(AH337/Q337,"")</x:f>
      </x:c>
      <x:c r="AN337" s="156" t="str">
        <x:f>IFERROR(AH337/AG337,"")</x:f>
      </x:c>
      <x:c r="AO337" s="156" t="str">
        <x:f>IFERROR(AL337/AH337,"")</x:f>
      </x:c>
      <x:c r="AP337" s="157" t="str">
        <x:f>IFERROR(AG337/AE337,"")</x:f>
      </x:c>
      <x:c r="AQ337" s="157" t="str">
        <x:f>IFERROR(AN337/(R337/'Configuracion'!$B$13),"")</x:f>
      </x:c>
      <x:c r="AR337" s="156" t="n">
        <x:f>IFERROR(AE337-U337,"")</x:f>
        <x:v>0</x:v>
      </x:c>
      <x:c r="AS337" s="154"/>
      <x:c r="AT337" s="154"/>
      <x:c r="AU337" s="154"/>
      <x:c r="AV337" s="154"/>
      <x:c r="AW337" s="152"/>
      <x:c r="AX337" s="154"/>
      <x:c r="AY337" s="154"/>
      <x:c r="AZ337" s="151"/>
      <x:c r="BA337" s="151"/>
    </x:row>
    <x:row r="338">
      <x:c r="A338" s="151" t="str">
        <x:f>IF(B338="","",TEXT(B338,"yyyymmdd")&amp;"-"&amp;TEXT(COUNTIF($B$5:B338,B338),"000"))</x:f>
      </x:c>
      <x:c r="B338" s="152"/>
      <x:c r="C338" s="153"/>
      <x:c r="D338" s="151" t="str">
        <x:f>IF(B338="","",'Configuracion'!$B$4)</x:f>
      </x:c>
      <x:c r="E338" s="154"/>
      <x:c r="F338" s="154"/>
      <x:c r="G338" s="151" t="str">
        <x:f>IFERROR(VLOOKUP(F338,'Base Sectores'!$A$5:$J$47,2,FALSE),"")</x:f>
      </x:c>
      <x:c r="H338" s="151" t="str">
        <x:f>IFERROR(VLOOKUP(F338,'Base Sectores'!$A$5:$J$47,3,FALSE),"")</x:f>
      </x:c>
      <x:c r="I338" s="151" t="str">
        <x:f>IFERROR(VLOOKUP(F338,'Base Sectores'!$A$5:$J$47,4,FALSE),"")</x:f>
      </x:c>
      <x:c r="J338" s="151" t="str">
        <x:f>IFERROR(VLOOKUP(F338,'Base Sectores'!$A$5:$J$47,5,FALSE),"")</x:f>
      </x:c>
      <x:c r="K338" s="151" t="str">
        <x:f>IFERROR(VLOOKUP(F338,'Base Sectores'!$A$5:$J$47,6,FALSE),"")</x:f>
      </x:c>
      <x:c r="L338" s="151" t="str">
        <x:f>IFERROR(VLOOKUP(F338,'Base Sectores'!$A$5:$J$47,7,FALSE),"")</x:f>
      </x:c>
      <x:c r="M338" s="151" t="str">
        <x:f>IFERROR(VLOOKUP(F338,'Base Sectores'!$A$5:$J$47,9,FALSE),"")</x:f>
      </x:c>
      <x:c r="N338" s="154"/>
      <x:c r="O338" s="151" t="str">
        <x:f>IFERROR(VLOOKUP(N338,'Configuracion'!$D$4:$H$15,2,FALSE),"")</x:f>
      </x:c>
      <x:c r="P338" s="151" t="str">
        <x:f>IFERROR(VLOOKUP(N338,'Configuracion'!$D$4:$H$15,3,FALSE),"")</x:f>
      </x:c>
      <x:c r="Q338" s="155"/>
      <x:c r="R338" s="156" t="str">
        <x:f>IFERROR(VLOOKUP(N338,'Configuracion'!$D$4:$H$15,4,FALSE),"")</x:f>
      </x:c>
      <x:c r="S338" s="153"/>
      <x:c r="T338" s="153"/>
      <x:c r="U338" s="156" t="str">
        <x:f>IF(OR(S338="",T338=""),"",MOD(T338-S338,1)*24)</x:f>
      </x:c>
      <x:c r="V338" s="154"/>
      <x:c r="W338" s="154"/>
      <x:c r="X338" s="151" t="str">
        <x:f>IFERROR(VLOOKUP(N338,'Configuracion'!$D$4:$H$15,5,FALSE),"")</x:f>
      </x:c>
      <x:c r="Y338" s="151" t="str">
        <x:f>IFERROR(VLOOKUP(V338,'Cuadrillas'!$A$5:$J$14,2,FALSE),"")</x:f>
      </x:c>
      <x:c r="Z338" s="154"/>
      <x:c r="AA338" s="154"/>
      <x:c r="AB338" s="154"/>
      <x:c r="AC338" s="153"/>
      <x:c r="AD338" s="153"/>
      <x:c r="AE338" s="156" t="str">
        <x:f>IF(OR(AC338="",AD338=""),"",MOD(AD338-AC338,1)*24)</x:f>
      </x:c>
      <x:c r="AF338" s="154"/>
      <x:c r="AG338" s="156" t="str">
        <x:f>IF(AE338="","",MAX(0,AE338-IF(AF338="",0,AF338/60)))</x:f>
      </x:c>
      <x:c r="AH338" s="155"/>
      <x:c r="AI338" s="154"/>
      <x:c r="AJ338" s="154"/>
      <x:c r="AK338" s="156" t="n">
        <x:f>IFERROR(U338*W338,"")</x:f>
        <x:v>0</x:v>
      </x:c>
      <x:c r="AL338" s="156" t="n">
        <x:f>IFERROR(AE338*AI338,"")</x:f>
        <x:v>0</x:v>
      </x:c>
      <x:c r="AM338" s="157" t="str">
        <x:f>IFERROR(AH338/Q338,"")</x:f>
      </x:c>
      <x:c r="AN338" s="156" t="str">
        <x:f>IFERROR(AH338/AG338,"")</x:f>
      </x:c>
      <x:c r="AO338" s="156" t="str">
        <x:f>IFERROR(AL338/AH338,"")</x:f>
      </x:c>
      <x:c r="AP338" s="157" t="str">
        <x:f>IFERROR(AG338/AE338,"")</x:f>
      </x:c>
      <x:c r="AQ338" s="157" t="str">
        <x:f>IFERROR(AN338/(R338/'Configuracion'!$B$13),"")</x:f>
      </x:c>
      <x:c r="AR338" s="156" t="n">
        <x:f>IFERROR(AE338-U338,"")</x:f>
        <x:v>0</x:v>
      </x:c>
      <x:c r="AS338" s="154"/>
      <x:c r="AT338" s="154"/>
      <x:c r="AU338" s="154"/>
      <x:c r="AV338" s="154"/>
      <x:c r="AW338" s="152"/>
      <x:c r="AX338" s="154"/>
      <x:c r="AY338" s="154"/>
      <x:c r="AZ338" s="151"/>
      <x:c r="BA338" s="151"/>
    </x:row>
    <x:row r="339">
      <x:c r="A339" s="151" t="str">
        <x:f>IF(B339="","",TEXT(B339,"yyyymmdd")&amp;"-"&amp;TEXT(COUNTIF($B$5:B339,B339),"000"))</x:f>
      </x:c>
      <x:c r="B339" s="152"/>
      <x:c r="C339" s="153"/>
      <x:c r="D339" s="151" t="str">
        <x:f>IF(B339="","",'Configuracion'!$B$4)</x:f>
      </x:c>
      <x:c r="E339" s="154"/>
      <x:c r="F339" s="154"/>
      <x:c r="G339" s="151" t="str">
        <x:f>IFERROR(VLOOKUP(F339,'Base Sectores'!$A$5:$J$47,2,FALSE),"")</x:f>
      </x:c>
      <x:c r="H339" s="151" t="str">
        <x:f>IFERROR(VLOOKUP(F339,'Base Sectores'!$A$5:$J$47,3,FALSE),"")</x:f>
      </x:c>
      <x:c r="I339" s="151" t="str">
        <x:f>IFERROR(VLOOKUP(F339,'Base Sectores'!$A$5:$J$47,4,FALSE),"")</x:f>
      </x:c>
      <x:c r="J339" s="151" t="str">
        <x:f>IFERROR(VLOOKUP(F339,'Base Sectores'!$A$5:$J$47,5,FALSE),"")</x:f>
      </x:c>
      <x:c r="K339" s="151" t="str">
        <x:f>IFERROR(VLOOKUP(F339,'Base Sectores'!$A$5:$J$47,6,FALSE),"")</x:f>
      </x:c>
      <x:c r="L339" s="151" t="str">
        <x:f>IFERROR(VLOOKUP(F339,'Base Sectores'!$A$5:$J$47,7,FALSE),"")</x:f>
      </x:c>
      <x:c r="M339" s="151" t="str">
        <x:f>IFERROR(VLOOKUP(F339,'Base Sectores'!$A$5:$J$47,9,FALSE),"")</x:f>
      </x:c>
      <x:c r="N339" s="154"/>
      <x:c r="O339" s="151" t="str">
        <x:f>IFERROR(VLOOKUP(N339,'Configuracion'!$D$4:$H$15,2,FALSE),"")</x:f>
      </x:c>
      <x:c r="P339" s="151" t="str">
        <x:f>IFERROR(VLOOKUP(N339,'Configuracion'!$D$4:$H$15,3,FALSE),"")</x:f>
      </x:c>
      <x:c r="Q339" s="155"/>
      <x:c r="R339" s="156" t="str">
        <x:f>IFERROR(VLOOKUP(N339,'Configuracion'!$D$4:$H$15,4,FALSE),"")</x:f>
      </x:c>
      <x:c r="S339" s="153"/>
      <x:c r="T339" s="153"/>
      <x:c r="U339" s="156" t="str">
        <x:f>IF(OR(S339="",T339=""),"",MOD(T339-S339,1)*24)</x:f>
      </x:c>
      <x:c r="V339" s="154"/>
      <x:c r="W339" s="154"/>
      <x:c r="X339" s="151" t="str">
        <x:f>IFERROR(VLOOKUP(N339,'Configuracion'!$D$4:$H$15,5,FALSE),"")</x:f>
      </x:c>
      <x:c r="Y339" s="151" t="str">
        <x:f>IFERROR(VLOOKUP(V339,'Cuadrillas'!$A$5:$J$14,2,FALSE),"")</x:f>
      </x:c>
      <x:c r="Z339" s="154"/>
      <x:c r="AA339" s="154"/>
      <x:c r="AB339" s="154"/>
      <x:c r="AC339" s="153"/>
      <x:c r="AD339" s="153"/>
      <x:c r="AE339" s="156" t="str">
        <x:f>IF(OR(AC339="",AD339=""),"",MOD(AD339-AC339,1)*24)</x:f>
      </x:c>
      <x:c r="AF339" s="154"/>
      <x:c r="AG339" s="156" t="str">
        <x:f>IF(AE339="","",MAX(0,AE339-IF(AF339="",0,AF339/60)))</x:f>
      </x:c>
      <x:c r="AH339" s="155"/>
      <x:c r="AI339" s="154"/>
      <x:c r="AJ339" s="154"/>
      <x:c r="AK339" s="156" t="n">
        <x:f>IFERROR(U339*W339,"")</x:f>
        <x:v>0</x:v>
      </x:c>
      <x:c r="AL339" s="156" t="n">
        <x:f>IFERROR(AE339*AI339,"")</x:f>
        <x:v>0</x:v>
      </x:c>
      <x:c r="AM339" s="157" t="str">
        <x:f>IFERROR(AH339/Q339,"")</x:f>
      </x:c>
      <x:c r="AN339" s="156" t="str">
        <x:f>IFERROR(AH339/AG339,"")</x:f>
      </x:c>
      <x:c r="AO339" s="156" t="str">
        <x:f>IFERROR(AL339/AH339,"")</x:f>
      </x:c>
      <x:c r="AP339" s="157" t="str">
        <x:f>IFERROR(AG339/AE339,"")</x:f>
      </x:c>
      <x:c r="AQ339" s="157" t="str">
        <x:f>IFERROR(AN339/(R339/'Configuracion'!$B$13),"")</x:f>
      </x:c>
      <x:c r="AR339" s="156" t="n">
        <x:f>IFERROR(AE339-U339,"")</x:f>
        <x:v>0</x:v>
      </x:c>
      <x:c r="AS339" s="154"/>
      <x:c r="AT339" s="154"/>
      <x:c r="AU339" s="154"/>
      <x:c r="AV339" s="154"/>
      <x:c r="AW339" s="152"/>
      <x:c r="AX339" s="154"/>
      <x:c r="AY339" s="154"/>
      <x:c r="AZ339" s="151"/>
      <x:c r="BA339" s="151"/>
    </x:row>
    <x:row r="340">
      <x:c r="A340" s="151" t="str">
        <x:f>IF(B340="","",TEXT(B340,"yyyymmdd")&amp;"-"&amp;TEXT(COUNTIF($B$5:B340,B340),"000"))</x:f>
      </x:c>
      <x:c r="B340" s="152"/>
      <x:c r="C340" s="153"/>
      <x:c r="D340" s="151" t="str">
        <x:f>IF(B340="","",'Configuracion'!$B$4)</x:f>
      </x:c>
      <x:c r="E340" s="154"/>
      <x:c r="F340" s="154"/>
      <x:c r="G340" s="151" t="str">
        <x:f>IFERROR(VLOOKUP(F340,'Base Sectores'!$A$5:$J$47,2,FALSE),"")</x:f>
      </x:c>
      <x:c r="H340" s="151" t="str">
        <x:f>IFERROR(VLOOKUP(F340,'Base Sectores'!$A$5:$J$47,3,FALSE),"")</x:f>
      </x:c>
      <x:c r="I340" s="151" t="str">
        <x:f>IFERROR(VLOOKUP(F340,'Base Sectores'!$A$5:$J$47,4,FALSE),"")</x:f>
      </x:c>
      <x:c r="J340" s="151" t="str">
        <x:f>IFERROR(VLOOKUP(F340,'Base Sectores'!$A$5:$J$47,5,FALSE),"")</x:f>
      </x:c>
      <x:c r="K340" s="151" t="str">
        <x:f>IFERROR(VLOOKUP(F340,'Base Sectores'!$A$5:$J$47,6,FALSE),"")</x:f>
      </x:c>
      <x:c r="L340" s="151" t="str">
        <x:f>IFERROR(VLOOKUP(F340,'Base Sectores'!$A$5:$J$47,7,FALSE),"")</x:f>
      </x:c>
      <x:c r="M340" s="151" t="str">
        <x:f>IFERROR(VLOOKUP(F340,'Base Sectores'!$A$5:$J$47,9,FALSE),"")</x:f>
      </x:c>
      <x:c r="N340" s="154"/>
      <x:c r="O340" s="151" t="str">
        <x:f>IFERROR(VLOOKUP(N340,'Configuracion'!$D$4:$H$15,2,FALSE),"")</x:f>
      </x:c>
      <x:c r="P340" s="151" t="str">
        <x:f>IFERROR(VLOOKUP(N340,'Configuracion'!$D$4:$H$15,3,FALSE),"")</x:f>
      </x:c>
      <x:c r="Q340" s="155"/>
      <x:c r="R340" s="156" t="str">
        <x:f>IFERROR(VLOOKUP(N340,'Configuracion'!$D$4:$H$15,4,FALSE),"")</x:f>
      </x:c>
      <x:c r="S340" s="153"/>
      <x:c r="T340" s="153"/>
      <x:c r="U340" s="156" t="str">
        <x:f>IF(OR(S340="",T340=""),"",MOD(T340-S340,1)*24)</x:f>
      </x:c>
      <x:c r="V340" s="154"/>
      <x:c r="W340" s="154"/>
      <x:c r="X340" s="151" t="str">
        <x:f>IFERROR(VLOOKUP(N340,'Configuracion'!$D$4:$H$15,5,FALSE),"")</x:f>
      </x:c>
      <x:c r="Y340" s="151" t="str">
        <x:f>IFERROR(VLOOKUP(V340,'Cuadrillas'!$A$5:$J$14,2,FALSE),"")</x:f>
      </x:c>
      <x:c r="Z340" s="154"/>
      <x:c r="AA340" s="154"/>
      <x:c r="AB340" s="154"/>
      <x:c r="AC340" s="153"/>
      <x:c r="AD340" s="153"/>
      <x:c r="AE340" s="156" t="str">
        <x:f>IF(OR(AC340="",AD340=""),"",MOD(AD340-AC340,1)*24)</x:f>
      </x:c>
      <x:c r="AF340" s="154"/>
      <x:c r="AG340" s="156" t="str">
        <x:f>IF(AE340="","",MAX(0,AE340-IF(AF340="",0,AF340/60)))</x:f>
      </x:c>
      <x:c r="AH340" s="155"/>
      <x:c r="AI340" s="154"/>
      <x:c r="AJ340" s="154"/>
      <x:c r="AK340" s="156" t="n">
        <x:f>IFERROR(U340*W340,"")</x:f>
        <x:v>0</x:v>
      </x:c>
      <x:c r="AL340" s="156" t="n">
        <x:f>IFERROR(AE340*AI340,"")</x:f>
        <x:v>0</x:v>
      </x:c>
      <x:c r="AM340" s="157" t="str">
        <x:f>IFERROR(AH340/Q340,"")</x:f>
      </x:c>
      <x:c r="AN340" s="156" t="str">
        <x:f>IFERROR(AH340/AG340,"")</x:f>
      </x:c>
      <x:c r="AO340" s="156" t="str">
        <x:f>IFERROR(AL340/AH340,"")</x:f>
      </x:c>
      <x:c r="AP340" s="157" t="str">
        <x:f>IFERROR(AG340/AE340,"")</x:f>
      </x:c>
      <x:c r="AQ340" s="157" t="str">
        <x:f>IFERROR(AN340/(R340/'Configuracion'!$B$13),"")</x:f>
      </x:c>
      <x:c r="AR340" s="156" t="n">
        <x:f>IFERROR(AE340-U340,"")</x:f>
        <x:v>0</x:v>
      </x:c>
      <x:c r="AS340" s="154"/>
      <x:c r="AT340" s="154"/>
      <x:c r="AU340" s="154"/>
      <x:c r="AV340" s="154"/>
      <x:c r="AW340" s="152"/>
      <x:c r="AX340" s="154"/>
      <x:c r="AY340" s="154"/>
      <x:c r="AZ340" s="151"/>
      <x:c r="BA340" s="151"/>
    </x:row>
    <x:row r="341">
      <x:c r="A341" s="151" t="str">
        <x:f>IF(B341="","",TEXT(B341,"yyyymmdd")&amp;"-"&amp;TEXT(COUNTIF($B$5:B341,B341),"000"))</x:f>
      </x:c>
      <x:c r="B341" s="152"/>
      <x:c r="C341" s="153"/>
      <x:c r="D341" s="151" t="str">
        <x:f>IF(B341="","",'Configuracion'!$B$4)</x:f>
      </x:c>
      <x:c r="E341" s="154"/>
      <x:c r="F341" s="154"/>
      <x:c r="G341" s="151" t="str">
        <x:f>IFERROR(VLOOKUP(F341,'Base Sectores'!$A$5:$J$47,2,FALSE),"")</x:f>
      </x:c>
      <x:c r="H341" s="151" t="str">
        <x:f>IFERROR(VLOOKUP(F341,'Base Sectores'!$A$5:$J$47,3,FALSE),"")</x:f>
      </x:c>
      <x:c r="I341" s="151" t="str">
        <x:f>IFERROR(VLOOKUP(F341,'Base Sectores'!$A$5:$J$47,4,FALSE),"")</x:f>
      </x:c>
      <x:c r="J341" s="151" t="str">
        <x:f>IFERROR(VLOOKUP(F341,'Base Sectores'!$A$5:$J$47,5,FALSE),"")</x:f>
      </x:c>
      <x:c r="K341" s="151" t="str">
        <x:f>IFERROR(VLOOKUP(F341,'Base Sectores'!$A$5:$J$47,6,FALSE),"")</x:f>
      </x:c>
      <x:c r="L341" s="151" t="str">
        <x:f>IFERROR(VLOOKUP(F341,'Base Sectores'!$A$5:$J$47,7,FALSE),"")</x:f>
      </x:c>
      <x:c r="M341" s="151" t="str">
        <x:f>IFERROR(VLOOKUP(F341,'Base Sectores'!$A$5:$J$47,9,FALSE),"")</x:f>
      </x:c>
      <x:c r="N341" s="154"/>
      <x:c r="O341" s="151" t="str">
        <x:f>IFERROR(VLOOKUP(N341,'Configuracion'!$D$4:$H$15,2,FALSE),"")</x:f>
      </x:c>
      <x:c r="P341" s="151" t="str">
        <x:f>IFERROR(VLOOKUP(N341,'Configuracion'!$D$4:$H$15,3,FALSE),"")</x:f>
      </x:c>
      <x:c r="Q341" s="155"/>
      <x:c r="R341" s="156" t="str">
        <x:f>IFERROR(VLOOKUP(N341,'Configuracion'!$D$4:$H$15,4,FALSE),"")</x:f>
      </x:c>
      <x:c r="S341" s="153"/>
      <x:c r="T341" s="153"/>
      <x:c r="U341" s="156" t="str">
        <x:f>IF(OR(S341="",T341=""),"",MOD(T341-S341,1)*24)</x:f>
      </x:c>
      <x:c r="V341" s="154"/>
      <x:c r="W341" s="154"/>
      <x:c r="X341" s="151" t="str">
        <x:f>IFERROR(VLOOKUP(N341,'Configuracion'!$D$4:$H$15,5,FALSE),"")</x:f>
      </x:c>
      <x:c r="Y341" s="151" t="str">
        <x:f>IFERROR(VLOOKUP(V341,'Cuadrillas'!$A$5:$J$14,2,FALSE),"")</x:f>
      </x:c>
      <x:c r="Z341" s="154"/>
      <x:c r="AA341" s="154"/>
      <x:c r="AB341" s="154"/>
      <x:c r="AC341" s="153"/>
      <x:c r="AD341" s="153"/>
      <x:c r="AE341" s="156" t="str">
        <x:f>IF(OR(AC341="",AD341=""),"",MOD(AD341-AC341,1)*24)</x:f>
      </x:c>
      <x:c r="AF341" s="154"/>
      <x:c r="AG341" s="156" t="str">
        <x:f>IF(AE341="","",MAX(0,AE341-IF(AF341="",0,AF341/60)))</x:f>
      </x:c>
      <x:c r="AH341" s="155"/>
      <x:c r="AI341" s="154"/>
      <x:c r="AJ341" s="154"/>
      <x:c r="AK341" s="156" t="n">
        <x:f>IFERROR(U341*W341,"")</x:f>
        <x:v>0</x:v>
      </x:c>
      <x:c r="AL341" s="156" t="n">
        <x:f>IFERROR(AE341*AI341,"")</x:f>
        <x:v>0</x:v>
      </x:c>
      <x:c r="AM341" s="157" t="str">
        <x:f>IFERROR(AH341/Q341,"")</x:f>
      </x:c>
      <x:c r="AN341" s="156" t="str">
        <x:f>IFERROR(AH341/AG341,"")</x:f>
      </x:c>
      <x:c r="AO341" s="156" t="str">
        <x:f>IFERROR(AL341/AH341,"")</x:f>
      </x:c>
      <x:c r="AP341" s="157" t="str">
        <x:f>IFERROR(AG341/AE341,"")</x:f>
      </x:c>
      <x:c r="AQ341" s="157" t="str">
        <x:f>IFERROR(AN341/(R341/'Configuracion'!$B$13),"")</x:f>
      </x:c>
      <x:c r="AR341" s="156" t="n">
        <x:f>IFERROR(AE341-U341,"")</x:f>
        <x:v>0</x:v>
      </x:c>
      <x:c r="AS341" s="154"/>
      <x:c r="AT341" s="154"/>
      <x:c r="AU341" s="154"/>
      <x:c r="AV341" s="154"/>
      <x:c r="AW341" s="152"/>
      <x:c r="AX341" s="154"/>
      <x:c r="AY341" s="154"/>
      <x:c r="AZ341" s="151"/>
      <x:c r="BA341" s="151"/>
    </x:row>
    <x:row r="342">
      <x:c r="A342" s="151" t="str">
        <x:f>IF(B342="","",TEXT(B342,"yyyymmdd")&amp;"-"&amp;TEXT(COUNTIF($B$5:B342,B342),"000"))</x:f>
      </x:c>
      <x:c r="B342" s="152"/>
      <x:c r="C342" s="153"/>
      <x:c r="D342" s="151" t="str">
        <x:f>IF(B342="","",'Configuracion'!$B$4)</x:f>
      </x:c>
      <x:c r="E342" s="154"/>
      <x:c r="F342" s="154"/>
      <x:c r="G342" s="151" t="str">
        <x:f>IFERROR(VLOOKUP(F342,'Base Sectores'!$A$5:$J$47,2,FALSE),"")</x:f>
      </x:c>
      <x:c r="H342" s="151" t="str">
        <x:f>IFERROR(VLOOKUP(F342,'Base Sectores'!$A$5:$J$47,3,FALSE),"")</x:f>
      </x:c>
      <x:c r="I342" s="151" t="str">
        <x:f>IFERROR(VLOOKUP(F342,'Base Sectores'!$A$5:$J$47,4,FALSE),"")</x:f>
      </x:c>
      <x:c r="J342" s="151" t="str">
        <x:f>IFERROR(VLOOKUP(F342,'Base Sectores'!$A$5:$J$47,5,FALSE),"")</x:f>
      </x:c>
      <x:c r="K342" s="151" t="str">
        <x:f>IFERROR(VLOOKUP(F342,'Base Sectores'!$A$5:$J$47,6,FALSE),"")</x:f>
      </x:c>
      <x:c r="L342" s="151" t="str">
        <x:f>IFERROR(VLOOKUP(F342,'Base Sectores'!$A$5:$J$47,7,FALSE),"")</x:f>
      </x:c>
      <x:c r="M342" s="151" t="str">
        <x:f>IFERROR(VLOOKUP(F342,'Base Sectores'!$A$5:$J$47,9,FALSE),"")</x:f>
      </x:c>
      <x:c r="N342" s="154"/>
      <x:c r="O342" s="151" t="str">
        <x:f>IFERROR(VLOOKUP(N342,'Configuracion'!$D$4:$H$15,2,FALSE),"")</x:f>
      </x:c>
      <x:c r="P342" s="151" t="str">
        <x:f>IFERROR(VLOOKUP(N342,'Configuracion'!$D$4:$H$15,3,FALSE),"")</x:f>
      </x:c>
      <x:c r="Q342" s="155"/>
      <x:c r="R342" s="156" t="str">
        <x:f>IFERROR(VLOOKUP(N342,'Configuracion'!$D$4:$H$15,4,FALSE),"")</x:f>
      </x:c>
      <x:c r="S342" s="153"/>
      <x:c r="T342" s="153"/>
      <x:c r="U342" s="156" t="str">
        <x:f>IF(OR(S342="",T342=""),"",MOD(T342-S342,1)*24)</x:f>
      </x:c>
      <x:c r="V342" s="154"/>
      <x:c r="W342" s="154"/>
      <x:c r="X342" s="151" t="str">
        <x:f>IFERROR(VLOOKUP(N342,'Configuracion'!$D$4:$H$15,5,FALSE),"")</x:f>
      </x:c>
      <x:c r="Y342" s="151" t="str">
        <x:f>IFERROR(VLOOKUP(V342,'Cuadrillas'!$A$5:$J$14,2,FALSE),"")</x:f>
      </x:c>
      <x:c r="Z342" s="154"/>
      <x:c r="AA342" s="154"/>
      <x:c r="AB342" s="154"/>
      <x:c r="AC342" s="153"/>
      <x:c r="AD342" s="153"/>
      <x:c r="AE342" s="156" t="str">
        <x:f>IF(OR(AC342="",AD342=""),"",MOD(AD342-AC342,1)*24)</x:f>
      </x:c>
      <x:c r="AF342" s="154"/>
      <x:c r="AG342" s="156" t="str">
        <x:f>IF(AE342="","",MAX(0,AE342-IF(AF342="",0,AF342/60)))</x:f>
      </x:c>
      <x:c r="AH342" s="155"/>
      <x:c r="AI342" s="154"/>
      <x:c r="AJ342" s="154"/>
      <x:c r="AK342" s="156" t="n">
        <x:f>IFERROR(U342*W342,"")</x:f>
        <x:v>0</x:v>
      </x:c>
      <x:c r="AL342" s="156" t="n">
        <x:f>IFERROR(AE342*AI342,"")</x:f>
        <x:v>0</x:v>
      </x:c>
      <x:c r="AM342" s="157" t="str">
        <x:f>IFERROR(AH342/Q342,"")</x:f>
      </x:c>
      <x:c r="AN342" s="156" t="str">
        <x:f>IFERROR(AH342/AG342,"")</x:f>
      </x:c>
      <x:c r="AO342" s="156" t="str">
        <x:f>IFERROR(AL342/AH342,"")</x:f>
      </x:c>
      <x:c r="AP342" s="157" t="str">
        <x:f>IFERROR(AG342/AE342,"")</x:f>
      </x:c>
      <x:c r="AQ342" s="157" t="str">
        <x:f>IFERROR(AN342/(R342/'Configuracion'!$B$13),"")</x:f>
      </x:c>
      <x:c r="AR342" s="156" t="n">
        <x:f>IFERROR(AE342-U342,"")</x:f>
        <x:v>0</x:v>
      </x:c>
      <x:c r="AS342" s="154"/>
      <x:c r="AT342" s="154"/>
      <x:c r="AU342" s="154"/>
      <x:c r="AV342" s="154"/>
      <x:c r="AW342" s="152"/>
      <x:c r="AX342" s="154"/>
      <x:c r="AY342" s="154"/>
      <x:c r="AZ342" s="151"/>
      <x:c r="BA342" s="151"/>
    </x:row>
    <x:row r="343">
      <x:c r="A343" s="151" t="str">
        <x:f>IF(B343="","",TEXT(B343,"yyyymmdd")&amp;"-"&amp;TEXT(COUNTIF($B$5:B343,B343),"000"))</x:f>
      </x:c>
      <x:c r="B343" s="152"/>
      <x:c r="C343" s="153"/>
      <x:c r="D343" s="151" t="str">
        <x:f>IF(B343="","",'Configuracion'!$B$4)</x:f>
      </x:c>
      <x:c r="E343" s="154"/>
      <x:c r="F343" s="154"/>
      <x:c r="G343" s="151" t="str">
        <x:f>IFERROR(VLOOKUP(F343,'Base Sectores'!$A$5:$J$47,2,FALSE),"")</x:f>
      </x:c>
      <x:c r="H343" s="151" t="str">
        <x:f>IFERROR(VLOOKUP(F343,'Base Sectores'!$A$5:$J$47,3,FALSE),"")</x:f>
      </x:c>
      <x:c r="I343" s="151" t="str">
        <x:f>IFERROR(VLOOKUP(F343,'Base Sectores'!$A$5:$J$47,4,FALSE),"")</x:f>
      </x:c>
      <x:c r="J343" s="151" t="str">
        <x:f>IFERROR(VLOOKUP(F343,'Base Sectores'!$A$5:$J$47,5,FALSE),"")</x:f>
      </x:c>
      <x:c r="K343" s="151" t="str">
        <x:f>IFERROR(VLOOKUP(F343,'Base Sectores'!$A$5:$J$47,6,FALSE),"")</x:f>
      </x:c>
      <x:c r="L343" s="151" t="str">
        <x:f>IFERROR(VLOOKUP(F343,'Base Sectores'!$A$5:$J$47,7,FALSE),"")</x:f>
      </x:c>
      <x:c r="M343" s="151" t="str">
        <x:f>IFERROR(VLOOKUP(F343,'Base Sectores'!$A$5:$J$47,9,FALSE),"")</x:f>
      </x:c>
      <x:c r="N343" s="154"/>
      <x:c r="O343" s="151" t="str">
        <x:f>IFERROR(VLOOKUP(N343,'Configuracion'!$D$4:$H$15,2,FALSE),"")</x:f>
      </x:c>
      <x:c r="P343" s="151" t="str">
        <x:f>IFERROR(VLOOKUP(N343,'Configuracion'!$D$4:$H$15,3,FALSE),"")</x:f>
      </x:c>
      <x:c r="Q343" s="155"/>
      <x:c r="R343" s="156" t="str">
        <x:f>IFERROR(VLOOKUP(N343,'Configuracion'!$D$4:$H$15,4,FALSE),"")</x:f>
      </x:c>
      <x:c r="S343" s="153"/>
      <x:c r="T343" s="153"/>
      <x:c r="U343" s="156" t="str">
        <x:f>IF(OR(S343="",T343=""),"",MOD(T343-S343,1)*24)</x:f>
      </x:c>
      <x:c r="V343" s="154"/>
      <x:c r="W343" s="154"/>
      <x:c r="X343" s="151" t="str">
        <x:f>IFERROR(VLOOKUP(N343,'Configuracion'!$D$4:$H$15,5,FALSE),"")</x:f>
      </x:c>
      <x:c r="Y343" s="151" t="str">
        <x:f>IFERROR(VLOOKUP(V343,'Cuadrillas'!$A$5:$J$14,2,FALSE),"")</x:f>
      </x:c>
      <x:c r="Z343" s="154"/>
      <x:c r="AA343" s="154"/>
      <x:c r="AB343" s="154"/>
      <x:c r="AC343" s="153"/>
      <x:c r="AD343" s="153"/>
      <x:c r="AE343" s="156" t="str">
        <x:f>IF(OR(AC343="",AD343=""),"",MOD(AD343-AC343,1)*24)</x:f>
      </x:c>
      <x:c r="AF343" s="154"/>
      <x:c r="AG343" s="156" t="str">
        <x:f>IF(AE343="","",MAX(0,AE343-IF(AF343="",0,AF343/60)))</x:f>
      </x:c>
      <x:c r="AH343" s="155"/>
      <x:c r="AI343" s="154"/>
      <x:c r="AJ343" s="154"/>
      <x:c r="AK343" s="156" t="n">
        <x:f>IFERROR(U343*W343,"")</x:f>
        <x:v>0</x:v>
      </x:c>
      <x:c r="AL343" s="156" t="n">
        <x:f>IFERROR(AE343*AI343,"")</x:f>
        <x:v>0</x:v>
      </x:c>
      <x:c r="AM343" s="157" t="str">
        <x:f>IFERROR(AH343/Q343,"")</x:f>
      </x:c>
      <x:c r="AN343" s="156" t="str">
        <x:f>IFERROR(AH343/AG343,"")</x:f>
      </x:c>
      <x:c r="AO343" s="156" t="str">
        <x:f>IFERROR(AL343/AH343,"")</x:f>
      </x:c>
      <x:c r="AP343" s="157" t="str">
        <x:f>IFERROR(AG343/AE343,"")</x:f>
      </x:c>
      <x:c r="AQ343" s="157" t="str">
        <x:f>IFERROR(AN343/(R343/'Configuracion'!$B$13),"")</x:f>
      </x:c>
      <x:c r="AR343" s="156" t="n">
        <x:f>IFERROR(AE343-U343,"")</x:f>
        <x:v>0</x:v>
      </x:c>
      <x:c r="AS343" s="154"/>
      <x:c r="AT343" s="154"/>
      <x:c r="AU343" s="154"/>
      <x:c r="AV343" s="154"/>
      <x:c r="AW343" s="152"/>
      <x:c r="AX343" s="154"/>
      <x:c r="AY343" s="154"/>
      <x:c r="AZ343" s="151"/>
      <x:c r="BA343" s="151"/>
    </x:row>
    <x:row r="344">
      <x:c r="A344" s="151" t="str">
        <x:f>IF(B344="","",TEXT(B344,"yyyymmdd")&amp;"-"&amp;TEXT(COUNTIF($B$5:B344,B344),"000"))</x:f>
      </x:c>
      <x:c r="B344" s="152"/>
      <x:c r="C344" s="153"/>
      <x:c r="D344" s="151" t="str">
        <x:f>IF(B344="","",'Configuracion'!$B$4)</x:f>
      </x:c>
      <x:c r="E344" s="154"/>
      <x:c r="F344" s="154"/>
      <x:c r="G344" s="151" t="str">
        <x:f>IFERROR(VLOOKUP(F344,'Base Sectores'!$A$5:$J$47,2,FALSE),"")</x:f>
      </x:c>
      <x:c r="H344" s="151" t="str">
        <x:f>IFERROR(VLOOKUP(F344,'Base Sectores'!$A$5:$J$47,3,FALSE),"")</x:f>
      </x:c>
      <x:c r="I344" s="151" t="str">
        <x:f>IFERROR(VLOOKUP(F344,'Base Sectores'!$A$5:$J$47,4,FALSE),"")</x:f>
      </x:c>
      <x:c r="J344" s="151" t="str">
        <x:f>IFERROR(VLOOKUP(F344,'Base Sectores'!$A$5:$J$47,5,FALSE),"")</x:f>
      </x:c>
      <x:c r="K344" s="151" t="str">
        <x:f>IFERROR(VLOOKUP(F344,'Base Sectores'!$A$5:$J$47,6,FALSE),"")</x:f>
      </x:c>
      <x:c r="L344" s="151" t="str">
        <x:f>IFERROR(VLOOKUP(F344,'Base Sectores'!$A$5:$J$47,7,FALSE),"")</x:f>
      </x:c>
      <x:c r="M344" s="151" t="str">
        <x:f>IFERROR(VLOOKUP(F344,'Base Sectores'!$A$5:$J$47,9,FALSE),"")</x:f>
      </x:c>
      <x:c r="N344" s="154"/>
      <x:c r="O344" s="151" t="str">
        <x:f>IFERROR(VLOOKUP(N344,'Configuracion'!$D$4:$H$15,2,FALSE),"")</x:f>
      </x:c>
      <x:c r="P344" s="151" t="str">
        <x:f>IFERROR(VLOOKUP(N344,'Configuracion'!$D$4:$H$15,3,FALSE),"")</x:f>
      </x:c>
      <x:c r="Q344" s="155"/>
      <x:c r="R344" s="156" t="str">
        <x:f>IFERROR(VLOOKUP(N344,'Configuracion'!$D$4:$H$15,4,FALSE),"")</x:f>
      </x:c>
      <x:c r="S344" s="153"/>
      <x:c r="T344" s="153"/>
      <x:c r="U344" s="156" t="str">
        <x:f>IF(OR(S344="",T344=""),"",MOD(T344-S344,1)*24)</x:f>
      </x:c>
      <x:c r="V344" s="154"/>
      <x:c r="W344" s="154"/>
      <x:c r="X344" s="151" t="str">
        <x:f>IFERROR(VLOOKUP(N344,'Configuracion'!$D$4:$H$15,5,FALSE),"")</x:f>
      </x:c>
      <x:c r="Y344" s="151" t="str">
        <x:f>IFERROR(VLOOKUP(V344,'Cuadrillas'!$A$5:$J$14,2,FALSE),"")</x:f>
      </x:c>
      <x:c r="Z344" s="154"/>
      <x:c r="AA344" s="154"/>
      <x:c r="AB344" s="154"/>
      <x:c r="AC344" s="153"/>
      <x:c r="AD344" s="153"/>
      <x:c r="AE344" s="156" t="str">
        <x:f>IF(OR(AC344="",AD344=""),"",MOD(AD344-AC344,1)*24)</x:f>
      </x:c>
      <x:c r="AF344" s="154"/>
      <x:c r="AG344" s="156" t="str">
        <x:f>IF(AE344="","",MAX(0,AE344-IF(AF344="",0,AF344/60)))</x:f>
      </x:c>
      <x:c r="AH344" s="155"/>
      <x:c r="AI344" s="154"/>
      <x:c r="AJ344" s="154"/>
      <x:c r="AK344" s="156" t="n">
        <x:f>IFERROR(U344*W344,"")</x:f>
        <x:v>0</x:v>
      </x:c>
      <x:c r="AL344" s="156" t="n">
        <x:f>IFERROR(AE344*AI344,"")</x:f>
        <x:v>0</x:v>
      </x:c>
      <x:c r="AM344" s="157" t="str">
        <x:f>IFERROR(AH344/Q344,"")</x:f>
      </x:c>
      <x:c r="AN344" s="156" t="str">
        <x:f>IFERROR(AH344/AG344,"")</x:f>
      </x:c>
      <x:c r="AO344" s="156" t="str">
        <x:f>IFERROR(AL344/AH344,"")</x:f>
      </x:c>
      <x:c r="AP344" s="157" t="str">
        <x:f>IFERROR(AG344/AE344,"")</x:f>
      </x:c>
      <x:c r="AQ344" s="157" t="str">
        <x:f>IFERROR(AN344/(R344/'Configuracion'!$B$13),"")</x:f>
      </x:c>
      <x:c r="AR344" s="156" t="n">
        <x:f>IFERROR(AE344-U344,"")</x:f>
        <x:v>0</x:v>
      </x:c>
      <x:c r="AS344" s="154"/>
      <x:c r="AT344" s="154"/>
      <x:c r="AU344" s="154"/>
      <x:c r="AV344" s="154"/>
      <x:c r="AW344" s="152"/>
      <x:c r="AX344" s="154"/>
      <x:c r="AY344" s="154"/>
      <x:c r="AZ344" s="151"/>
      <x:c r="BA344" s="151"/>
    </x:row>
    <x:row r="345">
      <x:c r="A345" s="151" t="str">
        <x:f>IF(B345="","",TEXT(B345,"yyyymmdd")&amp;"-"&amp;TEXT(COUNTIF($B$5:B345,B345),"000"))</x:f>
      </x:c>
      <x:c r="B345" s="152"/>
      <x:c r="C345" s="153"/>
      <x:c r="D345" s="151" t="str">
        <x:f>IF(B345="","",'Configuracion'!$B$4)</x:f>
      </x:c>
      <x:c r="E345" s="154"/>
      <x:c r="F345" s="154"/>
      <x:c r="G345" s="151" t="str">
        <x:f>IFERROR(VLOOKUP(F345,'Base Sectores'!$A$5:$J$47,2,FALSE),"")</x:f>
      </x:c>
      <x:c r="H345" s="151" t="str">
        <x:f>IFERROR(VLOOKUP(F345,'Base Sectores'!$A$5:$J$47,3,FALSE),"")</x:f>
      </x:c>
      <x:c r="I345" s="151" t="str">
        <x:f>IFERROR(VLOOKUP(F345,'Base Sectores'!$A$5:$J$47,4,FALSE),"")</x:f>
      </x:c>
      <x:c r="J345" s="151" t="str">
        <x:f>IFERROR(VLOOKUP(F345,'Base Sectores'!$A$5:$J$47,5,FALSE),"")</x:f>
      </x:c>
      <x:c r="K345" s="151" t="str">
        <x:f>IFERROR(VLOOKUP(F345,'Base Sectores'!$A$5:$J$47,6,FALSE),"")</x:f>
      </x:c>
      <x:c r="L345" s="151" t="str">
        <x:f>IFERROR(VLOOKUP(F345,'Base Sectores'!$A$5:$J$47,7,FALSE),"")</x:f>
      </x:c>
      <x:c r="M345" s="151" t="str">
        <x:f>IFERROR(VLOOKUP(F345,'Base Sectores'!$A$5:$J$47,9,FALSE),"")</x:f>
      </x:c>
      <x:c r="N345" s="154"/>
      <x:c r="O345" s="151" t="str">
        <x:f>IFERROR(VLOOKUP(N345,'Configuracion'!$D$4:$H$15,2,FALSE),"")</x:f>
      </x:c>
      <x:c r="P345" s="151" t="str">
        <x:f>IFERROR(VLOOKUP(N345,'Configuracion'!$D$4:$H$15,3,FALSE),"")</x:f>
      </x:c>
      <x:c r="Q345" s="155"/>
      <x:c r="R345" s="156" t="str">
        <x:f>IFERROR(VLOOKUP(N345,'Configuracion'!$D$4:$H$15,4,FALSE),"")</x:f>
      </x:c>
      <x:c r="S345" s="153"/>
      <x:c r="T345" s="153"/>
      <x:c r="U345" s="156" t="str">
        <x:f>IF(OR(S345="",T345=""),"",MOD(T345-S345,1)*24)</x:f>
      </x:c>
      <x:c r="V345" s="154"/>
      <x:c r="W345" s="154"/>
      <x:c r="X345" s="151" t="str">
        <x:f>IFERROR(VLOOKUP(N345,'Configuracion'!$D$4:$H$15,5,FALSE),"")</x:f>
      </x:c>
      <x:c r="Y345" s="151" t="str">
        <x:f>IFERROR(VLOOKUP(V345,'Cuadrillas'!$A$5:$J$14,2,FALSE),"")</x:f>
      </x:c>
      <x:c r="Z345" s="154"/>
      <x:c r="AA345" s="154"/>
      <x:c r="AB345" s="154"/>
      <x:c r="AC345" s="153"/>
      <x:c r="AD345" s="153"/>
      <x:c r="AE345" s="156" t="str">
        <x:f>IF(OR(AC345="",AD345=""),"",MOD(AD345-AC345,1)*24)</x:f>
      </x:c>
      <x:c r="AF345" s="154"/>
      <x:c r="AG345" s="156" t="str">
        <x:f>IF(AE345="","",MAX(0,AE345-IF(AF345="",0,AF345/60)))</x:f>
      </x:c>
      <x:c r="AH345" s="155"/>
      <x:c r="AI345" s="154"/>
      <x:c r="AJ345" s="154"/>
      <x:c r="AK345" s="156" t="n">
        <x:f>IFERROR(U345*W345,"")</x:f>
        <x:v>0</x:v>
      </x:c>
      <x:c r="AL345" s="156" t="n">
        <x:f>IFERROR(AE345*AI345,"")</x:f>
        <x:v>0</x:v>
      </x:c>
      <x:c r="AM345" s="157" t="str">
        <x:f>IFERROR(AH345/Q345,"")</x:f>
      </x:c>
      <x:c r="AN345" s="156" t="str">
        <x:f>IFERROR(AH345/AG345,"")</x:f>
      </x:c>
      <x:c r="AO345" s="156" t="str">
        <x:f>IFERROR(AL345/AH345,"")</x:f>
      </x:c>
      <x:c r="AP345" s="157" t="str">
        <x:f>IFERROR(AG345/AE345,"")</x:f>
      </x:c>
      <x:c r="AQ345" s="157" t="str">
        <x:f>IFERROR(AN345/(R345/'Configuracion'!$B$13),"")</x:f>
      </x:c>
      <x:c r="AR345" s="156" t="n">
        <x:f>IFERROR(AE345-U345,"")</x:f>
        <x:v>0</x:v>
      </x:c>
      <x:c r="AS345" s="154"/>
      <x:c r="AT345" s="154"/>
      <x:c r="AU345" s="154"/>
      <x:c r="AV345" s="154"/>
      <x:c r="AW345" s="152"/>
      <x:c r="AX345" s="154"/>
      <x:c r="AY345" s="154"/>
      <x:c r="AZ345" s="151"/>
      <x:c r="BA345" s="151"/>
    </x:row>
    <x:row r="346">
      <x:c r="A346" s="151" t="str">
        <x:f>IF(B346="","",TEXT(B346,"yyyymmdd")&amp;"-"&amp;TEXT(COUNTIF($B$5:B346,B346),"000"))</x:f>
      </x:c>
      <x:c r="B346" s="152"/>
      <x:c r="C346" s="153"/>
      <x:c r="D346" s="151" t="str">
        <x:f>IF(B346="","",'Configuracion'!$B$4)</x:f>
      </x:c>
      <x:c r="E346" s="154"/>
      <x:c r="F346" s="154"/>
      <x:c r="G346" s="151" t="str">
        <x:f>IFERROR(VLOOKUP(F346,'Base Sectores'!$A$5:$J$47,2,FALSE),"")</x:f>
      </x:c>
      <x:c r="H346" s="151" t="str">
        <x:f>IFERROR(VLOOKUP(F346,'Base Sectores'!$A$5:$J$47,3,FALSE),"")</x:f>
      </x:c>
      <x:c r="I346" s="151" t="str">
        <x:f>IFERROR(VLOOKUP(F346,'Base Sectores'!$A$5:$J$47,4,FALSE),"")</x:f>
      </x:c>
      <x:c r="J346" s="151" t="str">
        <x:f>IFERROR(VLOOKUP(F346,'Base Sectores'!$A$5:$J$47,5,FALSE),"")</x:f>
      </x:c>
      <x:c r="K346" s="151" t="str">
        <x:f>IFERROR(VLOOKUP(F346,'Base Sectores'!$A$5:$J$47,6,FALSE),"")</x:f>
      </x:c>
      <x:c r="L346" s="151" t="str">
        <x:f>IFERROR(VLOOKUP(F346,'Base Sectores'!$A$5:$J$47,7,FALSE),"")</x:f>
      </x:c>
      <x:c r="M346" s="151" t="str">
        <x:f>IFERROR(VLOOKUP(F346,'Base Sectores'!$A$5:$J$47,9,FALSE),"")</x:f>
      </x:c>
      <x:c r="N346" s="154"/>
      <x:c r="O346" s="151" t="str">
        <x:f>IFERROR(VLOOKUP(N346,'Configuracion'!$D$4:$H$15,2,FALSE),"")</x:f>
      </x:c>
      <x:c r="P346" s="151" t="str">
        <x:f>IFERROR(VLOOKUP(N346,'Configuracion'!$D$4:$H$15,3,FALSE),"")</x:f>
      </x:c>
      <x:c r="Q346" s="155"/>
      <x:c r="R346" s="156" t="str">
        <x:f>IFERROR(VLOOKUP(N346,'Configuracion'!$D$4:$H$15,4,FALSE),"")</x:f>
      </x:c>
      <x:c r="S346" s="153"/>
      <x:c r="T346" s="153"/>
      <x:c r="U346" s="156" t="str">
        <x:f>IF(OR(S346="",T346=""),"",MOD(T346-S346,1)*24)</x:f>
      </x:c>
      <x:c r="V346" s="154"/>
      <x:c r="W346" s="154"/>
      <x:c r="X346" s="151" t="str">
        <x:f>IFERROR(VLOOKUP(N346,'Configuracion'!$D$4:$H$15,5,FALSE),"")</x:f>
      </x:c>
      <x:c r="Y346" s="151" t="str">
        <x:f>IFERROR(VLOOKUP(V346,'Cuadrillas'!$A$5:$J$14,2,FALSE),"")</x:f>
      </x:c>
      <x:c r="Z346" s="154"/>
      <x:c r="AA346" s="154"/>
      <x:c r="AB346" s="154"/>
      <x:c r="AC346" s="153"/>
      <x:c r="AD346" s="153"/>
      <x:c r="AE346" s="156" t="str">
        <x:f>IF(OR(AC346="",AD346=""),"",MOD(AD346-AC346,1)*24)</x:f>
      </x:c>
      <x:c r="AF346" s="154"/>
      <x:c r="AG346" s="156" t="str">
        <x:f>IF(AE346="","",MAX(0,AE346-IF(AF346="",0,AF346/60)))</x:f>
      </x:c>
      <x:c r="AH346" s="155"/>
      <x:c r="AI346" s="154"/>
      <x:c r="AJ346" s="154"/>
      <x:c r="AK346" s="156" t="n">
        <x:f>IFERROR(U346*W346,"")</x:f>
        <x:v>0</x:v>
      </x:c>
      <x:c r="AL346" s="156" t="n">
        <x:f>IFERROR(AE346*AI346,"")</x:f>
        <x:v>0</x:v>
      </x:c>
      <x:c r="AM346" s="157" t="str">
        <x:f>IFERROR(AH346/Q346,"")</x:f>
      </x:c>
      <x:c r="AN346" s="156" t="str">
        <x:f>IFERROR(AH346/AG346,"")</x:f>
      </x:c>
      <x:c r="AO346" s="156" t="str">
        <x:f>IFERROR(AL346/AH346,"")</x:f>
      </x:c>
      <x:c r="AP346" s="157" t="str">
        <x:f>IFERROR(AG346/AE346,"")</x:f>
      </x:c>
      <x:c r="AQ346" s="157" t="str">
        <x:f>IFERROR(AN346/(R346/'Configuracion'!$B$13),"")</x:f>
      </x:c>
      <x:c r="AR346" s="156" t="n">
        <x:f>IFERROR(AE346-U346,"")</x:f>
        <x:v>0</x:v>
      </x:c>
      <x:c r="AS346" s="154"/>
      <x:c r="AT346" s="154"/>
      <x:c r="AU346" s="154"/>
      <x:c r="AV346" s="154"/>
      <x:c r="AW346" s="152"/>
      <x:c r="AX346" s="154"/>
      <x:c r="AY346" s="154"/>
      <x:c r="AZ346" s="151"/>
      <x:c r="BA346" s="151"/>
    </x:row>
    <x:row r="347">
      <x:c r="A347" s="151" t="str">
        <x:f>IF(B347="","",TEXT(B347,"yyyymmdd")&amp;"-"&amp;TEXT(COUNTIF($B$5:B347,B347),"000"))</x:f>
      </x:c>
      <x:c r="B347" s="152"/>
      <x:c r="C347" s="153"/>
      <x:c r="D347" s="151" t="str">
        <x:f>IF(B347="","",'Configuracion'!$B$4)</x:f>
      </x:c>
      <x:c r="E347" s="154"/>
      <x:c r="F347" s="154"/>
      <x:c r="G347" s="151" t="str">
        <x:f>IFERROR(VLOOKUP(F347,'Base Sectores'!$A$5:$J$47,2,FALSE),"")</x:f>
      </x:c>
      <x:c r="H347" s="151" t="str">
        <x:f>IFERROR(VLOOKUP(F347,'Base Sectores'!$A$5:$J$47,3,FALSE),"")</x:f>
      </x:c>
      <x:c r="I347" s="151" t="str">
        <x:f>IFERROR(VLOOKUP(F347,'Base Sectores'!$A$5:$J$47,4,FALSE),"")</x:f>
      </x:c>
      <x:c r="J347" s="151" t="str">
        <x:f>IFERROR(VLOOKUP(F347,'Base Sectores'!$A$5:$J$47,5,FALSE),"")</x:f>
      </x:c>
      <x:c r="K347" s="151" t="str">
        <x:f>IFERROR(VLOOKUP(F347,'Base Sectores'!$A$5:$J$47,6,FALSE),"")</x:f>
      </x:c>
      <x:c r="L347" s="151" t="str">
        <x:f>IFERROR(VLOOKUP(F347,'Base Sectores'!$A$5:$J$47,7,FALSE),"")</x:f>
      </x:c>
      <x:c r="M347" s="151" t="str">
        <x:f>IFERROR(VLOOKUP(F347,'Base Sectores'!$A$5:$J$47,9,FALSE),"")</x:f>
      </x:c>
      <x:c r="N347" s="154"/>
      <x:c r="O347" s="151" t="str">
        <x:f>IFERROR(VLOOKUP(N347,'Configuracion'!$D$4:$H$15,2,FALSE),"")</x:f>
      </x:c>
      <x:c r="P347" s="151" t="str">
        <x:f>IFERROR(VLOOKUP(N347,'Configuracion'!$D$4:$H$15,3,FALSE),"")</x:f>
      </x:c>
      <x:c r="Q347" s="155"/>
      <x:c r="R347" s="156" t="str">
        <x:f>IFERROR(VLOOKUP(N347,'Configuracion'!$D$4:$H$15,4,FALSE),"")</x:f>
      </x:c>
      <x:c r="S347" s="153"/>
      <x:c r="T347" s="153"/>
      <x:c r="U347" s="156" t="str">
        <x:f>IF(OR(S347="",T347=""),"",MOD(T347-S347,1)*24)</x:f>
      </x:c>
      <x:c r="V347" s="154"/>
      <x:c r="W347" s="154"/>
      <x:c r="X347" s="151" t="str">
        <x:f>IFERROR(VLOOKUP(N347,'Configuracion'!$D$4:$H$15,5,FALSE),"")</x:f>
      </x:c>
      <x:c r="Y347" s="151" t="str">
        <x:f>IFERROR(VLOOKUP(V347,'Cuadrillas'!$A$5:$J$14,2,FALSE),"")</x:f>
      </x:c>
      <x:c r="Z347" s="154"/>
      <x:c r="AA347" s="154"/>
      <x:c r="AB347" s="154"/>
      <x:c r="AC347" s="153"/>
      <x:c r="AD347" s="153"/>
      <x:c r="AE347" s="156" t="str">
        <x:f>IF(OR(AC347="",AD347=""),"",MOD(AD347-AC347,1)*24)</x:f>
      </x:c>
      <x:c r="AF347" s="154"/>
      <x:c r="AG347" s="156" t="str">
        <x:f>IF(AE347="","",MAX(0,AE347-IF(AF347="",0,AF347/60)))</x:f>
      </x:c>
      <x:c r="AH347" s="155"/>
      <x:c r="AI347" s="154"/>
      <x:c r="AJ347" s="154"/>
      <x:c r="AK347" s="156" t="n">
        <x:f>IFERROR(U347*W347,"")</x:f>
        <x:v>0</x:v>
      </x:c>
      <x:c r="AL347" s="156" t="n">
        <x:f>IFERROR(AE347*AI347,"")</x:f>
        <x:v>0</x:v>
      </x:c>
      <x:c r="AM347" s="157" t="str">
        <x:f>IFERROR(AH347/Q347,"")</x:f>
      </x:c>
      <x:c r="AN347" s="156" t="str">
        <x:f>IFERROR(AH347/AG347,"")</x:f>
      </x:c>
      <x:c r="AO347" s="156" t="str">
        <x:f>IFERROR(AL347/AH347,"")</x:f>
      </x:c>
      <x:c r="AP347" s="157" t="str">
        <x:f>IFERROR(AG347/AE347,"")</x:f>
      </x:c>
      <x:c r="AQ347" s="157" t="str">
        <x:f>IFERROR(AN347/(R347/'Configuracion'!$B$13),"")</x:f>
      </x:c>
      <x:c r="AR347" s="156" t="n">
        <x:f>IFERROR(AE347-U347,"")</x:f>
        <x:v>0</x:v>
      </x:c>
      <x:c r="AS347" s="154"/>
      <x:c r="AT347" s="154"/>
      <x:c r="AU347" s="154"/>
      <x:c r="AV347" s="154"/>
      <x:c r="AW347" s="152"/>
      <x:c r="AX347" s="154"/>
      <x:c r="AY347" s="154"/>
      <x:c r="AZ347" s="151"/>
      <x:c r="BA347" s="151"/>
    </x:row>
    <x:row r="348">
      <x:c r="A348" s="151" t="str">
        <x:f>IF(B348="","",TEXT(B348,"yyyymmdd")&amp;"-"&amp;TEXT(COUNTIF($B$5:B348,B348),"000"))</x:f>
      </x:c>
      <x:c r="B348" s="152"/>
      <x:c r="C348" s="153"/>
      <x:c r="D348" s="151" t="str">
        <x:f>IF(B348="","",'Configuracion'!$B$4)</x:f>
      </x:c>
      <x:c r="E348" s="154"/>
      <x:c r="F348" s="154"/>
      <x:c r="G348" s="151" t="str">
        <x:f>IFERROR(VLOOKUP(F348,'Base Sectores'!$A$5:$J$47,2,FALSE),"")</x:f>
      </x:c>
      <x:c r="H348" s="151" t="str">
        <x:f>IFERROR(VLOOKUP(F348,'Base Sectores'!$A$5:$J$47,3,FALSE),"")</x:f>
      </x:c>
      <x:c r="I348" s="151" t="str">
        <x:f>IFERROR(VLOOKUP(F348,'Base Sectores'!$A$5:$J$47,4,FALSE),"")</x:f>
      </x:c>
      <x:c r="J348" s="151" t="str">
        <x:f>IFERROR(VLOOKUP(F348,'Base Sectores'!$A$5:$J$47,5,FALSE),"")</x:f>
      </x:c>
      <x:c r="K348" s="151" t="str">
        <x:f>IFERROR(VLOOKUP(F348,'Base Sectores'!$A$5:$J$47,6,FALSE),"")</x:f>
      </x:c>
      <x:c r="L348" s="151" t="str">
        <x:f>IFERROR(VLOOKUP(F348,'Base Sectores'!$A$5:$J$47,7,FALSE),"")</x:f>
      </x:c>
      <x:c r="M348" s="151" t="str">
        <x:f>IFERROR(VLOOKUP(F348,'Base Sectores'!$A$5:$J$47,9,FALSE),"")</x:f>
      </x:c>
      <x:c r="N348" s="154"/>
      <x:c r="O348" s="151" t="str">
        <x:f>IFERROR(VLOOKUP(N348,'Configuracion'!$D$4:$H$15,2,FALSE),"")</x:f>
      </x:c>
      <x:c r="P348" s="151" t="str">
        <x:f>IFERROR(VLOOKUP(N348,'Configuracion'!$D$4:$H$15,3,FALSE),"")</x:f>
      </x:c>
      <x:c r="Q348" s="155"/>
      <x:c r="R348" s="156" t="str">
        <x:f>IFERROR(VLOOKUP(N348,'Configuracion'!$D$4:$H$15,4,FALSE),"")</x:f>
      </x:c>
      <x:c r="S348" s="153"/>
      <x:c r="T348" s="153"/>
      <x:c r="U348" s="156" t="str">
        <x:f>IF(OR(S348="",T348=""),"",MOD(T348-S348,1)*24)</x:f>
      </x:c>
      <x:c r="V348" s="154"/>
      <x:c r="W348" s="154"/>
      <x:c r="X348" s="151" t="str">
        <x:f>IFERROR(VLOOKUP(N348,'Configuracion'!$D$4:$H$15,5,FALSE),"")</x:f>
      </x:c>
      <x:c r="Y348" s="151" t="str">
        <x:f>IFERROR(VLOOKUP(V348,'Cuadrillas'!$A$5:$J$14,2,FALSE),"")</x:f>
      </x:c>
      <x:c r="Z348" s="154"/>
      <x:c r="AA348" s="154"/>
      <x:c r="AB348" s="154"/>
      <x:c r="AC348" s="153"/>
      <x:c r="AD348" s="153"/>
      <x:c r="AE348" s="156" t="str">
        <x:f>IF(OR(AC348="",AD348=""),"",MOD(AD348-AC348,1)*24)</x:f>
      </x:c>
      <x:c r="AF348" s="154"/>
      <x:c r="AG348" s="156" t="str">
        <x:f>IF(AE348="","",MAX(0,AE348-IF(AF348="",0,AF348/60)))</x:f>
      </x:c>
      <x:c r="AH348" s="155"/>
      <x:c r="AI348" s="154"/>
      <x:c r="AJ348" s="154"/>
      <x:c r="AK348" s="156" t="n">
        <x:f>IFERROR(U348*W348,"")</x:f>
        <x:v>0</x:v>
      </x:c>
      <x:c r="AL348" s="156" t="n">
        <x:f>IFERROR(AE348*AI348,"")</x:f>
        <x:v>0</x:v>
      </x:c>
      <x:c r="AM348" s="157" t="str">
        <x:f>IFERROR(AH348/Q348,"")</x:f>
      </x:c>
      <x:c r="AN348" s="156" t="str">
        <x:f>IFERROR(AH348/AG348,"")</x:f>
      </x:c>
      <x:c r="AO348" s="156" t="str">
        <x:f>IFERROR(AL348/AH348,"")</x:f>
      </x:c>
      <x:c r="AP348" s="157" t="str">
        <x:f>IFERROR(AG348/AE348,"")</x:f>
      </x:c>
      <x:c r="AQ348" s="157" t="str">
        <x:f>IFERROR(AN348/(R348/'Configuracion'!$B$13),"")</x:f>
      </x:c>
      <x:c r="AR348" s="156" t="n">
        <x:f>IFERROR(AE348-U348,"")</x:f>
        <x:v>0</x:v>
      </x:c>
      <x:c r="AS348" s="154"/>
      <x:c r="AT348" s="154"/>
      <x:c r="AU348" s="154"/>
      <x:c r="AV348" s="154"/>
      <x:c r="AW348" s="152"/>
      <x:c r="AX348" s="154"/>
      <x:c r="AY348" s="154"/>
      <x:c r="AZ348" s="151"/>
      <x:c r="BA348" s="151"/>
    </x:row>
    <x:row r="349">
      <x:c r="A349" s="151" t="str">
        <x:f>IF(B349="","",TEXT(B349,"yyyymmdd")&amp;"-"&amp;TEXT(COUNTIF($B$5:B349,B349),"000"))</x:f>
      </x:c>
      <x:c r="B349" s="152"/>
      <x:c r="C349" s="153"/>
      <x:c r="D349" s="151" t="str">
        <x:f>IF(B349="","",'Configuracion'!$B$4)</x:f>
      </x:c>
      <x:c r="E349" s="154"/>
      <x:c r="F349" s="154"/>
      <x:c r="G349" s="151" t="str">
        <x:f>IFERROR(VLOOKUP(F349,'Base Sectores'!$A$5:$J$47,2,FALSE),"")</x:f>
      </x:c>
      <x:c r="H349" s="151" t="str">
        <x:f>IFERROR(VLOOKUP(F349,'Base Sectores'!$A$5:$J$47,3,FALSE),"")</x:f>
      </x:c>
      <x:c r="I349" s="151" t="str">
        <x:f>IFERROR(VLOOKUP(F349,'Base Sectores'!$A$5:$J$47,4,FALSE),"")</x:f>
      </x:c>
      <x:c r="J349" s="151" t="str">
        <x:f>IFERROR(VLOOKUP(F349,'Base Sectores'!$A$5:$J$47,5,FALSE),"")</x:f>
      </x:c>
      <x:c r="K349" s="151" t="str">
        <x:f>IFERROR(VLOOKUP(F349,'Base Sectores'!$A$5:$J$47,6,FALSE),"")</x:f>
      </x:c>
      <x:c r="L349" s="151" t="str">
        <x:f>IFERROR(VLOOKUP(F349,'Base Sectores'!$A$5:$J$47,7,FALSE),"")</x:f>
      </x:c>
      <x:c r="M349" s="151" t="str">
        <x:f>IFERROR(VLOOKUP(F349,'Base Sectores'!$A$5:$J$47,9,FALSE),"")</x:f>
      </x:c>
      <x:c r="N349" s="154"/>
      <x:c r="O349" s="151" t="str">
        <x:f>IFERROR(VLOOKUP(N349,'Configuracion'!$D$4:$H$15,2,FALSE),"")</x:f>
      </x:c>
      <x:c r="P349" s="151" t="str">
        <x:f>IFERROR(VLOOKUP(N349,'Configuracion'!$D$4:$H$15,3,FALSE),"")</x:f>
      </x:c>
      <x:c r="Q349" s="155"/>
      <x:c r="R349" s="156" t="str">
        <x:f>IFERROR(VLOOKUP(N349,'Configuracion'!$D$4:$H$15,4,FALSE),"")</x:f>
      </x:c>
      <x:c r="S349" s="153"/>
      <x:c r="T349" s="153"/>
      <x:c r="U349" s="156" t="str">
        <x:f>IF(OR(S349="",T349=""),"",MOD(T349-S349,1)*24)</x:f>
      </x:c>
      <x:c r="V349" s="154"/>
      <x:c r="W349" s="154"/>
      <x:c r="X349" s="151" t="str">
        <x:f>IFERROR(VLOOKUP(N349,'Configuracion'!$D$4:$H$15,5,FALSE),"")</x:f>
      </x:c>
      <x:c r="Y349" s="151" t="str">
        <x:f>IFERROR(VLOOKUP(V349,'Cuadrillas'!$A$5:$J$14,2,FALSE),"")</x:f>
      </x:c>
      <x:c r="Z349" s="154"/>
      <x:c r="AA349" s="154"/>
      <x:c r="AB349" s="154"/>
      <x:c r="AC349" s="153"/>
      <x:c r="AD349" s="153"/>
      <x:c r="AE349" s="156" t="str">
        <x:f>IF(OR(AC349="",AD349=""),"",MOD(AD349-AC349,1)*24)</x:f>
      </x:c>
      <x:c r="AF349" s="154"/>
      <x:c r="AG349" s="156" t="str">
        <x:f>IF(AE349="","",MAX(0,AE349-IF(AF349="",0,AF349/60)))</x:f>
      </x:c>
      <x:c r="AH349" s="155"/>
      <x:c r="AI349" s="154"/>
      <x:c r="AJ349" s="154"/>
      <x:c r="AK349" s="156" t="n">
        <x:f>IFERROR(U349*W349,"")</x:f>
        <x:v>0</x:v>
      </x:c>
      <x:c r="AL349" s="156" t="n">
        <x:f>IFERROR(AE349*AI349,"")</x:f>
        <x:v>0</x:v>
      </x:c>
      <x:c r="AM349" s="157" t="str">
        <x:f>IFERROR(AH349/Q349,"")</x:f>
      </x:c>
      <x:c r="AN349" s="156" t="str">
        <x:f>IFERROR(AH349/AG349,"")</x:f>
      </x:c>
      <x:c r="AO349" s="156" t="str">
        <x:f>IFERROR(AL349/AH349,"")</x:f>
      </x:c>
      <x:c r="AP349" s="157" t="str">
        <x:f>IFERROR(AG349/AE349,"")</x:f>
      </x:c>
      <x:c r="AQ349" s="157" t="str">
        <x:f>IFERROR(AN349/(R349/'Configuracion'!$B$13),"")</x:f>
      </x:c>
      <x:c r="AR349" s="156" t="n">
        <x:f>IFERROR(AE349-U349,"")</x:f>
        <x:v>0</x:v>
      </x:c>
      <x:c r="AS349" s="154"/>
      <x:c r="AT349" s="154"/>
      <x:c r="AU349" s="154"/>
      <x:c r="AV349" s="154"/>
      <x:c r="AW349" s="152"/>
      <x:c r="AX349" s="154"/>
      <x:c r="AY349" s="154"/>
      <x:c r="AZ349" s="151"/>
      <x:c r="BA349" s="151"/>
    </x:row>
    <x:row r="350">
      <x:c r="A350" s="151" t="str">
        <x:f>IF(B350="","",TEXT(B350,"yyyymmdd")&amp;"-"&amp;TEXT(COUNTIF($B$5:B350,B350),"000"))</x:f>
      </x:c>
      <x:c r="B350" s="152"/>
      <x:c r="C350" s="153"/>
      <x:c r="D350" s="151" t="str">
        <x:f>IF(B350="","",'Configuracion'!$B$4)</x:f>
      </x:c>
      <x:c r="E350" s="154"/>
      <x:c r="F350" s="154"/>
      <x:c r="G350" s="151" t="str">
        <x:f>IFERROR(VLOOKUP(F350,'Base Sectores'!$A$5:$J$47,2,FALSE),"")</x:f>
      </x:c>
      <x:c r="H350" s="151" t="str">
        <x:f>IFERROR(VLOOKUP(F350,'Base Sectores'!$A$5:$J$47,3,FALSE),"")</x:f>
      </x:c>
      <x:c r="I350" s="151" t="str">
        <x:f>IFERROR(VLOOKUP(F350,'Base Sectores'!$A$5:$J$47,4,FALSE),"")</x:f>
      </x:c>
      <x:c r="J350" s="151" t="str">
        <x:f>IFERROR(VLOOKUP(F350,'Base Sectores'!$A$5:$J$47,5,FALSE),"")</x:f>
      </x:c>
      <x:c r="K350" s="151" t="str">
        <x:f>IFERROR(VLOOKUP(F350,'Base Sectores'!$A$5:$J$47,6,FALSE),"")</x:f>
      </x:c>
      <x:c r="L350" s="151" t="str">
        <x:f>IFERROR(VLOOKUP(F350,'Base Sectores'!$A$5:$J$47,7,FALSE),"")</x:f>
      </x:c>
      <x:c r="M350" s="151" t="str">
        <x:f>IFERROR(VLOOKUP(F350,'Base Sectores'!$A$5:$J$47,9,FALSE),"")</x:f>
      </x:c>
      <x:c r="N350" s="154"/>
      <x:c r="O350" s="151" t="str">
        <x:f>IFERROR(VLOOKUP(N350,'Configuracion'!$D$4:$H$15,2,FALSE),"")</x:f>
      </x:c>
      <x:c r="P350" s="151" t="str">
        <x:f>IFERROR(VLOOKUP(N350,'Configuracion'!$D$4:$H$15,3,FALSE),"")</x:f>
      </x:c>
      <x:c r="Q350" s="155"/>
      <x:c r="R350" s="156" t="str">
        <x:f>IFERROR(VLOOKUP(N350,'Configuracion'!$D$4:$H$15,4,FALSE),"")</x:f>
      </x:c>
      <x:c r="S350" s="153"/>
      <x:c r="T350" s="153"/>
      <x:c r="U350" s="156" t="str">
        <x:f>IF(OR(S350="",T350=""),"",MOD(T350-S350,1)*24)</x:f>
      </x:c>
      <x:c r="V350" s="154"/>
      <x:c r="W350" s="154"/>
      <x:c r="X350" s="151" t="str">
        <x:f>IFERROR(VLOOKUP(N350,'Configuracion'!$D$4:$H$15,5,FALSE),"")</x:f>
      </x:c>
      <x:c r="Y350" s="151" t="str">
        <x:f>IFERROR(VLOOKUP(V350,'Cuadrillas'!$A$5:$J$14,2,FALSE),"")</x:f>
      </x:c>
      <x:c r="Z350" s="154"/>
      <x:c r="AA350" s="154"/>
      <x:c r="AB350" s="154"/>
      <x:c r="AC350" s="153"/>
      <x:c r="AD350" s="153"/>
      <x:c r="AE350" s="156" t="str">
        <x:f>IF(OR(AC350="",AD350=""),"",MOD(AD350-AC350,1)*24)</x:f>
      </x:c>
      <x:c r="AF350" s="154"/>
      <x:c r="AG350" s="156" t="str">
        <x:f>IF(AE350="","",MAX(0,AE350-IF(AF350="",0,AF350/60)))</x:f>
      </x:c>
      <x:c r="AH350" s="155"/>
      <x:c r="AI350" s="154"/>
      <x:c r="AJ350" s="154"/>
      <x:c r="AK350" s="156" t="n">
        <x:f>IFERROR(U350*W350,"")</x:f>
        <x:v>0</x:v>
      </x:c>
      <x:c r="AL350" s="156" t="n">
        <x:f>IFERROR(AE350*AI350,"")</x:f>
        <x:v>0</x:v>
      </x:c>
      <x:c r="AM350" s="157" t="str">
        <x:f>IFERROR(AH350/Q350,"")</x:f>
      </x:c>
      <x:c r="AN350" s="156" t="str">
        <x:f>IFERROR(AH350/AG350,"")</x:f>
      </x:c>
      <x:c r="AO350" s="156" t="str">
        <x:f>IFERROR(AL350/AH350,"")</x:f>
      </x:c>
      <x:c r="AP350" s="157" t="str">
        <x:f>IFERROR(AG350/AE350,"")</x:f>
      </x:c>
      <x:c r="AQ350" s="157" t="str">
        <x:f>IFERROR(AN350/(R350/'Configuracion'!$B$13),"")</x:f>
      </x:c>
      <x:c r="AR350" s="156" t="n">
        <x:f>IFERROR(AE350-U350,"")</x:f>
        <x:v>0</x:v>
      </x:c>
      <x:c r="AS350" s="154"/>
      <x:c r="AT350" s="154"/>
      <x:c r="AU350" s="154"/>
      <x:c r="AV350" s="154"/>
      <x:c r="AW350" s="152"/>
      <x:c r="AX350" s="154"/>
      <x:c r="AY350" s="154"/>
      <x:c r="AZ350" s="151"/>
      <x:c r="BA350" s="151"/>
    </x:row>
    <x:row r="351">
      <x:c r="A351" s="151" t="str">
        <x:f>IF(B351="","",TEXT(B351,"yyyymmdd")&amp;"-"&amp;TEXT(COUNTIF($B$5:B351,B351),"000"))</x:f>
      </x:c>
      <x:c r="B351" s="152"/>
      <x:c r="C351" s="153"/>
      <x:c r="D351" s="151" t="str">
        <x:f>IF(B351="","",'Configuracion'!$B$4)</x:f>
      </x:c>
      <x:c r="E351" s="154"/>
      <x:c r="F351" s="154"/>
      <x:c r="G351" s="151" t="str">
        <x:f>IFERROR(VLOOKUP(F351,'Base Sectores'!$A$5:$J$47,2,FALSE),"")</x:f>
      </x:c>
      <x:c r="H351" s="151" t="str">
        <x:f>IFERROR(VLOOKUP(F351,'Base Sectores'!$A$5:$J$47,3,FALSE),"")</x:f>
      </x:c>
      <x:c r="I351" s="151" t="str">
        <x:f>IFERROR(VLOOKUP(F351,'Base Sectores'!$A$5:$J$47,4,FALSE),"")</x:f>
      </x:c>
      <x:c r="J351" s="151" t="str">
        <x:f>IFERROR(VLOOKUP(F351,'Base Sectores'!$A$5:$J$47,5,FALSE),"")</x:f>
      </x:c>
      <x:c r="K351" s="151" t="str">
        <x:f>IFERROR(VLOOKUP(F351,'Base Sectores'!$A$5:$J$47,6,FALSE),"")</x:f>
      </x:c>
      <x:c r="L351" s="151" t="str">
        <x:f>IFERROR(VLOOKUP(F351,'Base Sectores'!$A$5:$J$47,7,FALSE),"")</x:f>
      </x:c>
      <x:c r="M351" s="151" t="str">
        <x:f>IFERROR(VLOOKUP(F351,'Base Sectores'!$A$5:$J$47,9,FALSE),"")</x:f>
      </x:c>
      <x:c r="N351" s="154"/>
      <x:c r="O351" s="151" t="str">
        <x:f>IFERROR(VLOOKUP(N351,'Configuracion'!$D$4:$H$15,2,FALSE),"")</x:f>
      </x:c>
      <x:c r="P351" s="151" t="str">
        <x:f>IFERROR(VLOOKUP(N351,'Configuracion'!$D$4:$H$15,3,FALSE),"")</x:f>
      </x:c>
      <x:c r="Q351" s="155"/>
      <x:c r="R351" s="156" t="str">
        <x:f>IFERROR(VLOOKUP(N351,'Configuracion'!$D$4:$H$15,4,FALSE),"")</x:f>
      </x:c>
      <x:c r="S351" s="153"/>
      <x:c r="T351" s="153"/>
      <x:c r="U351" s="156" t="str">
        <x:f>IF(OR(S351="",T351=""),"",MOD(T351-S351,1)*24)</x:f>
      </x:c>
      <x:c r="V351" s="154"/>
      <x:c r="W351" s="154"/>
      <x:c r="X351" s="151" t="str">
        <x:f>IFERROR(VLOOKUP(N351,'Configuracion'!$D$4:$H$15,5,FALSE),"")</x:f>
      </x:c>
      <x:c r="Y351" s="151" t="str">
        <x:f>IFERROR(VLOOKUP(V351,'Cuadrillas'!$A$5:$J$14,2,FALSE),"")</x:f>
      </x:c>
      <x:c r="Z351" s="154"/>
      <x:c r="AA351" s="154"/>
      <x:c r="AB351" s="154"/>
      <x:c r="AC351" s="153"/>
      <x:c r="AD351" s="153"/>
      <x:c r="AE351" s="156" t="str">
        <x:f>IF(OR(AC351="",AD351=""),"",MOD(AD351-AC351,1)*24)</x:f>
      </x:c>
      <x:c r="AF351" s="154"/>
      <x:c r="AG351" s="156" t="str">
        <x:f>IF(AE351="","",MAX(0,AE351-IF(AF351="",0,AF351/60)))</x:f>
      </x:c>
      <x:c r="AH351" s="155"/>
      <x:c r="AI351" s="154"/>
      <x:c r="AJ351" s="154"/>
      <x:c r="AK351" s="156" t="n">
        <x:f>IFERROR(U351*W351,"")</x:f>
        <x:v>0</x:v>
      </x:c>
      <x:c r="AL351" s="156" t="n">
        <x:f>IFERROR(AE351*AI351,"")</x:f>
        <x:v>0</x:v>
      </x:c>
      <x:c r="AM351" s="157" t="str">
        <x:f>IFERROR(AH351/Q351,"")</x:f>
      </x:c>
      <x:c r="AN351" s="156" t="str">
        <x:f>IFERROR(AH351/AG351,"")</x:f>
      </x:c>
      <x:c r="AO351" s="156" t="str">
        <x:f>IFERROR(AL351/AH351,"")</x:f>
      </x:c>
      <x:c r="AP351" s="157" t="str">
        <x:f>IFERROR(AG351/AE351,"")</x:f>
      </x:c>
      <x:c r="AQ351" s="157" t="str">
        <x:f>IFERROR(AN351/(R351/'Configuracion'!$B$13),"")</x:f>
      </x:c>
      <x:c r="AR351" s="156" t="n">
        <x:f>IFERROR(AE351-U351,"")</x:f>
        <x:v>0</x:v>
      </x:c>
      <x:c r="AS351" s="154"/>
      <x:c r="AT351" s="154"/>
      <x:c r="AU351" s="154"/>
      <x:c r="AV351" s="154"/>
      <x:c r="AW351" s="152"/>
      <x:c r="AX351" s="154"/>
      <x:c r="AY351" s="154"/>
      <x:c r="AZ351" s="151"/>
      <x:c r="BA351" s="151"/>
    </x:row>
    <x:row r="352">
      <x:c r="A352" s="151" t="str">
        <x:f>IF(B352="","",TEXT(B352,"yyyymmdd")&amp;"-"&amp;TEXT(COUNTIF($B$5:B352,B352),"000"))</x:f>
      </x:c>
      <x:c r="B352" s="152"/>
      <x:c r="C352" s="153"/>
      <x:c r="D352" s="151" t="str">
        <x:f>IF(B352="","",'Configuracion'!$B$4)</x:f>
      </x:c>
      <x:c r="E352" s="154"/>
      <x:c r="F352" s="154"/>
      <x:c r="G352" s="151" t="str">
        <x:f>IFERROR(VLOOKUP(F352,'Base Sectores'!$A$5:$J$47,2,FALSE),"")</x:f>
      </x:c>
      <x:c r="H352" s="151" t="str">
        <x:f>IFERROR(VLOOKUP(F352,'Base Sectores'!$A$5:$J$47,3,FALSE),"")</x:f>
      </x:c>
      <x:c r="I352" s="151" t="str">
        <x:f>IFERROR(VLOOKUP(F352,'Base Sectores'!$A$5:$J$47,4,FALSE),"")</x:f>
      </x:c>
      <x:c r="J352" s="151" t="str">
        <x:f>IFERROR(VLOOKUP(F352,'Base Sectores'!$A$5:$J$47,5,FALSE),"")</x:f>
      </x:c>
      <x:c r="K352" s="151" t="str">
        <x:f>IFERROR(VLOOKUP(F352,'Base Sectores'!$A$5:$J$47,6,FALSE),"")</x:f>
      </x:c>
      <x:c r="L352" s="151" t="str">
        <x:f>IFERROR(VLOOKUP(F352,'Base Sectores'!$A$5:$J$47,7,FALSE),"")</x:f>
      </x:c>
      <x:c r="M352" s="151" t="str">
        <x:f>IFERROR(VLOOKUP(F352,'Base Sectores'!$A$5:$J$47,9,FALSE),"")</x:f>
      </x:c>
      <x:c r="N352" s="154"/>
      <x:c r="O352" s="151" t="str">
        <x:f>IFERROR(VLOOKUP(N352,'Configuracion'!$D$4:$H$15,2,FALSE),"")</x:f>
      </x:c>
      <x:c r="P352" s="151" t="str">
        <x:f>IFERROR(VLOOKUP(N352,'Configuracion'!$D$4:$H$15,3,FALSE),"")</x:f>
      </x:c>
      <x:c r="Q352" s="155"/>
      <x:c r="R352" s="156" t="str">
        <x:f>IFERROR(VLOOKUP(N352,'Configuracion'!$D$4:$H$15,4,FALSE),"")</x:f>
      </x:c>
      <x:c r="S352" s="153"/>
      <x:c r="T352" s="153"/>
      <x:c r="U352" s="156" t="str">
        <x:f>IF(OR(S352="",T352=""),"",MOD(T352-S352,1)*24)</x:f>
      </x:c>
      <x:c r="V352" s="154"/>
      <x:c r="W352" s="154"/>
      <x:c r="X352" s="151" t="str">
        <x:f>IFERROR(VLOOKUP(N352,'Configuracion'!$D$4:$H$15,5,FALSE),"")</x:f>
      </x:c>
      <x:c r="Y352" s="151" t="str">
        <x:f>IFERROR(VLOOKUP(V352,'Cuadrillas'!$A$5:$J$14,2,FALSE),"")</x:f>
      </x:c>
      <x:c r="Z352" s="154"/>
      <x:c r="AA352" s="154"/>
      <x:c r="AB352" s="154"/>
      <x:c r="AC352" s="153"/>
      <x:c r="AD352" s="153"/>
      <x:c r="AE352" s="156" t="str">
        <x:f>IF(OR(AC352="",AD352=""),"",MOD(AD352-AC352,1)*24)</x:f>
      </x:c>
      <x:c r="AF352" s="154"/>
      <x:c r="AG352" s="156" t="str">
        <x:f>IF(AE352="","",MAX(0,AE352-IF(AF352="",0,AF352/60)))</x:f>
      </x:c>
      <x:c r="AH352" s="155"/>
      <x:c r="AI352" s="154"/>
      <x:c r="AJ352" s="154"/>
      <x:c r="AK352" s="156" t="n">
        <x:f>IFERROR(U352*W352,"")</x:f>
        <x:v>0</x:v>
      </x:c>
      <x:c r="AL352" s="156" t="n">
        <x:f>IFERROR(AE352*AI352,"")</x:f>
        <x:v>0</x:v>
      </x:c>
      <x:c r="AM352" s="157" t="str">
        <x:f>IFERROR(AH352/Q352,"")</x:f>
      </x:c>
      <x:c r="AN352" s="156" t="str">
        <x:f>IFERROR(AH352/AG352,"")</x:f>
      </x:c>
      <x:c r="AO352" s="156" t="str">
        <x:f>IFERROR(AL352/AH352,"")</x:f>
      </x:c>
      <x:c r="AP352" s="157" t="str">
        <x:f>IFERROR(AG352/AE352,"")</x:f>
      </x:c>
      <x:c r="AQ352" s="157" t="str">
        <x:f>IFERROR(AN352/(R352/'Configuracion'!$B$13),"")</x:f>
      </x:c>
      <x:c r="AR352" s="156" t="n">
        <x:f>IFERROR(AE352-U352,"")</x:f>
        <x:v>0</x:v>
      </x:c>
      <x:c r="AS352" s="154"/>
      <x:c r="AT352" s="154"/>
      <x:c r="AU352" s="154"/>
      <x:c r="AV352" s="154"/>
      <x:c r="AW352" s="152"/>
      <x:c r="AX352" s="154"/>
      <x:c r="AY352" s="154"/>
      <x:c r="AZ352" s="151"/>
      <x:c r="BA352" s="151"/>
    </x:row>
    <x:row r="353">
      <x:c r="A353" s="151" t="str">
        <x:f>IF(B353="","",TEXT(B353,"yyyymmdd")&amp;"-"&amp;TEXT(COUNTIF($B$5:B353,B353),"000"))</x:f>
      </x:c>
      <x:c r="B353" s="152"/>
      <x:c r="C353" s="153"/>
      <x:c r="D353" s="151" t="str">
        <x:f>IF(B353="","",'Configuracion'!$B$4)</x:f>
      </x:c>
      <x:c r="E353" s="154"/>
      <x:c r="F353" s="154"/>
      <x:c r="G353" s="151" t="str">
        <x:f>IFERROR(VLOOKUP(F353,'Base Sectores'!$A$5:$J$47,2,FALSE),"")</x:f>
      </x:c>
      <x:c r="H353" s="151" t="str">
        <x:f>IFERROR(VLOOKUP(F353,'Base Sectores'!$A$5:$J$47,3,FALSE),"")</x:f>
      </x:c>
      <x:c r="I353" s="151" t="str">
        <x:f>IFERROR(VLOOKUP(F353,'Base Sectores'!$A$5:$J$47,4,FALSE),"")</x:f>
      </x:c>
      <x:c r="J353" s="151" t="str">
        <x:f>IFERROR(VLOOKUP(F353,'Base Sectores'!$A$5:$J$47,5,FALSE),"")</x:f>
      </x:c>
      <x:c r="K353" s="151" t="str">
        <x:f>IFERROR(VLOOKUP(F353,'Base Sectores'!$A$5:$J$47,6,FALSE),"")</x:f>
      </x:c>
      <x:c r="L353" s="151" t="str">
        <x:f>IFERROR(VLOOKUP(F353,'Base Sectores'!$A$5:$J$47,7,FALSE),"")</x:f>
      </x:c>
      <x:c r="M353" s="151" t="str">
        <x:f>IFERROR(VLOOKUP(F353,'Base Sectores'!$A$5:$J$47,9,FALSE),"")</x:f>
      </x:c>
      <x:c r="N353" s="154"/>
      <x:c r="O353" s="151" t="str">
        <x:f>IFERROR(VLOOKUP(N353,'Configuracion'!$D$4:$H$15,2,FALSE),"")</x:f>
      </x:c>
      <x:c r="P353" s="151" t="str">
        <x:f>IFERROR(VLOOKUP(N353,'Configuracion'!$D$4:$H$15,3,FALSE),"")</x:f>
      </x:c>
      <x:c r="Q353" s="155"/>
      <x:c r="R353" s="156" t="str">
        <x:f>IFERROR(VLOOKUP(N353,'Configuracion'!$D$4:$H$15,4,FALSE),"")</x:f>
      </x:c>
      <x:c r="S353" s="153"/>
      <x:c r="T353" s="153"/>
      <x:c r="U353" s="156" t="str">
        <x:f>IF(OR(S353="",T353=""),"",MOD(T353-S353,1)*24)</x:f>
      </x:c>
      <x:c r="V353" s="154"/>
      <x:c r="W353" s="154"/>
      <x:c r="X353" s="151" t="str">
        <x:f>IFERROR(VLOOKUP(N353,'Configuracion'!$D$4:$H$15,5,FALSE),"")</x:f>
      </x:c>
      <x:c r="Y353" s="151" t="str">
        <x:f>IFERROR(VLOOKUP(V353,'Cuadrillas'!$A$5:$J$14,2,FALSE),"")</x:f>
      </x:c>
      <x:c r="Z353" s="154"/>
      <x:c r="AA353" s="154"/>
      <x:c r="AB353" s="154"/>
      <x:c r="AC353" s="153"/>
      <x:c r="AD353" s="153"/>
      <x:c r="AE353" s="156" t="str">
        <x:f>IF(OR(AC353="",AD353=""),"",MOD(AD353-AC353,1)*24)</x:f>
      </x:c>
      <x:c r="AF353" s="154"/>
      <x:c r="AG353" s="156" t="str">
        <x:f>IF(AE353="","",MAX(0,AE353-IF(AF353="",0,AF353/60)))</x:f>
      </x:c>
      <x:c r="AH353" s="155"/>
      <x:c r="AI353" s="154"/>
      <x:c r="AJ353" s="154"/>
      <x:c r="AK353" s="156" t="n">
        <x:f>IFERROR(U353*W353,"")</x:f>
        <x:v>0</x:v>
      </x:c>
      <x:c r="AL353" s="156" t="n">
        <x:f>IFERROR(AE353*AI353,"")</x:f>
        <x:v>0</x:v>
      </x:c>
      <x:c r="AM353" s="157" t="str">
        <x:f>IFERROR(AH353/Q353,"")</x:f>
      </x:c>
      <x:c r="AN353" s="156" t="str">
        <x:f>IFERROR(AH353/AG353,"")</x:f>
      </x:c>
      <x:c r="AO353" s="156" t="str">
        <x:f>IFERROR(AL353/AH353,"")</x:f>
      </x:c>
      <x:c r="AP353" s="157" t="str">
        <x:f>IFERROR(AG353/AE353,"")</x:f>
      </x:c>
      <x:c r="AQ353" s="157" t="str">
        <x:f>IFERROR(AN353/(R353/'Configuracion'!$B$13),"")</x:f>
      </x:c>
      <x:c r="AR353" s="156" t="n">
        <x:f>IFERROR(AE353-U353,"")</x:f>
        <x:v>0</x:v>
      </x:c>
      <x:c r="AS353" s="154"/>
      <x:c r="AT353" s="154"/>
      <x:c r="AU353" s="154"/>
      <x:c r="AV353" s="154"/>
      <x:c r="AW353" s="152"/>
      <x:c r="AX353" s="154"/>
      <x:c r="AY353" s="154"/>
      <x:c r="AZ353" s="151"/>
      <x:c r="BA353" s="151"/>
    </x:row>
    <x:row r="354">
      <x:c r="A354" s="151" t="str">
        <x:f>IF(B354="","",TEXT(B354,"yyyymmdd")&amp;"-"&amp;TEXT(COUNTIF($B$5:B354,B354),"000"))</x:f>
      </x:c>
      <x:c r="B354" s="152"/>
      <x:c r="C354" s="153"/>
      <x:c r="D354" s="151" t="str">
        <x:f>IF(B354="","",'Configuracion'!$B$4)</x:f>
      </x:c>
      <x:c r="E354" s="154"/>
      <x:c r="F354" s="154"/>
      <x:c r="G354" s="151" t="str">
        <x:f>IFERROR(VLOOKUP(F354,'Base Sectores'!$A$5:$J$47,2,FALSE),"")</x:f>
      </x:c>
      <x:c r="H354" s="151" t="str">
        <x:f>IFERROR(VLOOKUP(F354,'Base Sectores'!$A$5:$J$47,3,FALSE),"")</x:f>
      </x:c>
      <x:c r="I354" s="151" t="str">
        <x:f>IFERROR(VLOOKUP(F354,'Base Sectores'!$A$5:$J$47,4,FALSE),"")</x:f>
      </x:c>
      <x:c r="J354" s="151" t="str">
        <x:f>IFERROR(VLOOKUP(F354,'Base Sectores'!$A$5:$J$47,5,FALSE),"")</x:f>
      </x:c>
      <x:c r="K354" s="151" t="str">
        <x:f>IFERROR(VLOOKUP(F354,'Base Sectores'!$A$5:$J$47,6,FALSE),"")</x:f>
      </x:c>
      <x:c r="L354" s="151" t="str">
        <x:f>IFERROR(VLOOKUP(F354,'Base Sectores'!$A$5:$J$47,7,FALSE),"")</x:f>
      </x:c>
      <x:c r="M354" s="151" t="str">
        <x:f>IFERROR(VLOOKUP(F354,'Base Sectores'!$A$5:$J$47,9,FALSE),"")</x:f>
      </x:c>
      <x:c r="N354" s="154"/>
      <x:c r="O354" s="151" t="str">
        <x:f>IFERROR(VLOOKUP(N354,'Configuracion'!$D$4:$H$15,2,FALSE),"")</x:f>
      </x:c>
      <x:c r="P354" s="151" t="str">
        <x:f>IFERROR(VLOOKUP(N354,'Configuracion'!$D$4:$H$15,3,FALSE),"")</x:f>
      </x:c>
      <x:c r="Q354" s="155"/>
      <x:c r="R354" s="156" t="str">
        <x:f>IFERROR(VLOOKUP(N354,'Configuracion'!$D$4:$H$15,4,FALSE),"")</x:f>
      </x:c>
      <x:c r="S354" s="153"/>
      <x:c r="T354" s="153"/>
      <x:c r="U354" s="156" t="str">
        <x:f>IF(OR(S354="",T354=""),"",MOD(T354-S354,1)*24)</x:f>
      </x:c>
      <x:c r="V354" s="154"/>
      <x:c r="W354" s="154"/>
      <x:c r="X354" s="151" t="str">
        <x:f>IFERROR(VLOOKUP(N354,'Configuracion'!$D$4:$H$15,5,FALSE),"")</x:f>
      </x:c>
      <x:c r="Y354" s="151" t="str">
        <x:f>IFERROR(VLOOKUP(V354,'Cuadrillas'!$A$5:$J$14,2,FALSE),"")</x:f>
      </x:c>
      <x:c r="Z354" s="154"/>
      <x:c r="AA354" s="154"/>
      <x:c r="AB354" s="154"/>
      <x:c r="AC354" s="153"/>
      <x:c r="AD354" s="153"/>
      <x:c r="AE354" s="156" t="str">
        <x:f>IF(OR(AC354="",AD354=""),"",MOD(AD354-AC354,1)*24)</x:f>
      </x:c>
      <x:c r="AF354" s="154"/>
      <x:c r="AG354" s="156" t="str">
        <x:f>IF(AE354="","",MAX(0,AE354-IF(AF354="",0,AF354/60)))</x:f>
      </x:c>
      <x:c r="AH354" s="155"/>
      <x:c r="AI354" s="154"/>
      <x:c r="AJ354" s="154"/>
      <x:c r="AK354" s="156" t="n">
        <x:f>IFERROR(U354*W354,"")</x:f>
        <x:v>0</x:v>
      </x:c>
      <x:c r="AL354" s="156" t="n">
        <x:f>IFERROR(AE354*AI354,"")</x:f>
        <x:v>0</x:v>
      </x:c>
      <x:c r="AM354" s="157" t="str">
        <x:f>IFERROR(AH354/Q354,"")</x:f>
      </x:c>
      <x:c r="AN354" s="156" t="str">
        <x:f>IFERROR(AH354/AG354,"")</x:f>
      </x:c>
      <x:c r="AO354" s="156" t="str">
        <x:f>IFERROR(AL354/AH354,"")</x:f>
      </x:c>
      <x:c r="AP354" s="157" t="str">
        <x:f>IFERROR(AG354/AE354,"")</x:f>
      </x:c>
      <x:c r="AQ354" s="157" t="str">
        <x:f>IFERROR(AN354/(R354/'Configuracion'!$B$13),"")</x:f>
      </x:c>
      <x:c r="AR354" s="156" t="n">
        <x:f>IFERROR(AE354-U354,"")</x:f>
        <x:v>0</x:v>
      </x:c>
      <x:c r="AS354" s="154"/>
      <x:c r="AT354" s="154"/>
      <x:c r="AU354" s="154"/>
      <x:c r="AV354" s="154"/>
      <x:c r="AW354" s="152"/>
      <x:c r="AX354" s="154"/>
      <x:c r="AY354" s="154"/>
      <x:c r="AZ354" s="151"/>
      <x:c r="BA354" s="151"/>
    </x:row>
    <x:row r="355">
      <x:c r="A355" s="151" t="str">
        <x:f>IF(B355="","",TEXT(B355,"yyyymmdd")&amp;"-"&amp;TEXT(COUNTIF($B$5:B355,B355),"000"))</x:f>
      </x:c>
      <x:c r="B355" s="152"/>
      <x:c r="C355" s="153"/>
      <x:c r="D355" s="151" t="str">
        <x:f>IF(B355="","",'Configuracion'!$B$4)</x:f>
      </x:c>
      <x:c r="E355" s="154"/>
      <x:c r="F355" s="154"/>
      <x:c r="G355" s="151" t="str">
        <x:f>IFERROR(VLOOKUP(F355,'Base Sectores'!$A$5:$J$47,2,FALSE),"")</x:f>
      </x:c>
      <x:c r="H355" s="151" t="str">
        <x:f>IFERROR(VLOOKUP(F355,'Base Sectores'!$A$5:$J$47,3,FALSE),"")</x:f>
      </x:c>
      <x:c r="I355" s="151" t="str">
        <x:f>IFERROR(VLOOKUP(F355,'Base Sectores'!$A$5:$J$47,4,FALSE),"")</x:f>
      </x:c>
      <x:c r="J355" s="151" t="str">
        <x:f>IFERROR(VLOOKUP(F355,'Base Sectores'!$A$5:$J$47,5,FALSE),"")</x:f>
      </x:c>
      <x:c r="K355" s="151" t="str">
        <x:f>IFERROR(VLOOKUP(F355,'Base Sectores'!$A$5:$J$47,6,FALSE),"")</x:f>
      </x:c>
      <x:c r="L355" s="151" t="str">
        <x:f>IFERROR(VLOOKUP(F355,'Base Sectores'!$A$5:$J$47,7,FALSE),"")</x:f>
      </x:c>
      <x:c r="M355" s="151" t="str">
        <x:f>IFERROR(VLOOKUP(F355,'Base Sectores'!$A$5:$J$47,9,FALSE),"")</x:f>
      </x:c>
      <x:c r="N355" s="154"/>
      <x:c r="O355" s="151" t="str">
        <x:f>IFERROR(VLOOKUP(N355,'Configuracion'!$D$4:$H$15,2,FALSE),"")</x:f>
      </x:c>
      <x:c r="P355" s="151" t="str">
        <x:f>IFERROR(VLOOKUP(N355,'Configuracion'!$D$4:$H$15,3,FALSE),"")</x:f>
      </x:c>
      <x:c r="Q355" s="155"/>
      <x:c r="R355" s="156" t="str">
        <x:f>IFERROR(VLOOKUP(N355,'Configuracion'!$D$4:$H$15,4,FALSE),"")</x:f>
      </x:c>
      <x:c r="S355" s="153"/>
      <x:c r="T355" s="153"/>
      <x:c r="U355" s="156" t="str">
        <x:f>IF(OR(S355="",T355=""),"",MOD(T355-S355,1)*24)</x:f>
      </x:c>
      <x:c r="V355" s="154"/>
      <x:c r="W355" s="154"/>
      <x:c r="X355" s="151" t="str">
        <x:f>IFERROR(VLOOKUP(N355,'Configuracion'!$D$4:$H$15,5,FALSE),"")</x:f>
      </x:c>
      <x:c r="Y355" s="151" t="str">
        <x:f>IFERROR(VLOOKUP(V355,'Cuadrillas'!$A$5:$J$14,2,FALSE),"")</x:f>
      </x:c>
      <x:c r="Z355" s="154"/>
      <x:c r="AA355" s="154"/>
      <x:c r="AB355" s="154"/>
      <x:c r="AC355" s="153"/>
      <x:c r="AD355" s="153"/>
      <x:c r="AE355" s="156" t="str">
        <x:f>IF(OR(AC355="",AD355=""),"",MOD(AD355-AC355,1)*24)</x:f>
      </x:c>
      <x:c r="AF355" s="154"/>
      <x:c r="AG355" s="156" t="str">
        <x:f>IF(AE355="","",MAX(0,AE355-IF(AF355="",0,AF355/60)))</x:f>
      </x:c>
      <x:c r="AH355" s="155"/>
      <x:c r="AI355" s="154"/>
      <x:c r="AJ355" s="154"/>
      <x:c r="AK355" s="156" t="n">
        <x:f>IFERROR(U355*W355,"")</x:f>
        <x:v>0</x:v>
      </x:c>
      <x:c r="AL355" s="156" t="n">
        <x:f>IFERROR(AE355*AI355,"")</x:f>
        <x:v>0</x:v>
      </x:c>
      <x:c r="AM355" s="157" t="str">
        <x:f>IFERROR(AH355/Q355,"")</x:f>
      </x:c>
      <x:c r="AN355" s="156" t="str">
        <x:f>IFERROR(AH355/AG355,"")</x:f>
      </x:c>
      <x:c r="AO355" s="156" t="str">
        <x:f>IFERROR(AL355/AH355,"")</x:f>
      </x:c>
      <x:c r="AP355" s="157" t="str">
        <x:f>IFERROR(AG355/AE355,"")</x:f>
      </x:c>
      <x:c r="AQ355" s="157" t="str">
        <x:f>IFERROR(AN355/(R355/'Configuracion'!$B$13),"")</x:f>
      </x:c>
      <x:c r="AR355" s="156" t="n">
        <x:f>IFERROR(AE355-U355,"")</x:f>
        <x:v>0</x:v>
      </x:c>
      <x:c r="AS355" s="154"/>
      <x:c r="AT355" s="154"/>
      <x:c r="AU355" s="154"/>
      <x:c r="AV355" s="154"/>
      <x:c r="AW355" s="152"/>
      <x:c r="AX355" s="154"/>
      <x:c r="AY355" s="154"/>
      <x:c r="AZ355" s="151"/>
      <x:c r="BA355" s="151"/>
    </x:row>
    <x:row r="356">
      <x:c r="A356" s="151" t="str">
        <x:f>IF(B356="","",TEXT(B356,"yyyymmdd")&amp;"-"&amp;TEXT(COUNTIF($B$5:B356,B356),"000"))</x:f>
      </x:c>
      <x:c r="B356" s="152"/>
      <x:c r="C356" s="153"/>
      <x:c r="D356" s="151" t="str">
        <x:f>IF(B356="","",'Configuracion'!$B$4)</x:f>
      </x:c>
      <x:c r="E356" s="154"/>
      <x:c r="F356" s="154"/>
      <x:c r="G356" s="151" t="str">
        <x:f>IFERROR(VLOOKUP(F356,'Base Sectores'!$A$5:$J$47,2,FALSE),"")</x:f>
      </x:c>
      <x:c r="H356" s="151" t="str">
        <x:f>IFERROR(VLOOKUP(F356,'Base Sectores'!$A$5:$J$47,3,FALSE),"")</x:f>
      </x:c>
      <x:c r="I356" s="151" t="str">
        <x:f>IFERROR(VLOOKUP(F356,'Base Sectores'!$A$5:$J$47,4,FALSE),"")</x:f>
      </x:c>
      <x:c r="J356" s="151" t="str">
        <x:f>IFERROR(VLOOKUP(F356,'Base Sectores'!$A$5:$J$47,5,FALSE),"")</x:f>
      </x:c>
      <x:c r="K356" s="151" t="str">
        <x:f>IFERROR(VLOOKUP(F356,'Base Sectores'!$A$5:$J$47,6,FALSE),"")</x:f>
      </x:c>
      <x:c r="L356" s="151" t="str">
        <x:f>IFERROR(VLOOKUP(F356,'Base Sectores'!$A$5:$J$47,7,FALSE),"")</x:f>
      </x:c>
      <x:c r="M356" s="151" t="str">
        <x:f>IFERROR(VLOOKUP(F356,'Base Sectores'!$A$5:$J$47,9,FALSE),"")</x:f>
      </x:c>
      <x:c r="N356" s="154"/>
      <x:c r="O356" s="151" t="str">
        <x:f>IFERROR(VLOOKUP(N356,'Configuracion'!$D$4:$H$15,2,FALSE),"")</x:f>
      </x:c>
      <x:c r="P356" s="151" t="str">
        <x:f>IFERROR(VLOOKUP(N356,'Configuracion'!$D$4:$H$15,3,FALSE),"")</x:f>
      </x:c>
      <x:c r="Q356" s="155"/>
      <x:c r="R356" s="156" t="str">
        <x:f>IFERROR(VLOOKUP(N356,'Configuracion'!$D$4:$H$15,4,FALSE),"")</x:f>
      </x:c>
      <x:c r="S356" s="153"/>
      <x:c r="T356" s="153"/>
      <x:c r="U356" s="156" t="str">
        <x:f>IF(OR(S356="",T356=""),"",MOD(T356-S356,1)*24)</x:f>
      </x:c>
      <x:c r="V356" s="154"/>
      <x:c r="W356" s="154"/>
      <x:c r="X356" s="151" t="str">
        <x:f>IFERROR(VLOOKUP(N356,'Configuracion'!$D$4:$H$15,5,FALSE),"")</x:f>
      </x:c>
      <x:c r="Y356" s="151" t="str">
        <x:f>IFERROR(VLOOKUP(V356,'Cuadrillas'!$A$5:$J$14,2,FALSE),"")</x:f>
      </x:c>
      <x:c r="Z356" s="154"/>
      <x:c r="AA356" s="154"/>
      <x:c r="AB356" s="154"/>
      <x:c r="AC356" s="153"/>
      <x:c r="AD356" s="153"/>
      <x:c r="AE356" s="156" t="str">
        <x:f>IF(OR(AC356="",AD356=""),"",MOD(AD356-AC356,1)*24)</x:f>
      </x:c>
      <x:c r="AF356" s="154"/>
      <x:c r="AG356" s="156" t="str">
        <x:f>IF(AE356="","",MAX(0,AE356-IF(AF356="",0,AF356/60)))</x:f>
      </x:c>
      <x:c r="AH356" s="155"/>
      <x:c r="AI356" s="154"/>
      <x:c r="AJ356" s="154"/>
      <x:c r="AK356" s="156" t="n">
        <x:f>IFERROR(U356*W356,"")</x:f>
        <x:v>0</x:v>
      </x:c>
      <x:c r="AL356" s="156" t="n">
        <x:f>IFERROR(AE356*AI356,"")</x:f>
        <x:v>0</x:v>
      </x:c>
      <x:c r="AM356" s="157" t="str">
        <x:f>IFERROR(AH356/Q356,"")</x:f>
      </x:c>
      <x:c r="AN356" s="156" t="str">
        <x:f>IFERROR(AH356/AG356,"")</x:f>
      </x:c>
      <x:c r="AO356" s="156" t="str">
        <x:f>IFERROR(AL356/AH356,"")</x:f>
      </x:c>
      <x:c r="AP356" s="157" t="str">
        <x:f>IFERROR(AG356/AE356,"")</x:f>
      </x:c>
      <x:c r="AQ356" s="157" t="str">
        <x:f>IFERROR(AN356/(R356/'Configuracion'!$B$13),"")</x:f>
      </x:c>
      <x:c r="AR356" s="156" t="n">
        <x:f>IFERROR(AE356-U356,"")</x:f>
        <x:v>0</x:v>
      </x:c>
      <x:c r="AS356" s="154"/>
      <x:c r="AT356" s="154"/>
      <x:c r="AU356" s="154"/>
      <x:c r="AV356" s="154"/>
      <x:c r="AW356" s="152"/>
      <x:c r="AX356" s="154"/>
      <x:c r="AY356" s="154"/>
      <x:c r="AZ356" s="151"/>
      <x:c r="BA356" s="151"/>
    </x:row>
    <x:row r="357">
      <x:c r="A357" s="151" t="str">
        <x:f>IF(B357="","",TEXT(B357,"yyyymmdd")&amp;"-"&amp;TEXT(COUNTIF($B$5:B357,B357),"000"))</x:f>
      </x:c>
      <x:c r="B357" s="152"/>
      <x:c r="C357" s="153"/>
      <x:c r="D357" s="151" t="str">
        <x:f>IF(B357="","",'Configuracion'!$B$4)</x:f>
      </x:c>
      <x:c r="E357" s="154"/>
      <x:c r="F357" s="154"/>
      <x:c r="G357" s="151" t="str">
        <x:f>IFERROR(VLOOKUP(F357,'Base Sectores'!$A$5:$J$47,2,FALSE),"")</x:f>
      </x:c>
      <x:c r="H357" s="151" t="str">
        <x:f>IFERROR(VLOOKUP(F357,'Base Sectores'!$A$5:$J$47,3,FALSE),"")</x:f>
      </x:c>
      <x:c r="I357" s="151" t="str">
        <x:f>IFERROR(VLOOKUP(F357,'Base Sectores'!$A$5:$J$47,4,FALSE),"")</x:f>
      </x:c>
      <x:c r="J357" s="151" t="str">
        <x:f>IFERROR(VLOOKUP(F357,'Base Sectores'!$A$5:$J$47,5,FALSE),"")</x:f>
      </x:c>
      <x:c r="K357" s="151" t="str">
        <x:f>IFERROR(VLOOKUP(F357,'Base Sectores'!$A$5:$J$47,6,FALSE),"")</x:f>
      </x:c>
      <x:c r="L357" s="151" t="str">
        <x:f>IFERROR(VLOOKUP(F357,'Base Sectores'!$A$5:$J$47,7,FALSE),"")</x:f>
      </x:c>
      <x:c r="M357" s="151" t="str">
        <x:f>IFERROR(VLOOKUP(F357,'Base Sectores'!$A$5:$J$47,9,FALSE),"")</x:f>
      </x:c>
      <x:c r="N357" s="154"/>
      <x:c r="O357" s="151" t="str">
        <x:f>IFERROR(VLOOKUP(N357,'Configuracion'!$D$4:$H$15,2,FALSE),"")</x:f>
      </x:c>
      <x:c r="P357" s="151" t="str">
        <x:f>IFERROR(VLOOKUP(N357,'Configuracion'!$D$4:$H$15,3,FALSE),"")</x:f>
      </x:c>
      <x:c r="Q357" s="155"/>
      <x:c r="R357" s="156" t="str">
        <x:f>IFERROR(VLOOKUP(N357,'Configuracion'!$D$4:$H$15,4,FALSE),"")</x:f>
      </x:c>
      <x:c r="S357" s="153"/>
      <x:c r="T357" s="153"/>
      <x:c r="U357" s="156" t="str">
        <x:f>IF(OR(S357="",T357=""),"",MOD(T357-S357,1)*24)</x:f>
      </x:c>
      <x:c r="V357" s="154"/>
      <x:c r="W357" s="154"/>
      <x:c r="X357" s="151" t="str">
        <x:f>IFERROR(VLOOKUP(N357,'Configuracion'!$D$4:$H$15,5,FALSE),"")</x:f>
      </x:c>
      <x:c r="Y357" s="151" t="str">
        <x:f>IFERROR(VLOOKUP(V357,'Cuadrillas'!$A$5:$J$14,2,FALSE),"")</x:f>
      </x:c>
      <x:c r="Z357" s="154"/>
      <x:c r="AA357" s="154"/>
      <x:c r="AB357" s="154"/>
      <x:c r="AC357" s="153"/>
      <x:c r="AD357" s="153"/>
      <x:c r="AE357" s="156" t="str">
        <x:f>IF(OR(AC357="",AD357=""),"",MOD(AD357-AC357,1)*24)</x:f>
      </x:c>
      <x:c r="AF357" s="154"/>
      <x:c r="AG357" s="156" t="str">
        <x:f>IF(AE357="","",MAX(0,AE357-IF(AF357="",0,AF357/60)))</x:f>
      </x:c>
      <x:c r="AH357" s="155"/>
      <x:c r="AI357" s="154"/>
      <x:c r="AJ357" s="154"/>
      <x:c r="AK357" s="156" t="n">
        <x:f>IFERROR(U357*W357,"")</x:f>
        <x:v>0</x:v>
      </x:c>
      <x:c r="AL357" s="156" t="n">
        <x:f>IFERROR(AE357*AI357,"")</x:f>
        <x:v>0</x:v>
      </x:c>
      <x:c r="AM357" s="157" t="str">
        <x:f>IFERROR(AH357/Q357,"")</x:f>
      </x:c>
      <x:c r="AN357" s="156" t="str">
        <x:f>IFERROR(AH357/AG357,"")</x:f>
      </x:c>
      <x:c r="AO357" s="156" t="str">
        <x:f>IFERROR(AL357/AH357,"")</x:f>
      </x:c>
      <x:c r="AP357" s="157" t="str">
        <x:f>IFERROR(AG357/AE357,"")</x:f>
      </x:c>
      <x:c r="AQ357" s="157" t="str">
        <x:f>IFERROR(AN357/(R357/'Configuracion'!$B$13),"")</x:f>
      </x:c>
      <x:c r="AR357" s="156" t="n">
        <x:f>IFERROR(AE357-U357,"")</x:f>
        <x:v>0</x:v>
      </x:c>
      <x:c r="AS357" s="154"/>
      <x:c r="AT357" s="154"/>
      <x:c r="AU357" s="154"/>
      <x:c r="AV357" s="154"/>
      <x:c r="AW357" s="152"/>
      <x:c r="AX357" s="154"/>
      <x:c r="AY357" s="154"/>
      <x:c r="AZ357" s="151"/>
      <x:c r="BA357" s="151"/>
    </x:row>
    <x:row r="358">
      <x:c r="A358" s="151" t="str">
        <x:f>IF(B358="","",TEXT(B358,"yyyymmdd")&amp;"-"&amp;TEXT(COUNTIF($B$5:B358,B358),"000"))</x:f>
      </x:c>
      <x:c r="B358" s="152"/>
      <x:c r="C358" s="153"/>
      <x:c r="D358" s="151" t="str">
        <x:f>IF(B358="","",'Configuracion'!$B$4)</x:f>
      </x:c>
      <x:c r="E358" s="154"/>
      <x:c r="F358" s="154"/>
      <x:c r="G358" s="151" t="str">
        <x:f>IFERROR(VLOOKUP(F358,'Base Sectores'!$A$5:$J$47,2,FALSE),"")</x:f>
      </x:c>
      <x:c r="H358" s="151" t="str">
        <x:f>IFERROR(VLOOKUP(F358,'Base Sectores'!$A$5:$J$47,3,FALSE),"")</x:f>
      </x:c>
      <x:c r="I358" s="151" t="str">
        <x:f>IFERROR(VLOOKUP(F358,'Base Sectores'!$A$5:$J$47,4,FALSE),"")</x:f>
      </x:c>
      <x:c r="J358" s="151" t="str">
        <x:f>IFERROR(VLOOKUP(F358,'Base Sectores'!$A$5:$J$47,5,FALSE),"")</x:f>
      </x:c>
      <x:c r="K358" s="151" t="str">
        <x:f>IFERROR(VLOOKUP(F358,'Base Sectores'!$A$5:$J$47,6,FALSE),"")</x:f>
      </x:c>
      <x:c r="L358" s="151" t="str">
        <x:f>IFERROR(VLOOKUP(F358,'Base Sectores'!$A$5:$J$47,7,FALSE),"")</x:f>
      </x:c>
      <x:c r="M358" s="151" t="str">
        <x:f>IFERROR(VLOOKUP(F358,'Base Sectores'!$A$5:$J$47,9,FALSE),"")</x:f>
      </x:c>
      <x:c r="N358" s="154"/>
      <x:c r="O358" s="151" t="str">
        <x:f>IFERROR(VLOOKUP(N358,'Configuracion'!$D$4:$H$15,2,FALSE),"")</x:f>
      </x:c>
      <x:c r="P358" s="151" t="str">
        <x:f>IFERROR(VLOOKUP(N358,'Configuracion'!$D$4:$H$15,3,FALSE),"")</x:f>
      </x:c>
      <x:c r="Q358" s="155"/>
      <x:c r="R358" s="156" t="str">
        <x:f>IFERROR(VLOOKUP(N358,'Configuracion'!$D$4:$H$15,4,FALSE),"")</x:f>
      </x:c>
      <x:c r="S358" s="153"/>
      <x:c r="T358" s="153"/>
      <x:c r="U358" s="156" t="str">
        <x:f>IF(OR(S358="",T358=""),"",MOD(T358-S358,1)*24)</x:f>
      </x:c>
      <x:c r="V358" s="154"/>
      <x:c r="W358" s="154"/>
      <x:c r="X358" s="151" t="str">
        <x:f>IFERROR(VLOOKUP(N358,'Configuracion'!$D$4:$H$15,5,FALSE),"")</x:f>
      </x:c>
      <x:c r="Y358" s="151" t="str">
        <x:f>IFERROR(VLOOKUP(V358,'Cuadrillas'!$A$5:$J$14,2,FALSE),"")</x:f>
      </x:c>
      <x:c r="Z358" s="154"/>
      <x:c r="AA358" s="154"/>
      <x:c r="AB358" s="154"/>
      <x:c r="AC358" s="153"/>
      <x:c r="AD358" s="153"/>
      <x:c r="AE358" s="156" t="str">
        <x:f>IF(OR(AC358="",AD358=""),"",MOD(AD358-AC358,1)*24)</x:f>
      </x:c>
      <x:c r="AF358" s="154"/>
      <x:c r="AG358" s="156" t="str">
        <x:f>IF(AE358="","",MAX(0,AE358-IF(AF358="",0,AF358/60)))</x:f>
      </x:c>
      <x:c r="AH358" s="155"/>
      <x:c r="AI358" s="154"/>
      <x:c r="AJ358" s="154"/>
      <x:c r="AK358" s="156" t="n">
        <x:f>IFERROR(U358*W358,"")</x:f>
        <x:v>0</x:v>
      </x:c>
      <x:c r="AL358" s="156" t="n">
        <x:f>IFERROR(AE358*AI358,"")</x:f>
        <x:v>0</x:v>
      </x:c>
      <x:c r="AM358" s="157" t="str">
        <x:f>IFERROR(AH358/Q358,"")</x:f>
      </x:c>
      <x:c r="AN358" s="156" t="str">
        <x:f>IFERROR(AH358/AG358,"")</x:f>
      </x:c>
      <x:c r="AO358" s="156" t="str">
        <x:f>IFERROR(AL358/AH358,"")</x:f>
      </x:c>
      <x:c r="AP358" s="157" t="str">
        <x:f>IFERROR(AG358/AE358,"")</x:f>
      </x:c>
      <x:c r="AQ358" s="157" t="str">
        <x:f>IFERROR(AN358/(R358/'Configuracion'!$B$13),"")</x:f>
      </x:c>
      <x:c r="AR358" s="156" t="n">
        <x:f>IFERROR(AE358-U358,"")</x:f>
        <x:v>0</x:v>
      </x:c>
      <x:c r="AS358" s="154"/>
      <x:c r="AT358" s="154"/>
      <x:c r="AU358" s="154"/>
      <x:c r="AV358" s="154"/>
      <x:c r="AW358" s="152"/>
      <x:c r="AX358" s="154"/>
      <x:c r="AY358" s="154"/>
      <x:c r="AZ358" s="151"/>
      <x:c r="BA358" s="151"/>
    </x:row>
    <x:row r="359">
      <x:c r="A359" s="151" t="str">
        <x:f>IF(B359="","",TEXT(B359,"yyyymmdd")&amp;"-"&amp;TEXT(COUNTIF($B$5:B359,B359),"000"))</x:f>
      </x:c>
      <x:c r="B359" s="152"/>
      <x:c r="C359" s="153"/>
      <x:c r="D359" s="151" t="str">
        <x:f>IF(B359="","",'Configuracion'!$B$4)</x:f>
      </x:c>
      <x:c r="E359" s="154"/>
      <x:c r="F359" s="154"/>
      <x:c r="G359" s="151" t="str">
        <x:f>IFERROR(VLOOKUP(F359,'Base Sectores'!$A$5:$J$47,2,FALSE),"")</x:f>
      </x:c>
      <x:c r="H359" s="151" t="str">
        <x:f>IFERROR(VLOOKUP(F359,'Base Sectores'!$A$5:$J$47,3,FALSE),"")</x:f>
      </x:c>
      <x:c r="I359" s="151" t="str">
        <x:f>IFERROR(VLOOKUP(F359,'Base Sectores'!$A$5:$J$47,4,FALSE),"")</x:f>
      </x:c>
      <x:c r="J359" s="151" t="str">
        <x:f>IFERROR(VLOOKUP(F359,'Base Sectores'!$A$5:$J$47,5,FALSE),"")</x:f>
      </x:c>
      <x:c r="K359" s="151" t="str">
        <x:f>IFERROR(VLOOKUP(F359,'Base Sectores'!$A$5:$J$47,6,FALSE),"")</x:f>
      </x:c>
      <x:c r="L359" s="151" t="str">
        <x:f>IFERROR(VLOOKUP(F359,'Base Sectores'!$A$5:$J$47,7,FALSE),"")</x:f>
      </x:c>
      <x:c r="M359" s="151" t="str">
        <x:f>IFERROR(VLOOKUP(F359,'Base Sectores'!$A$5:$J$47,9,FALSE),"")</x:f>
      </x:c>
      <x:c r="N359" s="154"/>
      <x:c r="O359" s="151" t="str">
        <x:f>IFERROR(VLOOKUP(N359,'Configuracion'!$D$4:$H$15,2,FALSE),"")</x:f>
      </x:c>
      <x:c r="P359" s="151" t="str">
        <x:f>IFERROR(VLOOKUP(N359,'Configuracion'!$D$4:$H$15,3,FALSE),"")</x:f>
      </x:c>
      <x:c r="Q359" s="155"/>
      <x:c r="R359" s="156" t="str">
        <x:f>IFERROR(VLOOKUP(N359,'Configuracion'!$D$4:$H$15,4,FALSE),"")</x:f>
      </x:c>
      <x:c r="S359" s="153"/>
      <x:c r="T359" s="153"/>
      <x:c r="U359" s="156" t="str">
        <x:f>IF(OR(S359="",T359=""),"",MOD(T359-S359,1)*24)</x:f>
      </x:c>
      <x:c r="V359" s="154"/>
      <x:c r="W359" s="154"/>
      <x:c r="X359" s="151" t="str">
        <x:f>IFERROR(VLOOKUP(N359,'Configuracion'!$D$4:$H$15,5,FALSE),"")</x:f>
      </x:c>
      <x:c r="Y359" s="151" t="str">
        <x:f>IFERROR(VLOOKUP(V359,'Cuadrillas'!$A$5:$J$14,2,FALSE),"")</x:f>
      </x:c>
      <x:c r="Z359" s="154"/>
      <x:c r="AA359" s="154"/>
      <x:c r="AB359" s="154"/>
      <x:c r="AC359" s="153"/>
      <x:c r="AD359" s="153"/>
      <x:c r="AE359" s="156" t="str">
        <x:f>IF(OR(AC359="",AD359=""),"",MOD(AD359-AC359,1)*24)</x:f>
      </x:c>
      <x:c r="AF359" s="154"/>
      <x:c r="AG359" s="156" t="str">
        <x:f>IF(AE359="","",MAX(0,AE359-IF(AF359="",0,AF359/60)))</x:f>
      </x:c>
      <x:c r="AH359" s="155"/>
      <x:c r="AI359" s="154"/>
      <x:c r="AJ359" s="154"/>
      <x:c r="AK359" s="156" t="n">
        <x:f>IFERROR(U359*W359,"")</x:f>
        <x:v>0</x:v>
      </x:c>
      <x:c r="AL359" s="156" t="n">
        <x:f>IFERROR(AE359*AI359,"")</x:f>
        <x:v>0</x:v>
      </x:c>
      <x:c r="AM359" s="157" t="str">
        <x:f>IFERROR(AH359/Q359,"")</x:f>
      </x:c>
      <x:c r="AN359" s="156" t="str">
        <x:f>IFERROR(AH359/AG359,"")</x:f>
      </x:c>
      <x:c r="AO359" s="156" t="str">
        <x:f>IFERROR(AL359/AH359,"")</x:f>
      </x:c>
      <x:c r="AP359" s="157" t="str">
        <x:f>IFERROR(AG359/AE359,"")</x:f>
      </x:c>
      <x:c r="AQ359" s="157" t="str">
        <x:f>IFERROR(AN359/(R359/'Configuracion'!$B$13),"")</x:f>
      </x:c>
      <x:c r="AR359" s="156" t="n">
        <x:f>IFERROR(AE359-U359,"")</x:f>
        <x:v>0</x:v>
      </x:c>
      <x:c r="AS359" s="154"/>
      <x:c r="AT359" s="154"/>
      <x:c r="AU359" s="154"/>
      <x:c r="AV359" s="154"/>
      <x:c r="AW359" s="152"/>
      <x:c r="AX359" s="154"/>
      <x:c r="AY359" s="154"/>
      <x:c r="AZ359" s="151"/>
      <x:c r="BA359" s="151"/>
    </x:row>
    <x:row r="360">
      <x:c r="A360" s="151" t="str">
        <x:f>IF(B360="","",TEXT(B360,"yyyymmdd")&amp;"-"&amp;TEXT(COUNTIF($B$5:B360,B360),"000"))</x:f>
      </x:c>
      <x:c r="B360" s="152"/>
      <x:c r="C360" s="153"/>
      <x:c r="D360" s="151" t="str">
        <x:f>IF(B360="","",'Configuracion'!$B$4)</x:f>
      </x:c>
      <x:c r="E360" s="154"/>
      <x:c r="F360" s="154"/>
      <x:c r="G360" s="151" t="str">
        <x:f>IFERROR(VLOOKUP(F360,'Base Sectores'!$A$5:$J$47,2,FALSE),"")</x:f>
      </x:c>
      <x:c r="H360" s="151" t="str">
        <x:f>IFERROR(VLOOKUP(F360,'Base Sectores'!$A$5:$J$47,3,FALSE),"")</x:f>
      </x:c>
      <x:c r="I360" s="151" t="str">
        <x:f>IFERROR(VLOOKUP(F360,'Base Sectores'!$A$5:$J$47,4,FALSE),"")</x:f>
      </x:c>
      <x:c r="J360" s="151" t="str">
        <x:f>IFERROR(VLOOKUP(F360,'Base Sectores'!$A$5:$J$47,5,FALSE),"")</x:f>
      </x:c>
      <x:c r="K360" s="151" t="str">
        <x:f>IFERROR(VLOOKUP(F360,'Base Sectores'!$A$5:$J$47,6,FALSE),"")</x:f>
      </x:c>
      <x:c r="L360" s="151" t="str">
        <x:f>IFERROR(VLOOKUP(F360,'Base Sectores'!$A$5:$J$47,7,FALSE),"")</x:f>
      </x:c>
      <x:c r="M360" s="151" t="str">
        <x:f>IFERROR(VLOOKUP(F360,'Base Sectores'!$A$5:$J$47,9,FALSE),"")</x:f>
      </x:c>
      <x:c r="N360" s="154"/>
      <x:c r="O360" s="151" t="str">
        <x:f>IFERROR(VLOOKUP(N360,'Configuracion'!$D$4:$H$15,2,FALSE),"")</x:f>
      </x:c>
      <x:c r="P360" s="151" t="str">
        <x:f>IFERROR(VLOOKUP(N360,'Configuracion'!$D$4:$H$15,3,FALSE),"")</x:f>
      </x:c>
      <x:c r="Q360" s="155"/>
      <x:c r="R360" s="156" t="str">
        <x:f>IFERROR(VLOOKUP(N360,'Configuracion'!$D$4:$H$15,4,FALSE),"")</x:f>
      </x:c>
      <x:c r="S360" s="153"/>
      <x:c r="T360" s="153"/>
      <x:c r="U360" s="156" t="str">
        <x:f>IF(OR(S360="",T360=""),"",MOD(T360-S360,1)*24)</x:f>
      </x:c>
      <x:c r="V360" s="154"/>
      <x:c r="W360" s="154"/>
      <x:c r="X360" s="151" t="str">
        <x:f>IFERROR(VLOOKUP(N360,'Configuracion'!$D$4:$H$15,5,FALSE),"")</x:f>
      </x:c>
      <x:c r="Y360" s="151" t="str">
        <x:f>IFERROR(VLOOKUP(V360,'Cuadrillas'!$A$5:$J$14,2,FALSE),"")</x:f>
      </x:c>
      <x:c r="Z360" s="154"/>
      <x:c r="AA360" s="154"/>
      <x:c r="AB360" s="154"/>
      <x:c r="AC360" s="153"/>
      <x:c r="AD360" s="153"/>
      <x:c r="AE360" s="156" t="str">
        <x:f>IF(OR(AC360="",AD360=""),"",MOD(AD360-AC360,1)*24)</x:f>
      </x:c>
      <x:c r="AF360" s="154"/>
      <x:c r="AG360" s="156" t="str">
        <x:f>IF(AE360="","",MAX(0,AE360-IF(AF360="",0,AF360/60)))</x:f>
      </x:c>
      <x:c r="AH360" s="155"/>
      <x:c r="AI360" s="154"/>
      <x:c r="AJ360" s="154"/>
      <x:c r="AK360" s="156" t="n">
        <x:f>IFERROR(U360*W360,"")</x:f>
        <x:v>0</x:v>
      </x:c>
      <x:c r="AL360" s="156" t="n">
        <x:f>IFERROR(AE360*AI360,"")</x:f>
        <x:v>0</x:v>
      </x:c>
      <x:c r="AM360" s="157" t="str">
        <x:f>IFERROR(AH360/Q360,"")</x:f>
      </x:c>
      <x:c r="AN360" s="156" t="str">
        <x:f>IFERROR(AH360/AG360,"")</x:f>
      </x:c>
      <x:c r="AO360" s="156" t="str">
        <x:f>IFERROR(AL360/AH360,"")</x:f>
      </x:c>
      <x:c r="AP360" s="157" t="str">
        <x:f>IFERROR(AG360/AE360,"")</x:f>
      </x:c>
      <x:c r="AQ360" s="157" t="str">
        <x:f>IFERROR(AN360/(R360/'Configuracion'!$B$13),"")</x:f>
      </x:c>
      <x:c r="AR360" s="156" t="n">
        <x:f>IFERROR(AE360-U360,"")</x:f>
        <x:v>0</x:v>
      </x:c>
      <x:c r="AS360" s="154"/>
      <x:c r="AT360" s="154"/>
      <x:c r="AU360" s="154"/>
      <x:c r="AV360" s="154"/>
      <x:c r="AW360" s="152"/>
      <x:c r="AX360" s="154"/>
      <x:c r="AY360" s="154"/>
      <x:c r="AZ360" s="151"/>
      <x:c r="BA360" s="151"/>
    </x:row>
    <x:row r="361">
      <x:c r="A361" s="151" t="str">
        <x:f>IF(B361="","",TEXT(B361,"yyyymmdd")&amp;"-"&amp;TEXT(COUNTIF($B$5:B361,B361),"000"))</x:f>
      </x:c>
      <x:c r="B361" s="152"/>
      <x:c r="C361" s="153"/>
      <x:c r="D361" s="151" t="str">
        <x:f>IF(B361="","",'Configuracion'!$B$4)</x:f>
      </x:c>
      <x:c r="E361" s="154"/>
      <x:c r="F361" s="154"/>
      <x:c r="G361" s="151" t="str">
        <x:f>IFERROR(VLOOKUP(F361,'Base Sectores'!$A$5:$J$47,2,FALSE),"")</x:f>
      </x:c>
      <x:c r="H361" s="151" t="str">
        <x:f>IFERROR(VLOOKUP(F361,'Base Sectores'!$A$5:$J$47,3,FALSE),"")</x:f>
      </x:c>
      <x:c r="I361" s="151" t="str">
        <x:f>IFERROR(VLOOKUP(F361,'Base Sectores'!$A$5:$J$47,4,FALSE),"")</x:f>
      </x:c>
      <x:c r="J361" s="151" t="str">
        <x:f>IFERROR(VLOOKUP(F361,'Base Sectores'!$A$5:$J$47,5,FALSE),"")</x:f>
      </x:c>
      <x:c r="K361" s="151" t="str">
        <x:f>IFERROR(VLOOKUP(F361,'Base Sectores'!$A$5:$J$47,6,FALSE),"")</x:f>
      </x:c>
      <x:c r="L361" s="151" t="str">
        <x:f>IFERROR(VLOOKUP(F361,'Base Sectores'!$A$5:$J$47,7,FALSE),"")</x:f>
      </x:c>
      <x:c r="M361" s="151" t="str">
        <x:f>IFERROR(VLOOKUP(F361,'Base Sectores'!$A$5:$J$47,9,FALSE),"")</x:f>
      </x:c>
      <x:c r="N361" s="154"/>
      <x:c r="O361" s="151" t="str">
        <x:f>IFERROR(VLOOKUP(N361,'Configuracion'!$D$4:$H$15,2,FALSE),"")</x:f>
      </x:c>
      <x:c r="P361" s="151" t="str">
        <x:f>IFERROR(VLOOKUP(N361,'Configuracion'!$D$4:$H$15,3,FALSE),"")</x:f>
      </x:c>
      <x:c r="Q361" s="155"/>
      <x:c r="R361" s="156" t="str">
        <x:f>IFERROR(VLOOKUP(N361,'Configuracion'!$D$4:$H$15,4,FALSE),"")</x:f>
      </x:c>
      <x:c r="S361" s="153"/>
      <x:c r="T361" s="153"/>
      <x:c r="U361" s="156" t="str">
        <x:f>IF(OR(S361="",T361=""),"",MOD(T361-S361,1)*24)</x:f>
      </x:c>
      <x:c r="V361" s="154"/>
      <x:c r="W361" s="154"/>
      <x:c r="X361" s="151" t="str">
        <x:f>IFERROR(VLOOKUP(N361,'Configuracion'!$D$4:$H$15,5,FALSE),"")</x:f>
      </x:c>
      <x:c r="Y361" s="151" t="str">
        <x:f>IFERROR(VLOOKUP(V361,'Cuadrillas'!$A$5:$J$14,2,FALSE),"")</x:f>
      </x:c>
      <x:c r="Z361" s="154"/>
      <x:c r="AA361" s="154"/>
      <x:c r="AB361" s="154"/>
      <x:c r="AC361" s="153"/>
      <x:c r="AD361" s="153"/>
      <x:c r="AE361" s="156" t="str">
        <x:f>IF(OR(AC361="",AD361=""),"",MOD(AD361-AC361,1)*24)</x:f>
      </x:c>
      <x:c r="AF361" s="154"/>
      <x:c r="AG361" s="156" t="str">
        <x:f>IF(AE361="","",MAX(0,AE361-IF(AF361="",0,AF361/60)))</x:f>
      </x:c>
      <x:c r="AH361" s="155"/>
      <x:c r="AI361" s="154"/>
      <x:c r="AJ361" s="154"/>
      <x:c r="AK361" s="156" t="n">
        <x:f>IFERROR(U361*W361,"")</x:f>
        <x:v>0</x:v>
      </x:c>
      <x:c r="AL361" s="156" t="n">
        <x:f>IFERROR(AE361*AI361,"")</x:f>
        <x:v>0</x:v>
      </x:c>
      <x:c r="AM361" s="157" t="str">
        <x:f>IFERROR(AH361/Q361,"")</x:f>
      </x:c>
      <x:c r="AN361" s="156" t="str">
        <x:f>IFERROR(AH361/AG361,"")</x:f>
      </x:c>
      <x:c r="AO361" s="156" t="str">
        <x:f>IFERROR(AL361/AH361,"")</x:f>
      </x:c>
      <x:c r="AP361" s="157" t="str">
        <x:f>IFERROR(AG361/AE361,"")</x:f>
      </x:c>
      <x:c r="AQ361" s="157" t="str">
        <x:f>IFERROR(AN361/(R361/'Configuracion'!$B$13),"")</x:f>
      </x:c>
      <x:c r="AR361" s="156" t="n">
        <x:f>IFERROR(AE361-U361,"")</x:f>
        <x:v>0</x:v>
      </x:c>
      <x:c r="AS361" s="154"/>
      <x:c r="AT361" s="154"/>
      <x:c r="AU361" s="154"/>
      <x:c r="AV361" s="154"/>
      <x:c r="AW361" s="152"/>
      <x:c r="AX361" s="154"/>
      <x:c r="AY361" s="154"/>
      <x:c r="AZ361" s="151"/>
      <x:c r="BA361" s="151"/>
    </x:row>
    <x:row r="362">
      <x:c r="A362" s="151" t="str">
        <x:f>IF(B362="","",TEXT(B362,"yyyymmdd")&amp;"-"&amp;TEXT(COUNTIF($B$5:B362,B362),"000"))</x:f>
      </x:c>
      <x:c r="B362" s="152"/>
      <x:c r="C362" s="153"/>
      <x:c r="D362" s="151" t="str">
        <x:f>IF(B362="","",'Configuracion'!$B$4)</x:f>
      </x:c>
      <x:c r="E362" s="154"/>
      <x:c r="F362" s="154"/>
      <x:c r="G362" s="151" t="str">
        <x:f>IFERROR(VLOOKUP(F362,'Base Sectores'!$A$5:$J$47,2,FALSE),"")</x:f>
      </x:c>
      <x:c r="H362" s="151" t="str">
        <x:f>IFERROR(VLOOKUP(F362,'Base Sectores'!$A$5:$J$47,3,FALSE),"")</x:f>
      </x:c>
      <x:c r="I362" s="151" t="str">
        <x:f>IFERROR(VLOOKUP(F362,'Base Sectores'!$A$5:$J$47,4,FALSE),"")</x:f>
      </x:c>
      <x:c r="J362" s="151" t="str">
        <x:f>IFERROR(VLOOKUP(F362,'Base Sectores'!$A$5:$J$47,5,FALSE),"")</x:f>
      </x:c>
      <x:c r="K362" s="151" t="str">
        <x:f>IFERROR(VLOOKUP(F362,'Base Sectores'!$A$5:$J$47,6,FALSE),"")</x:f>
      </x:c>
      <x:c r="L362" s="151" t="str">
        <x:f>IFERROR(VLOOKUP(F362,'Base Sectores'!$A$5:$J$47,7,FALSE),"")</x:f>
      </x:c>
      <x:c r="M362" s="151" t="str">
        <x:f>IFERROR(VLOOKUP(F362,'Base Sectores'!$A$5:$J$47,9,FALSE),"")</x:f>
      </x:c>
      <x:c r="N362" s="154"/>
      <x:c r="O362" s="151" t="str">
        <x:f>IFERROR(VLOOKUP(N362,'Configuracion'!$D$4:$H$15,2,FALSE),"")</x:f>
      </x:c>
      <x:c r="P362" s="151" t="str">
        <x:f>IFERROR(VLOOKUP(N362,'Configuracion'!$D$4:$H$15,3,FALSE),"")</x:f>
      </x:c>
      <x:c r="Q362" s="155"/>
      <x:c r="R362" s="156" t="str">
        <x:f>IFERROR(VLOOKUP(N362,'Configuracion'!$D$4:$H$15,4,FALSE),"")</x:f>
      </x:c>
      <x:c r="S362" s="153"/>
      <x:c r="T362" s="153"/>
      <x:c r="U362" s="156" t="str">
        <x:f>IF(OR(S362="",T362=""),"",MOD(T362-S362,1)*24)</x:f>
      </x:c>
      <x:c r="V362" s="154"/>
      <x:c r="W362" s="154"/>
      <x:c r="X362" s="151" t="str">
        <x:f>IFERROR(VLOOKUP(N362,'Configuracion'!$D$4:$H$15,5,FALSE),"")</x:f>
      </x:c>
      <x:c r="Y362" s="151" t="str">
        <x:f>IFERROR(VLOOKUP(V362,'Cuadrillas'!$A$5:$J$14,2,FALSE),"")</x:f>
      </x:c>
      <x:c r="Z362" s="154"/>
      <x:c r="AA362" s="154"/>
      <x:c r="AB362" s="154"/>
      <x:c r="AC362" s="153"/>
      <x:c r="AD362" s="153"/>
      <x:c r="AE362" s="156" t="str">
        <x:f>IF(OR(AC362="",AD362=""),"",MOD(AD362-AC362,1)*24)</x:f>
      </x:c>
      <x:c r="AF362" s="154"/>
      <x:c r="AG362" s="156" t="str">
        <x:f>IF(AE362="","",MAX(0,AE362-IF(AF362="",0,AF362/60)))</x:f>
      </x:c>
      <x:c r="AH362" s="155"/>
      <x:c r="AI362" s="154"/>
      <x:c r="AJ362" s="154"/>
      <x:c r="AK362" s="156" t="n">
        <x:f>IFERROR(U362*W362,"")</x:f>
        <x:v>0</x:v>
      </x:c>
      <x:c r="AL362" s="156" t="n">
        <x:f>IFERROR(AE362*AI362,"")</x:f>
        <x:v>0</x:v>
      </x:c>
      <x:c r="AM362" s="157" t="str">
        <x:f>IFERROR(AH362/Q362,"")</x:f>
      </x:c>
      <x:c r="AN362" s="156" t="str">
        <x:f>IFERROR(AH362/AG362,"")</x:f>
      </x:c>
      <x:c r="AO362" s="156" t="str">
        <x:f>IFERROR(AL362/AH362,"")</x:f>
      </x:c>
      <x:c r="AP362" s="157" t="str">
        <x:f>IFERROR(AG362/AE362,"")</x:f>
      </x:c>
      <x:c r="AQ362" s="157" t="str">
        <x:f>IFERROR(AN362/(R362/'Configuracion'!$B$13),"")</x:f>
      </x:c>
      <x:c r="AR362" s="156" t="n">
        <x:f>IFERROR(AE362-U362,"")</x:f>
        <x:v>0</x:v>
      </x:c>
      <x:c r="AS362" s="154"/>
      <x:c r="AT362" s="154"/>
      <x:c r="AU362" s="154"/>
      <x:c r="AV362" s="154"/>
      <x:c r="AW362" s="152"/>
      <x:c r="AX362" s="154"/>
      <x:c r="AY362" s="154"/>
      <x:c r="AZ362" s="151"/>
      <x:c r="BA362" s="151"/>
    </x:row>
    <x:row r="363">
      <x:c r="A363" s="151" t="str">
        <x:f>IF(B363="","",TEXT(B363,"yyyymmdd")&amp;"-"&amp;TEXT(COUNTIF($B$5:B363,B363),"000"))</x:f>
      </x:c>
      <x:c r="B363" s="152"/>
      <x:c r="C363" s="153"/>
      <x:c r="D363" s="151" t="str">
        <x:f>IF(B363="","",'Configuracion'!$B$4)</x:f>
      </x:c>
      <x:c r="E363" s="154"/>
      <x:c r="F363" s="154"/>
      <x:c r="G363" s="151" t="str">
        <x:f>IFERROR(VLOOKUP(F363,'Base Sectores'!$A$5:$J$47,2,FALSE),"")</x:f>
      </x:c>
      <x:c r="H363" s="151" t="str">
        <x:f>IFERROR(VLOOKUP(F363,'Base Sectores'!$A$5:$J$47,3,FALSE),"")</x:f>
      </x:c>
      <x:c r="I363" s="151" t="str">
        <x:f>IFERROR(VLOOKUP(F363,'Base Sectores'!$A$5:$J$47,4,FALSE),"")</x:f>
      </x:c>
      <x:c r="J363" s="151" t="str">
        <x:f>IFERROR(VLOOKUP(F363,'Base Sectores'!$A$5:$J$47,5,FALSE),"")</x:f>
      </x:c>
      <x:c r="K363" s="151" t="str">
        <x:f>IFERROR(VLOOKUP(F363,'Base Sectores'!$A$5:$J$47,6,FALSE),"")</x:f>
      </x:c>
      <x:c r="L363" s="151" t="str">
        <x:f>IFERROR(VLOOKUP(F363,'Base Sectores'!$A$5:$J$47,7,FALSE),"")</x:f>
      </x:c>
      <x:c r="M363" s="151" t="str">
        <x:f>IFERROR(VLOOKUP(F363,'Base Sectores'!$A$5:$J$47,9,FALSE),"")</x:f>
      </x:c>
      <x:c r="N363" s="154"/>
      <x:c r="O363" s="151" t="str">
        <x:f>IFERROR(VLOOKUP(N363,'Configuracion'!$D$4:$H$15,2,FALSE),"")</x:f>
      </x:c>
      <x:c r="P363" s="151" t="str">
        <x:f>IFERROR(VLOOKUP(N363,'Configuracion'!$D$4:$H$15,3,FALSE),"")</x:f>
      </x:c>
      <x:c r="Q363" s="155"/>
      <x:c r="R363" s="156" t="str">
        <x:f>IFERROR(VLOOKUP(N363,'Configuracion'!$D$4:$H$15,4,FALSE),"")</x:f>
      </x:c>
      <x:c r="S363" s="153"/>
      <x:c r="T363" s="153"/>
      <x:c r="U363" s="156" t="str">
        <x:f>IF(OR(S363="",T363=""),"",MOD(T363-S363,1)*24)</x:f>
      </x:c>
      <x:c r="V363" s="154"/>
      <x:c r="W363" s="154"/>
      <x:c r="X363" s="151" t="str">
        <x:f>IFERROR(VLOOKUP(N363,'Configuracion'!$D$4:$H$15,5,FALSE),"")</x:f>
      </x:c>
      <x:c r="Y363" s="151" t="str">
        <x:f>IFERROR(VLOOKUP(V363,'Cuadrillas'!$A$5:$J$14,2,FALSE),"")</x:f>
      </x:c>
      <x:c r="Z363" s="154"/>
      <x:c r="AA363" s="154"/>
      <x:c r="AB363" s="154"/>
      <x:c r="AC363" s="153"/>
      <x:c r="AD363" s="153"/>
      <x:c r="AE363" s="156" t="str">
        <x:f>IF(OR(AC363="",AD363=""),"",MOD(AD363-AC363,1)*24)</x:f>
      </x:c>
      <x:c r="AF363" s="154"/>
      <x:c r="AG363" s="156" t="str">
        <x:f>IF(AE363="","",MAX(0,AE363-IF(AF363="",0,AF363/60)))</x:f>
      </x:c>
      <x:c r="AH363" s="155"/>
      <x:c r="AI363" s="154"/>
      <x:c r="AJ363" s="154"/>
      <x:c r="AK363" s="156" t="n">
        <x:f>IFERROR(U363*W363,"")</x:f>
        <x:v>0</x:v>
      </x:c>
      <x:c r="AL363" s="156" t="n">
        <x:f>IFERROR(AE363*AI363,"")</x:f>
        <x:v>0</x:v>
      </x:c>
      <x:c r="AM363" s="157" t="str">
        <x:f>IFERROR(AH363/Q363,"")</x:f>
      </x:c>
      <x:c r="AN363" s="156" t="str">
        <x:f>IFERROR(AH363/AG363,"")</x:f>
      </x:c>
      <x:c r="AO363" s="156" t="str">
        <x:f>IFERROR(AL363/AH363,"")</x:f>
      </x:c>
      <x:c r="AP363" s="157" t="str">
        <x:f>IFERROR(AG363/AE363,"")</x:f>
      </x:c>
      <x:c r="AQ363" s="157" t="str">
        <x:f>IFERROR(AN363/(R363/'Configuracion'!$B$13),"")</x:f>
      </x:c>
      <x:c r="AR363" s="156" t="n">
        <x:f>IFERROR(AE363-U363,"")</x:f>
        <x:v>0</x:v>
      </x:c>
      <x:c r="AS363" s="154"/>
      <x:c r="AT363" s="154"/>
      <x:c r="AU363" s="154"/>
      <x:c r="AV363" s="154"/>
      <x:c r="AW363" s="152"/>
      <x:c r="AX363" s="154"/>
      <x:c r="AY363" s="154"/>
      <x:c r="AZ363" s="151"/>
      <x:c r="BA363" s="151"/>
    </x:row>
    <x:row r="364">
      <x:c r="A364" s="151" t="str">
        <x:f>IF(B364="","",TEXT(B364,"yyyymmdd")&amp;"-"&amp;TEXT(COUNTIF($B$5:B364,B364),"000"))</x:f>
      </x:c>
      <x:c r="B364" s="152"/>
      <x:c r="C364" s="153"/>
      <x:c r="D364" s="151" t="str">
        <x:f>IF(B364="","",'Configuracion'!$B$4)</x:f>
      </x:c>
      <x:c r="E364" s="154"/>
      <x:c r="F364" s="154"/>
      <x:c r="G364" s="151" t="str">
        <x:f>IFERROR(VLOOKUP(F364,'Base Sectores'!$A$5:$J$47,2,FALSE),"")</x:f>
      </x:c>
      <x:c r="H364" s="151" t="str">
        <x:f>IFERROR(VLOOKUP(F364,'Base Sectores'!$A$5:$J$47,3,FALSE),"")</x:f>
      </x:c>
      <x:c r="I364" s="151" t="str">
        <x:f>IFERROR(VLOOKUP(F364,'Base Sectores'!$A$5:$J$47,4,FALSE),"")</x:f>
      </x:c>
      <x:c r="J364" s="151" t="str">
        <x:f>IFERROR(VLOOKUP(F364,'Base Sectores'!$A$5:$J$47,5,FALSE),"")</x:f>
      </x:c>
      <x:c r="K364" s="151" t="str">
        <x:f>IFERROR(VLOOKUP(F364,'Base Sectores'!$A$5:$J$47,6,FALSE),"")</x:f>
      </x:c>
      <x:c r="L364" s="151" t="str">
        <x:f>IFERROR(VLOOKUP(F364,'Base Sectores'!$A$5:$J$47,7,FALSE),"")</x:f>
      </x:c>
      <x:c r="M364" s="151" t="str">
        <x:f>IFERROR(VLOOKUP(F364,'Base Sectores'!$A$5:$J$47,9,FALSE),"")</x:f>
      </x:c>
      <x:c r="N364" s="154"/>
      <x:c r="O364" s="151" t="str">
        <x:f>IFERROR(VLOOKUP(N364,'Configuracion'!$D$4:$H$15,2,FALSE),"")</x:f>
      </x:c>
      <x:c r="P364" s="151" t="str">
        <x:f>IFERROR(VLOOKUP(N364,'Configuracion'!$D$4:$H$15,3,FALSE),"")</x:f>
      </x:c>
      <x:c r="Q364" s="155"/>
      <x:c r="R364" s="156" t="str">
        <x:f>IFERROR(VLOOKUP(N364,'Configuracion'!$D$4:$H$15,4,FALSE),"")</x:f>
      </x:c>
      <x:c r="S364" s="153"/>
      <x:c r="T364" s="153"/>
      <x:c r="U364" s="156" t="str">
        <x:f>IF(OR(S364="",T364=""),"",MOD(T364-S364,1)*24)</x:f>
      </x:c>
      <x:c r="V364" s="154"/>
      <x:c r="W364" s="154"/>
      <x:c r="X364" s="151" t="str">
        <x:f>IFERROR(VLOOKUP(N364,'Configuracion'!$D$4:$H$15,5,FALSE),"")</x:f>
      </x:c>
      <x:c r="Y364" s="151" t="str">
        <x:f>IFERROR(VLOOKUP(V364,'Cuadrillas'!$A$5:$J$14,2,FALSE),"")</x:f>
      </x:c>
      <x:c r="Z364" s="154"/>
      <x:c r="AA364" s="154"/>
      <x:c r="AB364" s="154"/>
      <x:c r="AC364" s="153"/>
      <x:c r="AD364" s="153"/>
      <x:c r="AE364" s="156" t="str">
        <x:f>IF(OR(AC364="",AD364=""),"",MOD(AD364-AC364,1)*24)</x:f>
      </x:c>
      <x:c r="AF364" s="154"/>
      <x:c r="AG364" s="156" t="str">
        <x:f>IF(AE364="","",MAX(0,AE364-IF(AF364="",0,AF364/60)))</x:f>
      </x:c>
      <x:c r="AH364" s="155"/>
      <x:c r="AI364" s="154"/>
      <x:c r="AJ364" s="154"/>
      <x:c r="AK364" s="156" t="n">
        <x:f>IFERROR(U364*W364,"")</x:f>
        <x:v>0</x:v>
      </x:c>
      <x:c r="AL364" s="156" t="n">
        <x:f>IFERROR(AE364*AI364,"")</x:f>
        <x:v>0</x:v>
      </x:c>
      <x:c r="AM364" s="157" t="str">
        <x:f>IFERROR(AH364/Q364,"")</x:f>
      </x:c>
      <x:c r="AN364" s="156" t="str">
        <x:f>IFERROR(AH364/AG364,"")</x:f>
      </x:c>
      <x:c r="AO364" s="156" t="str">
        <x:f>IFERROR(AL364/AH364,"")</x:f>
      </x:c>
      <x:c r="AP364" s="157" t="str">
        <x:f>IFERROR(AG364/AE364,"")</x:f>
      </x:c>
      <x:c r="AQ364" s="157" t="str">
        <x:f>IFERROR(AN364/(R364/'Configuracion'!$B$13),"")</x:f>
      </x:c>
      <x:c r="AR364" s="156" t="n">
        <x:f>IFERROR(AE364-U364,"")</x:f>
        <x:v>0</x:v>
      </x:c>
      <x:c r="AS364" s="154"/>
      <x:c r="AT364" s="154"/>
      <x:c r="AU364" s="154"/>
      <x:c r="AV364" s="154"/>
      <x:c r="AW364" s="152"/>
      <x:c r="AX364" s="154"/>
      <x:c r="AY364" s="154"/>
      <x:c r="AZ364" s="151"/>
      <x:c r="BA364" s="151"/>
    </x:row>
    <x:row r="365">
      <x:c r="A365" s="151" t="str">
        <x:f>IF(B365="","",TEXT(B365,"yyyymmdd")&amp;"-"&amp;TEXT(COUNTIF($B$5:B365,B365),"000"))</x:f>
      </x:c>
      <x:c r="B365" s="152"/>
      <x:c r="C365" s="153"/>
      <x:c r="D365" s="151" t="str">
        <x:f>IF(B365="","",'Configuracion'!$B$4)</x:f>
      </x:c>
      <x:c r="E365" s="154"/>
      <x:c r="F365" s="154"/>
      <x:c r="G365" s="151" t="str">
        <x:f>IFERROR(VLOOKUP(F365,'Base Sectores'!$A$5:$J$47,2,FALSE),"")</x:f>
      </x:c>
      <x:c r="H365" s="151" t="str">
        <x:f>IFERROR(VLOOKUP(F365,'Base Sectores'!$A$5:$J$47,3,FALSE),"")</x:f>
      </x:c>
      <x:c r="I365" s="151" t="str">
        <x:f>IFERROR(VLOOKUP(F365,'Base Sectores'!$A$5:$J$47,4,FALSE),"")</x:f>
      </x:c>
      <x:c r="J365" s="151" t="str">
        <x:f>IFERROR(VLOOKUP(F365,'Base Sectores'!$A$5:$J$47,5,FALSE),"")</x:f>
      </x:c>
      <x:c r="K365" s="151" t="str">
        <x:f>IFERROR(VLOOKUP(F365,'Base Sectores'!$A$5:$J$47,6,FALSE),"")</x:f>
      </x:c>
      <x:c r="L365" s="151" t="str">
        <x:f>IFERROR(VLOOKUP(F365,'Base Sectores'!$A$5:$J$47,7,FALSE),"")</x:f>
      </x:c>
      <x:c r="M365" s="151" t="str">
        <x:f>IFERROR(VLOOKUP(F365,'Base Sectores'!$A$5:$J$47,9,FALSE),"")</x:f>
      </x:c>
      <x:c r="N365" s="154"/>
      <x:c r="O365" s="151" t="str">
        <x:f>IFERROR(VLOOKUP(N365,'Configuracion'!$D$4:$H$15,2,FALSE),"")</x:f>
      </x:c>
      <x:c r="P365" s="151" t="str">
        <x:f>IFERROR(VLOOKUP(N365,'Configuracion'!$D$4:$H$15,3,FALSE),"")</x:f>
      </x:c>
      <x:c r="Q365" s="155"/>
      <x:c r="R365" s="156" t="str">
        <x:f>IFERROR(VLOOKUP(N365,'Configuracion'!$D$4:$H$15,4,FALSE),"")</x:f>
      </x:c>
      <x:c r="S365" s="153"/>
      <x:c r="T365" s="153"/>
      <x:c r="U365" s="156" t="str">
        <x:f>IF(OR(S365="",T365=""),"",MOD(T365-S365,1)*24)</x:f>
      </x:c>
      <x:c r="V365" s="154"/>
      <x:c r="W365" s="154"/>
      <x:c r="X365" s="151" t="str">
        <x:f>IFERROR(VLOOKUP(N365,'Configuracion'!$D$4:$H$15,5,FALSE),"")</x:f>
      </x:c>
      <x:c r="Y365" s="151" t="str">
        <x:f>IFERROR(VLOOKUP(V365,'Cuadrillas'!$A$5:$J$14,2,FALSE),"")</x:f>
      </x:c>
      <x:c r="Z365" s="154"/>
      <x:c r="AA365" s="154"/>
      <x:c r="AB365" s="154"/>
      <x:c r="AC365" s="153"/>
      <x:c r="AD365" s="153"/>
      <x:c r="AE365" s="156" t="str">
        <x:f>IF(OR(AC365="",AD365=""),"",MOD(AD365-AC365,1)*24)</x:f>
      </x:c>
      <x:c r="AF365" s="154"/>
      <x:c r="AG365" s="156" t="str">
        <x:f>IF(AE365="","",MAX(0,AE365-IF(AF365="",0,AF365/60)))</x:f>
      </x:c>
      <x:c r="AH365" s="155"/>
      <x:c r="AI365" s="154"/>
      <x:c r="AJ365" s="154"/>
      <x:c r="AK365" s="156" t="n">
        <x:f>IFERROR(U365*W365,"")</x:f>
        <x:v>0</x:v>
      </x:c>
      <x:c r="AL365" s="156" t="n">
        <x:f>IFERROR(AE365*AI365,"")</x:f>
        <x:v>0</x:v>
      </x:c>
      <x:c r="AM365" s="157" t="str">
        <x:f>IFERROR(AH365/Q365,"")</x:f>
      </x:c>
      <x:c r="AN365" s="156" t="str">
        <x:f>IFERROR(AH365/AG365,"")</x:f>
      </x:c>
      <x:c r="AO365" s="156" t="str">
        <x:f>IFERROR(AL365/AH365,"")</x:f>
      </x:c>
      <x:c r="AP365" s="157" t="str">
        <x:f>IFERROR(AG365/AE365,"")</x:f>
      </x:c>
      <x:c r="AQ365" s="157" t="str">
        <x:f>IFERROR(AN365/(R365/'Configuracion'!$B$13),"")</x:f>
      </x:c>
      <x:c r="AR365" s="156" t="n">
        <x:f>IFERROR(AE365-U365,"")</x:f>
        <x:v>0</x:v>
      </x:c>
      <x:c r="AS365" s="154"/>
      <x:c r="AT365" s="154"/>
      <x:c r="AU365" s="154"/>
      <x:c r="AV365" s="154"/>
      <x:c r="AW365" s="152"/>
      <x:c r="AX365" s="154"/>
      <x:c r="AY365" s="154"/>
      <x:c r="AZ365" s="151"/>
      <x:c r="BA365" s="151"/>
    </x:row>
    <x:row r="366">
      <x:c r="A366" s="151" t="str">
        <x:f>IF(B366="","",TEXT(B366,"yyyymmdd")&amp;"-"&amp;TEXT(COUNTIF($B$5:B366,B366),"000"))</x:f>
      </x:c>
      <x:c r="B366" s="152"/>
      <x:c r="C366" s="153"/>
      <x:c r="D366" s="151" t="str">
        <x:f>IF(B366="","",'Configuracion'!$B$4)</x:f>
      </x:c>
      <x:c r="E366" s="154"/>
      <x:c r="F366" s="154"/>
      <x:c r="G366" s="151" t="str">
        <x:f>IFERROR(VLOOKUP(F366,'Base Sectores'!$A$5:$J$47,2,FALSE),"")</x:f>
      </x:c>
      <x:c r="H366" s="151" t="str">
        <x:f>IFERROR(VLOOKUP(F366,'Base Sectores'!$A$5:$J$47,3,FALSE),"")</x:f>
      </x:c>
      <x:c r="I366" s="151" t="str">
        <x:f>IFERROR(VLOOKUP(F366,'Base Sectores'!$A$5:$J$47,4,FALSE),"")</x:f>
      </x:c>
      <x:c r="J366" s="151" t="str">
        <x:f>IFERROR(VLOOKUP(F366,'Base Sectores'!$A$5:$J$47,5,FALSE),"")</x:f>
      </x:c>
      <x:c r="K366" s="151" t="str">
        <x:f>IFERROR(VLOOKUP(F366,'Base Sectores'!$A$5:$J$47,6,FALSE),"")</x:f>
      </x:c>
      <x:c r="L366" s="151" t="str">
        <x:f>IFERROR(VLOOKUP(F366,'Base Sectores'!$A$5:$J$47,7,FALSE),"")</x:f>
      </x:c>
      <x:c r="M366" s="151" t="str">
        <x:f>IFERROR(VLOOKUP(F366,'Base Sectores'!$A$5:$J$47,9,FALSE),"")</x:f>
      </x:c>
      <x:c r="N366" s="154"/>
      <x:c r="O366" s="151" t="str">
        <x:f>IFERROR(VLOOKUP(N366,'Configuracion'!$D$4:$H$15,2,FALSE),"")</x:f>
      </x:c>
      <x:c r="P366" s="151" t="str">
        <x:f>IFERROR(VLOOKUP(N366,'Configuracion'!$D$4:$H$15,3,FALSE),"")</x:f>
      </x:c>
      <x:c r="Q366" s="155"/>
      <x:c r="R366" s="156" t="str">
        <x:f>IFERROR(VLOOKUP(N366,'Configuracion'!$D$4:$H$15,4,FALSE),"")</x:f>
      </x:c>
      <x:c r="S366" s="153"/>
      <x:c r="T366" s="153"/>
      <x:c r="U366" s="156" t="str">
        <x:f>IF(OR(S366="",T366=""),"",MOD(T366-S366,1)*24)</x:f>
      </x:c>
      <x:c r="V366" s="154"/>
      <x:c r="W366" s="154"/>
      <x:c r="X366" s="151" t="str">
        <x:f>IFERROR(VLOOKUP(N366,'Configuracion'!$D$4:$H$15,5,FALSE),"")</x:f>
      </x:c>
      <x:c r="Y366" s="151" t="str">
        <x:f>IFERROR(VLOOKUP(V366,'Cuadrillas'!$A$5:$J$14,2,FALSE),"")</x:f>
      </x:c>
      <x:c r="Z366" s="154"/>
      <x:c r="AA366" s="154"/>
      <x:c r="AB366" s="154"/>
      <x:c r="AC366" s="153"/>
      <x:c r="AD366" s="153"/>
      <x:c r="AE366" s="156" t="str">
        <x:f>IF(OR(AC366="",AD366=""),"",MOD(AD366-AC366,1)*24)</x:f>
      </x:c>
      <x:c r="AF366" s="154"/>
      <x:c r="AG366" s="156" t="str">
        <x:f>IF(AE366="","",MAX(0,AE366-IF(AF366="",0,AF366/60)))</x:f>
      </x:c>
      <x:c r="AH366" s="155"/>
      <x:c r="AI366" s="154"/>
      <x:c r="AJ366" s="154"/>
      <x:c r="AK366" s="156" t="n">
        <x:f>IFERROR(U366*W366,"")</x:f>
        <x:v>0</x:v>
      </x:c>
      <x:c r="AL366" s="156" t="n">
        <x:f>IFERROR(AE366*AI366,"")</x:f>
        <x:v>0</x:v>
      </x:c>
      <x:c r="AM366" s="157" t="str">
        <x:f>IFERROR(AH366/Q366,"")</x:f>
      </x:c>
      <x:c r="AN366" s="156" t="str">
        <x:f>IFERROR(AH366/AG366,"")</x:f>
      </x:c>
      <x:c r="AO366" s="156" t="str">
        <x:f>IFERROR(AL366/AH366,"")</x:f>
      </x:c>
      <x:c r="AP366" s="157" t="str">
        <x:f>IFERROR(AG366/AE366,"")</x:f>
      </x:c>
      <x:c r="AQ366" s="157" t="str">
        <x:f>IFERROR(AN366/(R366/'Configuracion'!$B$13),"")</x:f>
      </x:c>
      <x:c r="AR366" s="156" t="n">
        <x:f>IFERROR(AE366-U366,"")</x:f>
        <x:v>0</x:v>
      </x:c>
      <x:c r="AS366" s="154"/>
      <x:c r="AT366" s="154"/>
      <x:c r="AU366" s="154"/>
      <x:c r="AV366" s="154"/>
      <x:c r="AW366" s="152"/>
      <x:c r="AX366" s="154"/>
      <x:c r="AY366" s="154"/>
      <x:c r="AZ366" s="151"/>
      <x:c r="BA366" s="151"/>
    </x:row>
    <x:row r="367">
      <x:c r="A367" s="151" t="str">
        <x:f>IF(B367="","",TEXT(B367,"yyyymmdd")&amp;"-"&amp;TEXT(COUNTIF($B$5:B367,B367),"000"))</x:f>
      </x:c>
      <x:c r="B367" s="152"/>
      <x:c r="C367" s="153"/>
      <x:c r="D367" s="151" t="str">
        <x:f>IF(B367="","",'Configuracion'!$B$4)</x:f>
      </x:c>
      <x:c r="E367" s="154"/>
      <x:c r="F367" s="154"/>
      <x:c r="G367" s="151" t="str">
        <x:f>IFERROR(VLOOKUP(F367,'Base Sectores'!$A$5:$J$47,2,FALSE),"")</x:f>
      </x:c>
      <x:c r="H367" s="151" t="str">
        <x:f>IFERROR(VLOOKUP(F367,'Base Sectores'!$A$5:$J$47,3,FALSE),"")</x:f>
      </x:c>
      <x:c r="I367" s="151" t="str">
        <x:f>IFERROR(VLOOKUP(F367,'Base Sectores'!$A$5:$J$47,4,FALSE),"")</x:f>
      </x:c>
      <x:c r="J367" s="151" t="str">
        <x:f>IFERROR(VLOOKUP(F367,'Base Sectores'!$A$5:$J$47,5,FALSE),"")</x:f>
      </x:c>
      <x:c r="K367" s="151" t="str">
        <x:f>IFERROR(VLOOKUP(F367,'Base Sectores'!$A$5:$J$47,6,FALSE),"")</x:f>
      </x:c>
      <x:c r="L367" s="151" t="str">
        <x:f>IFERROR(VLOOKUP(F367,'Base Sectores'!$A$5:$J$47,7,FALSE),"")</x:f>
      </x:c>
      <x:c r="M367" s="151" t="str">
        <x:f>IFERROR(VLOOKUP(F367,'Base Sectores'!$A$5:$J$47,9,FALSE),"")</x:f>
      </x:c>
      <x:c r="N367" s="154"/>
      <x:c r="O367" s="151" t="str">
        <x:f>IFERROR(VLOOKUP(N367,'Configuracion'!$D$4:$H$15,2,FALSE),"")</x:f>
      </x:c>
      <x:c r="P367" s="151" t="str">
        <x:f>IFERROR(VLOOKUP(N367,'Configuracion'!$D$4:$H$15,3,FALSE),"")</x:f>
      </x:c>
      <x:c r="Q367" s="155"/>
      <x:c r="R367" s="156" t="str">
        <x:f>IFERROR(VLOOKUP(N367,'Configuracion'!$D$4:$H$15,4,FALSE),"")</x:f>
      </x:c>
      <x:c r="S367" s="153"/>
      <x:c r="T367" s="153"/>
      <x:c r="U367" s="156" t="str">
        <x:f>IF(OR(S367="",T367=""),"",MOD(T367-S367,1)*24)</x:f>
      </x:c>
      <x:c r="V367" s="154"/>
      <x:c r="W367" s="154"/>
      <x:c r="X367" s="151" t="str">
        <x:f>IFERROR(VLOOKUP(N367,'Configuracion'!$D$4:$H$15,5,FALSE),"")</x:f>
      </x:c>
      <x:c r="Y367" s="151" t="str">
        <x:f>IFERROR(VLOOKUP(V367,'Cuadrillas'!$A$5:$J$14,2,FALSE),"")</x:f>
      </x:c>
      <x:c r="Z367" s="154"/>
      <x:c r="AA367" s="154"/>
      <x:c r="AB367" s="154"/>
      <x:c r="AC367" s="153"/>
      <x:c r="AD367" s="153"/>
      <x:c r="AE367" s="156" t="str">
        <x:f>IF(OR(AC367="",AD367=""),"",MOD(AD367-AC367,1)*24)</x:f>
      </x:c>
      <x:c r="AF367" s="154"/>
      <x:c r="AG367" s="156" t="str">
        <x:f>IF(AE367="","",MAX(0,AE367-IF(AF367="",0,AF367/60)))</x:f>
      </x:c>
      <x:c r="AH367" s="155"/>
      <x:c r="AI367" s="154"/>
      <x:c r="AJ367" s="154"/>
      <x:c r="AK367" s="156" t="n">
        <x:f>IFERROR(U367*W367,"")</x:f>
        <x:v>0</x:v>
      </x:c>
      <x:c r="AL367" s="156" t="n">
        <x:f>IFERROR(AE367*AI367,"")</x:f>
        <x:v>0</x:v>
      </x:c>
      <x:c r="AM367" s="157" t="str">
        <x:f>IFERROR(AH367/Q367,"")</x:f>
      </x:c>
      <x:c r="AN367" s="156" t="str">
        <x:f>IFERROR(AH367/AG367,"")</x:f>
      </x:c>
      <x:c r="AO367" s="156" t="str">
        <x:f>IFERROR(AL367/AH367,"")</x:f>
      </x:c>
      <x:c r="AP367" s="157" t="str">
        <x:f>IFERROR(AG367/AE367,"")</x:f>
      </x:c>
      <x:c r="AQ367" s="157" t="str">
        <x:f>IFERROR(AN367/(R367/'Configuracion'!$B$13),"")</x:f>
      </x:c>
      <x:c r="AR367" s="156" t="n">
        <x:f>IFERROR(AE367-U367,"")</x:f>
        <x:v>0</x:v>
      </x:c>
      <x:c r="AS367" s="154"/>
      <x:c r="AT367" s="154"/>
      <x:c r="AU367" s="154"/>
      <x:c r="AV367" s="154"/>
      <x:c r="AW367" s="152"/>
      <x:c r="AX367" s="154"/>
      <x:c r="AY367" s="154"/>
      <x:c r="AZ367" s="151"/>
      <x:c r="BA367" s="151"/>
    </x:row>
    <x:row r="368">
      <x:c r="A368" s="151" t="str">
        <x:f>IF(B368="","",TEXT(B368,"yyyymmdd")&amp;"-"&amp;TEXT(COUNTIF($B$5:B368,B368),"000"))</x:f>
      </x:c>
      <x:c r="B368" s="152"/>
      <x:c r="C368" s="153"/>
      <x:c r="D368" s="151" t="str">
        <x:f>IF(B368="","",'Configuracion'!$B$4)</x:f>
      </x:c>
      <x:c r="E368" s="154"/>
      <x:c r="F368" s="154"/>
      <x:c r="G368" s="151" t="str">
        <x:f>IFERROR(VLOOKUP(F368,'Base Sectores'!$A$5:$J$47,2,FALSE),"")</x:f>
      </x:c>
      <x:c r="H368" s="151" t="str">
        <x:f>IFERROR(VLOOKUP(F368,'Base Sectores'!$A$5:$J$47,3,FALSE),"")</x:f>
      </x:c>
      <x:c r="I368" s="151" t="str">
        <x:f>IFERROR(VLOOKUP(F368,'Base Sectores'!$A$5:$J$47,4,FALSE),"")</x:f>
      </x:c>
      <x:c r="J368" s="151" t="str">
        <x:f>IFERROR(VLOOKUP(F368,'Base Sectores'!$A$5:$J$47,5,FALSE),"")</x:f>
      </x:c>
      <x:c r="K368" s="151" t="str">
        <x:f>IFERROR(VLOOKUP(F368,'Base Sectores'!$A$5:$J$47,6,FALSE),"")</x:f>
      </x:c>
      <x:c r="L368" s="151" t="str">
        <x:f>IFERROR(VLOOKUP(F368,'Base Sectores'!$A$5:$J$47,7,FALSE),"")</x:f>
      </x:c>
      <x:c r="M368" s="151" t="str">
        <x:f>IFERROR(VLOOKUP(F368,'Base Sectores'!$A$5:$J$47,9,FALSE),"")</x:f>
      </x:c>
      <x:c r="N368" s="154"/>
      <x:c r="O368" s="151" t="str">
        <x:f>IFERROR(VLOOKUP(N368,'Configuracion'!$D$4:$H$15,2,FALSE),"")</x:f>
      </x:c>
      <x:c r="P368" s="151" t="str">
        <x:f>IFERROR(VLOOKUP(N368,'Configuracion'!$D$4:$H$15,3,FALSE),"")</x:f>
      </x:c>
      <x:c r="Q368" s="155"/>
      <x:c r="R368" s="156" t="str">
        <x:f>IFERROR(VLOOKUP(N368,'Configuracion'!$D$4:$H$15,4,FALSE),"")</x:f>
      </x:c>
      <x:c r="S368" s="153"/>
      <x:c r="T368" s="153"/>
      <x:c r="U368" s="156" t="str">
        <x:f>IF(OR(S368="",T368=""),"",MOD(T368-S368,1)*24)</x:f>
      </x:c>
      <x:c r="V368" s="154"/>
      <x:c r="W368" s="154"/>
      <x:c r="X368" s="151" t="str">
        <x:f>IFERROR(VLOOKUP(N368,'Configuracion'!$D$4:$H$15,5,FALSE),"")</x:f>
      </x:c>
      <x:c r="Y368" s="151" t="str">
        <x:f>IFERROR(VLOOKUP(V368,'Cuadrillas'!$A$5:$J$14,2,FALSE),"")</x:f>
      </x:c>
      <x:c r="Z368" s="154"/>
      <x:c r="AA368" s="154"/>
      <x:c r="AB368" s="154"/>
      <x:c r="AC368" s="153"/>
      <x:c r="AD368" s="153"/>
      <x:c r="AE368" s="156" t="str">
        <x:f>IF(OR(AC368="",AD368=""),"",MOD(AD368-AC368,1)*24)</x:f>
      </x:c>
      <x:c r="AF368" s="154"/>
      <x:c r="AG368" s="156" t="str">
        <x:f>IF(AE368="","",MAX(0,AE368-IF(AF368="",0,AF368/60)))</x:f>
      </x:c>
      <x:c r="AH368" s="155"/>
      <x:c r="AI368" s="154"/>
      <x:c r="AJ368" s="154"/>
      <x:c r="AK368" s="156" t="n">
        <x:f>IFERROR(U368*W368,"")</x:f>
        <x:v>0</x:v>
      </x:c>
      <x:c r="AL368" s="156" t="n">
        <x:f>IFERROR(AE368*AI368,"")</x:f>
        <x:v>0</x:v>
      </x:c>
      <x:c r="AM368" s="157" t="str">
        <x:f>IFERROR(AH368/Q368,"")</x:f>
      </x:c>
      <x:c r="AN368" s="156" t="str">
        <x:f>IFERROR(AH368/AG368,"")</x:f>
      </x:c>
      <x:c r="AO368" s="156" t="str">
        <x:f>IFERROR(AL368/AH368,"")</x:f>
      </x:c>
      <x:c r="AP368" s="157" t="str">
        <x:f>IFERROR(AG368/AE368,"")</x:f>
      </x:c>
      <x:c r="AQ368" s="157" t="str">
        <x:f>IFERROR(AN368/(R368/'Configuracion'!$B$13),"")</x:f>
      </x:c>
      <x:c r="AR368" s="156" t="n">
        <x:f>IFERROR(AE368-U368,"")</x:f>
        <x:v>0</x:v>
      </x:c>
      <x:c r="AS368" s="154"/>
      <x:c r="AT368" s="154"/>
      <x:c r="AU368" s="154"/>
      <x:c r="AV368" s="154"/>
      <x:c r="AW368" s="152"/>
      <x:c r="AX368" s="154"/>
      <x:c r="AY368" s="154"/>
      <x:c r="AZ368" s="151"/>
      <x:c r="BA368" s="151"/>
    </x:row>
    <x:row r="369">
      <x:c r="A369" s="151" t="str">
        <x:f>IF(B369="","",TEXT(B369,"yyyymmdd")&amp;"-"&amp;TEXT(COUNTIF($B$5:B369,B369),"000"))</x:f>
      </x:c>
      <x:c r="B369" s="152"/>
      <x:c r="C369" s="153"/>
      <x:c r="D369" s="151" t="str">
        <x:f>IF(B369="","",'Configuracion'!$B$4)</x:f>
      </x:c>
      <x:c r="E369" s="154"/>
      <x:c r="F369" s="154"/>
      <x:c r="G369" s="151" t="str">
        <x:f>IFERROR(VLOOKUP(F369,'Base Sectores'!$A$5:$J$47,2,FALSE),"")</x:f>
      </x:c>
      <x:c r="H369" s="151" t="str">
        <x:f>IFERROR(VLOOKUP(F369,'Base Sectores'!$A$5:$J$47,3,FALSE),"")</x:f>
      </x:c>
      <x:c r="I369" s="151" t="str">
        <x:f>IFERROR(VLOOKUP(F369,'Base Sectores'!$A$5:$J$47,4,FALSE),"")</x:f>
      </x:c>
      <x:c r="J369" s="151" t="str">
        <x:f>IFERROR(VLOOKUP(F369,'Base Sectores'!$A$5:$J$47,5,FALSE),"")</x:f>
      </x:c>
      <x:c r="K369" s="151" t="str">
        <x:f>IFERROR(VLOOKUP(F369,'Base Sectores'!$A$5:$J$47,6,FALSE),"")</x:f>
      </x:c>
      <x:c r="L369" s="151" t="str">
        <x:f>IFERROR(VLOOKUP(F369,'Base Sectores'!$A$5:$J$47,7,FALSE),"")</x:f>
      </x:c>
      <x:c r="M369" s="151" t="str">
        <x:f>IFERROR(VLOOKUP(F369,'Base Sectores'!$A$5:$J$47,9,FALSE),"")</x:f>
      </x:c>
      <x:c r="N369" s="154"/>
      <x:c r="O369" s="151" t="str">
        <x:f>IFERROR(VLOOKUP(N369,'Configuracion'!$D$4:$H$15,2,FALSE),"")</x:f>
      </x:c>
      <x:c r="P369" s="151" t="str">
        <x:f>IFERROR(VLOOKUP(N369,'Configuracion'!$D$4:$H$15,3,FALSE),"")</x:f>
      </x:c>
      <x:c r="Q369" s="155"/>
      <x:c r="R369" s="156" t="str">
        <x:f>IFERROR(VLOOKUP(N369,'Configuracion'!$D$4:$H$15,4,FALSE),"")</x:f>
      </x:c>
      <x:c r="S369" s="153"/>
      <x:c r="T369" s="153"/>
      <x:c r="U369" s="156" t="str">
        <x:f>IF(OR(S369="",T369=""),"",MOD(T369-S369,1)*24)</x:f>
      </x:c>
      <x:c r="V369" s="154"/>
      <x:c r="W369" s="154"/>
      <x:c r="X369" s="151" t="str">
        <x:f>IFERROR(VLOOKUP(N369,'Configuracion'!$D$4:$H$15,5,FALSE),"")</x:f>
      </x:c>
      <x:c r="Y369" s="151" t="str">
        <x:f>IFERROR(VLOOKUP(V369,'Cuadrillas'!$A$5:$J$14,2,FALSE),"")</x:f>
      </x:c>
      <x:c r="Z369" s="154"/>
      <x:c r="AA369" s="154"/>
      <x:c r="AB369" s="154"/>
      <x:c r="AC369" s="153"/>
      <x:c r="AD369" s="153"/>
      <x:c r="AE369" s="156" t="str">
        <x:f>IF(OR(AC369="",AD369=""),"",MOD(AD369-AC369,1)*24)</x:f>
      </x:c>
      <x:c r="AF369" s="154"/>
      <x:c r="AG369" s="156" t="str">
        <x:f>IF(AE369="","",MAX(0,AE369-IF(AF369="",0,AF369/60)))</x:f>
      </x:c>
      <x:c r="AH369" s="155"/>
      <x:c r="AI369" s="154"/>
      <x:c r="AJ369" s="154"/>
      <x:c r="AK369" s="156" t="n">
        <x:f>IFERROR(U369*W369,"")</x:f>
        <x:v>0</x:v>
      </x:c>
      <x:c r="AL369" s="156" t="n">
        <x:f>IFERROR(AE369*AI369,"")</x:f>
        <x:v>0</x:v>
      </x:c>
      <x:c r="AM369" s="157" t="str">
        <x:f>IFERROR(AH369/Q369,"")</x:f>
      </x:c>
      <x:c r="AN369" s="156" t="str">
        <x:f>IFERROR(AH369/AG369,"")</x:f>
      </x:c>
      <x:c r="AO369" s="156" t="str">
        <x:f>IFERROR(AL369/AH369,"")</x:f>
      </x:c>
      <x:c r="AP369" s="157" t="str">
        <x:f>IFERROR(AG369/AE369,"")</x:f>
      </x:c>
      <x:c r="AQ369" s="157" t="str">
        <x:f>IFERROR(AN369/(R369/'Configuracion'!$B$13),"")</x:f>
      </x:c>
      <x:c r="AR369" s="156" t="n">
        <x:f>IFERROR(AE369-U369,"")</x:f>
        <x:v>0</x:v>
      </x:c>
      <x:c r="AS369" s="154"/>
      <x:c r="AT369" s="154"/>
      <x:c r="AU369" s="154"/>
      <x:c r="AV369" s="154"/>
      <x:c r="AW369" s="152"/>
      <x:c r="AX369" s="154"/>
      <x:c r="AY369" s="154"/>
      <x:c r="AZ369" s="151"/>
      <x:c r="BA369" s="151"/>
    </x:row>
    <x:row r="370">
      <x:c r="A370" s="151" t="str">
        <x:f>IF(B370="","",TEXT(B370,"yyyymmdd")&amp;"-"&amp;TEXT(COUNTIF($B$5:B370,B370),"000"))</x:f>
      </x:c>
      <x:c r="B370" s="152"/>
      <x:c r="C370" s="153"/>
      <x:c r="D370" s="151" t="str">
        <x:f>IF(B370="","",'Configuracion'!$B$4)</x:f>
      </x:c>
      <x:c r="E370" s="154"/>
      <x:c r="F370" s="154"/>
      <x:c r="G370" s="151" t="str">
        <x:f>IFERROR(VLOOKUP(F370,'Base Sectores'!$A$5:$J$47,2,FALSE),"")</x:f>
      </x:c>
      <x:c r="H370" s="151" t="str">
        <x:f>IFERROR(VLOOKUP(F370,'Base Sectores'!$A$5:$J$47,3,FALSE),"")</x:f>
      </x:c>
      <x:c r="I370" s="151" t="str">
        <x:f>IFERROR(VLOOKUP(F370,'Base Sectores'!$A$5:$J$47,4,FALSE),"")</x:f>
      </x:c>
      <x:c r="J370" s="151" t="str">
        <x:f>IFERROR(VLOOKUP(F370,'Base Sectores'!$A$5:$J$47,5,FALSE),"")</x:f>
      </x:c>
      <x:c r="K370" s="151" t="str">
        <x:f>IFERROR(VLOOKUP(F370,'Base Sectores'!$A$5:$J$47,6,FALSE),"")</x:f>
      </x:c>
      <x:c r="L370" s="151" t="str">
        <x:f>IFERROR(VLOOKUP(F370,'Base Sectores'!$A$5:$J$47,7,FALSE),"")</x:f>
      </x:c>
      <x:c r="M370" s="151" t="str">
        <x:f>IFERROR(VLOOKUP(F370,'Base Sectores'!$A$5:$J$47,9,FALSE),"")</x:f>
      </x:c>
      <x:c r="N370" s="154"/>
      <x:c r="O370" s="151" t="str">
        <x:f>IFERROR(VLOOKUP(N370,'Configuracion'!$D$4:$H$15,2,FALSE),"")</x:f>
      </x:c>
      <x:c r="P370" s="151" t="str">
        <x:f>IFERROR(VLOOKUP(N370,'Configuracion'!$D$4:$H$15,3,FALSE),"")</x:f>
      </x:c>
      <x:c r="Q370" s="155"/>
      <x:c r="R370" s="156" t="str">
        <x:f>IFERROR(VLOOKUP(N370,'Configuracion'!$D$4:$H$15,4,FALSE),"")</x:f>
      </x:c>
      <x:c r="S370" s="153"/>
      <x:c r="T370" s="153"/>
      <x:c r="U370" s="156" t="str">
        <x:f>IF(OR(S370="",T370=""),"",MOD(T370-S370,1)*24)</x:f>
      </x:c>
      <x:c r="V370" s="154"/>
      <x:c r="W370" s="154"/>
      <x:c r="X370" s="151" t="str">
        <x:f>IFERROR(VLOOKUP(N370,'Configuracion'!$D$4:$H$15,5,FALSE),"")</x:f>
      </x:c>
      <x:c r="Y370" s="151" t="str">
        <x:f>IFERROR(VLOOKUP(V370,'Cuadrillas'!$A$5:$J$14,2,FALSE),"")</x:f>
      </x:c>
      <x:c r="Z370" s="154"/>
      <x:c r="AA370" s="154"/>
      <x:c r="AB370" s="154"/>
      <x:c r="AC370" s="153"/>
      <x:c r="AD370" s="153"/>
      <x:c r="AE370" s="156" t="str">
        <x:f>IF(OR(AC370="",AD370=""),"",MOD(AD370-AC370,1)*24)</x:f>
      </x:c>
      <x:c r="AF370" s="154"/>
      <x:c r="AG370" s="156" t="str">
        <x:f>IF(AE370="","",MAX(0,AE370-IF(AF370="",0,AF370/60)))</x:f>
      </x:c>
      <x:c r="AH370" s="155"/>
      <x:c r="AI370" s="154"/>
      <x:c r="AJ370" s="154"/>
      <x:c r="AK370" s="156" t="n">
        <x:f>IFERROR(U370*W370,"")</x:f>
        <x:v>0</x:v>
      </x:c>
      <x:c r="AL370" s="156" t="n">
        <x:f>IFERROR(AE370*AI370,"")</x:f>
        <x:v>0</x:v>
      </x:c>
      <x:c r="AM370" s="157" t="str">
        <x:f>IFERROR(AH370/Q370,"")</x:f>
      </x:c>
      <x:c r="AN370" s="156" t="str">
        <x:f>IFERROR(AH370/AG370,"")</x:f>
      </x:c>
      <x:c r="AO370" s="156" t="str">
        <x:f>IFERROR(AL370/AH370,"")</x:f>
      </x:c>
      <x:c r="AP370" s="157" t="str">
        <x:f>IFERROR(AG370/AE370,"")</x:f>
      </x:c>
      <x:c r="AQ370" s="157" t="str">
        <x:f>IFERROR(AN370/(R370/'Configuracion'!$B$13),"")</x:f>
      </x:c>
      <x:c r="AR370" s="156" t="n">
        <x:f>IFERROR(AE370-U370,"")</x:f>
        <x:v>0</x:v>
      </x:c>
      <x:c r="AS370" s="154"/>
      <x:c r="AT370" s="154"/>
      <x:c r="AU370" s="154"/>
      <x:c r="AV370" s="154"/>
      <x:c r="AW370" s="152"/>
      <x:c r="AX370" s="154"/>
      <x:c r="AY370" s="154"/>
      <x:c r="AZ370" s="151"/>
      <x:c r="BA370" s="151"/>
    </x:row>
    <x:row r="371">
      <x:c r="A371" s="151" t="str">
        <x:f>IF(B371="","",TEXT(B371,"yyyymmdd")&amp;"-"&amp;TEXT(COUNTIF($B$5:B371,B371),"000"))</x:f>
      </x:c>
      <x:c r="B371" s="152"/>
      <x:c r="C371" s="153"/>
      <x:c r="D371" s="151" t="str">
        <x:f>IF(B371="","",'Configuracion'!$B$4)</x:f>
      </x:c>
      <x:c r="E371" s="154"/>
      <x:c r="F371" s="154"/>
      <x:c r="G371" s="151" t="str">
        <x:f>IFERROR(VLOOKUP(F371,'Base Sectores'!$A$5:$J$47,2,FALSE),"")</x:f>
      </x:c>
      <x:c r="H371" s="151" t="str">
        <x:f>IFERROR(VLOOKUP(F371,'Base Sectores'!$A$5:$J$47,3,FALSE),"")</x:f>
      </x:c>
      <x:c r="I371" s="151" t="str">
        <x:f>IFERROR(VLOOKUP(F371,'Base Sectores'!$A$5:$J$47,4,FALSE),"")</x:f>
      </x:c>
      <x:c r="J371" s="151" t="str">
        <x:f>IFERROR(VLOOKUP(F371,'Base Sectores'!$A$5:$J$47,5,FALSE),"")</x:f>
      </x:c>
      <x:c r="K371" s="151" t="str">
        <x:f>IFERROR(VLOOKUP(F371,'Base Sectores'!$A$5:$J$47,6,FALSE),"")</x:f>
      </x:c>
      <x:c r="L371" s="151" t="str">
        <x:f>IFERROR(VLOOKUP(F371,'Base Sectores'!$A$5:$J$47,7,FALSE),"")</x:f>
      </x:c>
      <x:c r="M371" s="151" t="str">
        <x:f>IFERROR(VLOOKUP(F371,'Base Sectores'!$A$5:$J$47,9,FALSE),"")</x:f>
      </x:c>
      <x:c r="N371" s="154"/>
      <x:c r="O371" s="151" t="str">
        <x:f>IFERROR(VLOOKUP(N371,'Configuracion'!$D$4:$H$15,2,FALSE),"")</x:f>
      </x:c>
      <x:c r="P371" s="151" t="str">
        <x:f>IFERROR(VLOOKUP(N371,'Configuracion'!$D$4:$H$15,3,FALSE),"")</x:f>
      </x:c>
      <x:c r="Q371" s="155"/>
      <x:c r="R371" s="156" t="str">
        <x:f>IFERROR(VLOOKUP(N371,'Configuracion'!$D$4:$H$15,4,FALSE),"")</x:f>
      </x:c>
      <x:c r="S371" s="153"/>
      <x:c r="T371" s="153"/>
      <x:c r="U371" s="156" t="str">
        <x:f>IF(OR(S371="",T371=""),"",MOD(T371-S371,1)*24)</x:f>
      </x:c>
      <x:c r="V371" s="154"/>
      <x:c r="W371" s="154"/>
      <x:c r="X371" s="151" t="str">
        <x:f>IFERROR(VLOOKUP(N371,'Configuracion'!$D$4:$H$15,5,FALSE),"")</x:f>
      </x:c>
      <x:c r="Y371" s="151" t="str">
        <x:f>IFERROR(VLOOKUP(V371,'Cuadrillas'!$A$5:$J$14,2,FALSE),"")</x:f>
      </x:c>
      <x:c r="Z371" s="154"/>
      <x:c r="AA371" s="154"/>
      <x:c r="AB371" s="154"/>
      <x:c r="AC371" s="153"/>
      <x:c r="AD371" s="153"/>
      <x:c r="AE371" s="156" t="str">
        <x:f>IF(OR(AC371="",AD371=""),"",MOD(AD371-AC371,1)*24)</x:f>
      </x:c>
      <x:c r="AF371" s="154"/>
      <x:c r="AG371" s="156" t="str">
        <x:f>IF(AE371="","",MAX(0,AE371-IF(AF371="",0,AF371/60)))</x:f>
      </x:c>
      <x:c r="AH371" s="155"/>
      <x:c r="AI371" s="154"/>
      <x:c r="AJ371" s="154"/>
      <x:c r="AK371" s="156" t="n">
        <x:f>IFERROR(U371*W371,"")</x:f>
        <x:v>0</x:v>
      </x:c>
      <x:c r="AL371" s="156" t="n">
        <x:f>IFERROR(AE371*AI371,"")</x:f>
        <x:v>0</x:v>
      </x:c>
      <x:c r="AM371" s="157" t="str">
        <x:f>IFERROR(AH371/Q371,"")</x:f>
      </x:c>
      <x:c r="AN371" s="156" t="str">
        <x:f>IFERROR(AH371/AG371,"")</x:f>
      </x:c>
      <x:c r="AO371" s="156" t="str">
        <x:f>IFERROR(AL371/AH371,"")</x:f>
      </x:c>
      <x:c r="AP371" s="157" t="str">
        <x:f>IFERROR(AG371/AE371,"")</x:f>
      </x:c>
      <x:c r="AQ371" s="157" t="str">
        <x:f>IFERROR(AN371/(R371/'Configuracion'!$B$13),"")</x:f>
      </x:c>
      <x:c r="AR371" s="156" t="n">
        <x:f>IFERROR(AE371-U371,"")</x:f>
        <x:v>0</x:v>
      </x:c>
      <x:c r="AS371" s="154"/>
      <x:c r="AT371" s="154"/>
      <x:c r="AU371" s="154"/>
      <x:c r="AV371" s="154"/>
      <x:c r="AW371" s="152"/>
      <x:c r="AX371" s="154"/>
      <x:c r="AY371" s="154"/>
      <x:c r="AZ371" s="151"/>
      <x:c r="BA371" s="151"/>
    </x:row>
    <x:row r="372">
      <x:c r="A372" s="151" t="str">
        <x:f>IF(B372="","",TEXT(B372,"yyyymmdd")&amp;"-"&amp;TEXT(COUNTIF($B$5:B372,B372),"000"))</x:f>
      </x:c>
      <x:c r="B372" s="152"/>
      <x:c r="C372" s="153"/>
      <x:c r="D372" s="151" t="str">
        <x:f>IF(B372="","",'Configuracion'!$B$4)</x:f>
      </x:c>
      <x:c r="E372" s="154"/>
      <x:c r="F372" s="154"/>
      <x:c r="G372" s="151" t="str">
        <x:f>IFERROR(VLOOKUP(F372,'Base Sectores'!$A$5:$J$47,2,FALSE),"")</x:f>
      </x:c>
      <x:c r="H372" s="151" t="str">
        <x:f>IFERROR(VLOOKUP(F372,'Base Sectores'!$A$5:$J$47,3,FALSE),"")</x:f>
      </x:c>
      <x:c r="I372" s="151" t="str">
        <x:f>IFERROR(VLOOKUP(F372,'Base Sectores'!$A$5:$J$47,4,FALSE),"")</x:f>
      </x:c>
      <x:c r="J372" s="151" t="str">
        <x:f>IFERROR(VLOOKUP(F372,'Base Sectores'!$A$5:$J$47,5,FALSE),"")</x:f>
      </x:c>
      <x:c r="K372" s="151" t="str">
        <x:f>IFERROR(VLOOKUP(F372,'Base Sectores'!$A$5:$J$47,6,FALSE),"")</x:f>
      </x:c>
      <x:c r="L372" s="151" t="str">
        <x:f>IFERROR(VLOOKUP(F372,'Base Sectores'!$A$5:$J$47,7,FALSE),"")</x:f>
      </x:c>
      <x:c r="M372" s="151" t="str">
        <x:f>IFERROR(VLOOKUP(F372,'Base Sectores'!$A$5:$J$47,9,FALSE),"")</x:f>
      </x:c>
      <x:c r="N372" s="154"/>
      <x:c r="O372" s="151" t="str">
        <x:f>IFERROR(VLOOKUP(N372,'Configuracion'!$D$4:$H$15,2,FALSE),"")</x:f>
      </x:c>
      <x:c r="P372" s="151" t="str">
        <x:f>IFERROR(VLOOKUP(N372,'Configuracion'!$D$4:$H$15,3,FALSE),"")</x:f>
      </x:c>
      <x:c r="Q372" s="155"/>
      <x:c r="R372" s="156" t="str">
        <x:f>IFERROR(VLOOKUP(N372,'Configuracion'!$D$4:$H$15,4,FALSE),"")</x:f>
      </x:c>
      <x:c r="S372" s="153"/>
      <x:c r="T372" s="153"/>
      <x:c r="U372" s="156" t="str">
        <x:f>IF(OR(S372="",T372=""),"",MOD(T372-S372,1)*24)</x:f>
      </x:c>
      <x:c r="V372" s="154"/>
      <x:c r="W372" s="154"/>
      <x:c r="X372" s="151" t="str">
        <x:f>IFERROR(VLOOKUP(N372,'Configuracion'!$D$4:$H$15,5,FALSE),"")</x:f>
      </x:c>
      <x:c r="Y372" s="151" t="str">
        <x:f>IFERROR(VLOOKUP(V372,'Cuadrillas'!$A$5:$J$14,2,FALSE),"")</x:f>
      </x:c>
      <x:c r="Z372" s="154"/>
      <x:c r="AA372" s="154"/>
      <x:c r="AB372" s="154"/>
      <x:c r="AC372" s="153"/>
      <x:c r="AD372" s="153"/>
      <x:c r="AE372" s="156" t="str">
        <x:f>IF(OR(AC372="",AD372=""),"",MOD(AD372-AC372,1)*24)</x:f>
      </x:c>
      <x:c r="AF372" s="154"/>
      <x:c r="AG372" s="156" t="str">
        <x:f>IF(AE372="","",MAX(0,AE372-IF(AF372="",0,AF372/60)))</x:f>
      </x:c>
      <x:c r="AH372" s="155"/>
      <x:c r="AI372" s="154"/>
      <x:c r="AJ372" s="154"/>
      <x:c r="AK372" s="156" t="n">
        <x:f>IFERROR(U372*W372,"")</x:f>
        <x:v>0</x:v>
      </x:c>
      <x:c r="AL372" s="156" t="n">
        <x:f>IFERROR(AE372*AI372,"")</x:f>
        <x:v>0</x:v>
      </x:c>
      <x:c r="AM372" s="157" t="str">
        <x:f>IFERROR(AH372/Q372,"")</x:f>
      </x:c>
      <x:c r="AN372" s="156" t="str">
        <x:f>IFERROR(AH372/AG372,"")</x:f>
      </x:c>
      <x:c r="AO372" s="156" t="str">
        <x:f>IFERROR(AL372/AH372,"")</x:f>
      </x:c>
      <x:c r="AP372" s="157" t="str">
        <x:f>IFERROR(AG372/AE372,"")</x:f>
      </x:c>
      <x:c r="AQ372" s="157" t="str">
        <x:f>IFERROR(AN372/(R372/'Configuracion'!$B$13),"")</x:f>
      </x:c>
      <x:c r="AR372" s="156" t="n">
        <x:f>IFERROR(AE372-U372,"")</x:f>
        <x:v>0</x:v>
      </x:c>
      <x:c r="AS372" s="154"/>
      <x:c r="AT372" s="154"/>
      <x:c r="AU372" s="154"/>
      <x:c r="AV372" s="154"/>
      <x:c r="AW372" s="152"/>
      <x:c r="AX372" s="154"/>
      <x:c r="AY372" s="154"/>
      <x:c r="AZ372" s="151"/>
      <x:c r="BA372" s="151"/>
    </x:row>
    <x:row r="373">
      <x:c r="A373" s="151" t="str">
        <x:f>IF(B373="","",TEXT(B373,"yyyymmdd")&amp;"-"&amp;TEXT(COUNTIF($B$5:B373,B373),"000"))</x:f>
      </x:c>
      <x:c r="B373" s="152"/>
      <x:c r="C373" s="153"/>
      <x:c r="D373" s="151" t="str">
        <x:f>IF(B373="","",'Configuracion'!$B$4)</x:f>
      </x:c>
      <x:c r="E373" s="154"/>
      <x:c r="F373" s="154"/>
      <x:c r="G373" s="151" t="str">
        <x:f>IFERROR(VLOOKUP(F373,'Base Sectores'!$A$5:$J$47,2,FALSE),"")</x:f>
      </x:c>
      <x:c r="H373" s="151" t="str">
        <x:f>IFERROR(VLOOKUP(F373,'Base Sectores'!$A$5:$J$47,3,FALSE),"")</x:f>
      </x:c>
      <x:c r="I373" s="151" t="str">
        <x:f>IFERROR(VLOOKUP(F373,'Base Sectores'!$A$5:$J$47,4,FALSE),"")</x:f>
      </x:c>
      <x:c r="J373" s="151" t="str">
        <x:f>IFERROR(VLOOKUP(F373,'Base Sectores'!$A$5:$J$47,5,FALSE),"")</x:f>
      </x:c>
      <x:c r="K373" s="151" t="str">
        <x:f>IFERROR(VLOOKUP(F373,'Base Sectores'!$A$5:$J$47,6,FALSE),"")</x:f>
      </x:c>
      <x:c r="L373" s="151" t="str">
        <x:f>IFERROR(VLOOKUP(F373,'Base Sectores'!$A$5:$J$47,7,FALSE),"")</x:f>
      </x:c>
      <x:c r="M373" s="151" t="str">
        <x:f>IFERROR(VLOOKUP(F373,'Base Sectores'!$A$5:$J$47,9,FALSE),"")</x:f>
      </x:c>
      <x:c r="N373" s="154"/>
      <x:c r="O373" s="151" t="str">
        <x:f>IFERROR(VLOOKUP(N373,'Configuracion'!$D$4:$H$15,2,FALSE),"")</x:f>
      </x:c>
      <x:c r="P373" s="151" t="str">
        <x:f>IFERROR(VLOOKUP(N373,'Configuracion'!$D$4:$H$15,3,FALSE),"")</x:f>
      </x:c>
      <x:c r="Q373" s="155"/>
      <x:c r="R373" s="156" t="str">
        <x:f>IFERROR(VLOOKUP(N373,'Configuracion'!$D$4:$H$15,4,FALSE),"")</x:f>
      </x:c>
      <x:c r="S373" s="153"/>
      <x:c r="T373" s="153"/>
      <x:c r="U373" s="156" t="str">
        <x:f>IF(OR(S373="",T373=""),"",MOD(T373-S373,1)*24)</x:f>
      </x:c>
      <x:c r="V373" s="154"/>
      <x:c r="W373" s="154"/>
      <x:c r="X373" s="151" t="str">
        <x:f>IFERROR(VLOOKUP(N373,'Configuracion'!$D$4:$H$15,5,FALSE),"")</x:f>
      </x:c>
      <x:c r="Y373" s="151" t="str">
        <x:f>IFERROR(VLOOKUP(V373,'Cuadrillas'!$A$5:$J$14,2,FALSE),"")</x:f>
      </x:c>
      <x:c r="Z373" s="154"/>
      <x:c r="AA373" s="154"/>
      <x:c r="AB373" s="154"/>
      <x:c r="AC373" s="153"/>
      <x:c r="AD373" s="153"/>
      <x:c r="AE373" s="156" t="str">
        <x:f>IF(OR(AC373="",AD373=""),"",MOD(AD373-AC373,1)*24)</x:f>
      </x:c>
      <x:c r="AF373" s="154"/>
      <x:c r="AG373" s="156" t="str">
        <x:f>IF(AE373="","",MAX(0,AE373-IF(AF373="",0,AF373/60)))</x:f>
      </x:c>
      <x:c r="AH373" s="155"/>
      <x:c r="AI373" s="154"/>
      <x:c r="AJ373" s="154"/>
      <x:c r="AK373" s="156" t="n">
        <x:f>IFERROR(U373*W373,"")</x:f>
        <x:v>0</x:v>
      </x:c>
      <x:c r="AL373" s="156" t="n">
        <x:f>IFERROR(AE373*AI373,"")</x:f>
        <x:v>0</x:v>
      </x:c>
      <x:c r="AM373" s="157" t="str">
        <x:f>IFERROR(AH373/Q373,"")</x:f>
      </x:c>
      <x:c r="AN373" s="156" t="str">
        <x:f>IFERROR(AH373/AG373,"")</x:f>
      </x:c>
      <x:c r="AO373" s="156" t="str">
        <x:f>IFERROR(AL373/AH373,"")</x:f>
      </x:c>
      <x:c r="AP373" s="157" t="str">
        <x:f>IFERROR(AG373/AE373,"")</x:f>
      </x:c>
      <x:c r="AQ373" s="157" t="str">
        <x:f>IFERROR(AN373/(R373/'Configuracion'!$B$13),"")</x:f>
      </x:c>
      <x:c r="AR373" s="156" t="n">
        <x:f>IFERROR(AE373-U373,"")</x:f>
        <x:v>0</x:v>
      </x:c>
      <x:c r="AS373" s="154"/>
      <x:c r="AT373" s="154"/>
      <x:c r="AU373" s="154"/>
      <x:c r="AV373" s="154"/>
      <x:c r="AW373" s="152"/>
      <x:c r="AX373" s="154"/>
      <x:c r="AY373" s="154"/>
      <x:c r="AZ373" s="151"/>
      <x:c r="BA373" s="151"/>
    </x:row>
    <x:row r="374">
      <x:c r="A374" s="151" t="str">
        <x:f>IF(B374="","",TEXT(B374,"yyyymmdd")&amp;"-"&amp;TEXT(COUNTIF($B$5:B374,B374),"000"))</x:f>
      </x:c>
      <x:c r="B374" s="152"/>
      <x:c r="C374" s="153"/>
      <x:c r="D374" s="151" t="str">
        <x:f>IF(B374="","",'Configuracion'!$B$4)</x:f>
      </x:c>
      <x:c r="E374" s="154"/>
      <x:c r="F374" s="154"/>
      <x:c r="G374" s="151" t="str">
        <x:f>IFERROR(VLOOKUP(F374,'Base Sectores'!$A$5:$J$47,2,FALSE),"")</x:f>
      </x:c>
      <x:c r="H374" s="151" t="str">
        <x:f>IFERROR(VLOOKUP(F374,'Base Sectores'!$A$5:$J$47,3,FALSE),"")</x:f>
      </x:c>
      <x:c r="I374" s="151" t="str">
        <x:f>IFERROR(VLOOKUP(F374,'Base Sectores'!$A$5:$J$47,4,FALSE),"")</x:f>
      </x:c>
      <x:c r="J374" s="151" t="str">
        <x:f>IFERROR(VLOOKUP(F374,'Base Sectores'!$A$5:$J$47,5,FALSE),"")</x:f>
      </x:c>
      <x:c r="K374" s="151" t="str">
        <x:f>IFERROR(VLOOKUP(F374,'Base Sectores'!$A$5:$J$47,6,FALSE),"")</x:f>
      </x:c>
      <x:c r="L374" s="151" t="str">
        <x:f>IFERROR(VLOOKUP(F374,'Base Sectores'!$A$5:$J$47,7,FALSE),"")</x:f>
      </x:c>
      <x:c r="M374" s="151" t="str">
        <x:f>IFERROR(VLOOKUP(F374,'Base Sectores'!$A$5:$J$47,9,FALSE),"")</x:f>
      </x:c>
      <x:c r="N374" s="154"/>
      <x:c r="O374" s="151" t="str">
        <x:f>IFERROR(VLOOKUP(N374,'Configuracion'!$D$4:$H$15,2,FALSE),"")</x:f>
      </x:c>
      <x:c r="P374" s="151" t="str">
        <x:f>IFERROR(VLOOKUP(N374,'Configuracion'!$D$4:$H$15,3,FALSE),"")</x:f>
      </x:c>
      <x:c r="Q374" s="155"/>
      <x:c r="R374" s="156" t="str">
        <x:f>IFERROR(VLOOKUP(N374,'Configuracion'!$D$4:$H$15,4,FALSE),"")</x:f>
      </x:c>
      <x:c r="S374" s="153"/>
      <x:c r="T374" s="153"/>
      <x:c r="U374" s="156" t="str">
        <x:f>IF(OR(S374="",T374=""),"",MOD(T374-S374,1)*24)</x:f>
      </x:c>
      <x:c r="V374" s="154"/>
      <x:c r="W374" s="154"/>
      <x:c r="X374" s="151" t="str">
        <x:f>IFERROR(VLOOKUP(N374,'Configuracion'!$D$4:$H$15,5,FALSE),"")</x:f>
      </x:c>
      <x:c r="Y374" s="151" t="str">
        <x:f>IFERROR(VLOOKUP(V374,'Cuadrillas'!$A$5:$J$14,2,FALSE),"")</x:f>
      </x:c>
      <x:c r="Z374" s="154"/>
      <x:c r="AA374" s="154"/>
      <x:c r="AB374" s="154"/>
      <x:c r="AC374" s="153"/>
      <x:c r="AD374" s="153"/>
      <x:c r="AE374" s="156" t="str">
        <x:f>IF(OR(AC374="",AD374=""),"",MOD(AD374-AC374,1)*24)</x:f>
      </x:c>
      <x:c r="AF374" s="154"/>
      <x:c r="AG374" s="156" t="str">
        <x:f>IF(AE374="","",MAX(0,AE374-IF(AF374="",0,AF374/60)))</x:f>
      </x:c>
      <x:c r="AH374" s="155"/>
      <x:c r="AI374" s="154"/>
      <x:c r="AJ374" s="154"/>
      <x:c r="AK374" s="156" t="n">
        <x:f>IFERROR(U374*W374,"")</x:f>
        <x:v>0</x:v>
      </x:c>
      <x:c r="AL374" s="156" t="n">
        <x:f>IFERROR(AE374*AI374,"")</x:f>
        <x:v>0</x:v>
      </x:c>
      <x:c r="AM374" s="157" t="str">
        <x:f>IFERROR(AH374/Q374,"")</x:f>
      </x:c>
      <x:c r="AN374" s="156" t="str">
        <x:f>IFERROR(AH374/AG374,"")</x:f>
      </x:c>
      <x:c r="AO374" s="156" t="str">
        <x:f>IFERROR(AL374/AH374,"")</x:f>
      </x:c>
      <x:c r="AP374" s="157" t="str">
        <x:f>IFERROR(AG374/AE374,"")</x:f>
      </x:c>
      <x:c r="AQ374" s="157" t="str">
        <x:f>IFERROR(AN374/(R374/'Configuracion'!$B$13),"")</x:f>
      </x:c>
      <x:c r="AR374" s="156" t="n">
        <x:f>IFERROR(AE374-U374,"")</x:f>
        <x:v>0</x:v>
      </x:c>
      <x:c r="AS374" s="154"/>
      <x:c r="AT374" s="154"/>
      <x:c r="AU374" s="154"/>
      <x:c r="AV374" s="154"/>
      <x:c r="AW374" s="152"/>
      <x:c r="AX374" s="154"/>
      <x:c r="AY374" s="154"/>
      <x:c r="AZ374" s="151"/>
      <x:c r="BA374" s="151"/>
    </x:row>
    <x:row r="375">
      <x:c r="A375" s="151" t="str">
        <x:f>IF(B375="","",TEXT(B375,"yyyymmdd")&amp;"-"&amp;TEXT(COUNTIF($B$5:B375,B375),"000"))</x:f>
      </x:c>
      <x:c r="B375" s="152"/>
      <x:c r="C375" s="153"/>
      <x:c r="D375" s="151" t="str">
        <x:f>IF(B375="","",'Configuracion'!$B$4)</x:f>
      </x:c>
      <x:c r="E375" s="154"/>
      <x:c r="F375" s="154"/>
      <x:c r="G375" s="151" t="str">
        <x:f>IFERROR(VLOOKUP(F375,'Base Sectores'!$A$5:$J$47,2,FALSE),"")</x:f>
      </x:c>
      <x:c r="H375" s="151" t="str">
        <x:f>IFERROR(VLOOKUP(F375,'Base Sectores'!$A$5:$J$47,3,FALSE),"")</x:f>
      </x:c>
      <x:c r="I375" s="151" t="str">
        <x:f>IFERROR(VLOOKUP(F375,'Base Sectores'!$A$5:$J$47,4,FALSE),"")</x:f>
      </x:c>
      <x:c r="J375" s="151" t="str">
        <x:f>IFERROR(VLOOKUP(F375,'Base Sectores'!$A$5:$J$47,5,FALSE),"")</x:f>
      </x:c>
      <x:c r="K375" s="151" t="str">
        <x:f>IFERROR(VLOOKUP(F375,'Base Sectores'!$A$5:$J$47,6,FALSE),"")</x:f>
      </x:c>
      <x:c r="L375" s="151" t="str">
        <x:f>IFERROR(VLOOKUP(F375,'Base Sectores'!$A$5:$J$47,7,FALSE),"")</x:f>
      </x:c>
      <x:c r="M375" s="151" t="str">
        <x:f>IFERROR(VLOOKUP(F375,'Base Sectores'!$A$5:$J$47,9,FALSE),"")</x:f>
      </x:c>
      <x:c r="N375" s="154"/>
      <x:c r="O375" s="151" t="str">
        <x:f>IFERROR(VLOOKUP(N375,'Configuracion'!$D$4:$H$15,2,FALSE),"")</x:f>
      </x:c>
      <x:c r="P375" s="151" t="str">
        <x:f>IFERROR(VLOOKUP(N375,'Configuracion'!$D$4:$H$15,3,FALSE),"")</x:f>
      </x:c>
      <x:c r="Q375" s="155"/>
      <x:c r="R375" s="156" t="str">
        <x:f>IFERROR(VLOOKUP(N375,'Configuracion'!$D$4:$H$15,4,FALSE),"")</x:f>
      </x:c>
      <x:c r="S375" s="153"/>
      <x:c r="T375" s="153"/>
      <x:c r="U375" s="156" t="str">
        <x:f>IF(OR(S375="",T375=""),"",MOD(T375-S375,1)*24)</x:f>
      </x:c>
      <x:c r="V375" s="154"/>
      <x:c r="W375" s="154"/>
      <x:c r="X375" s="151" t="str">
        <x:f>IFERROR(VLOOKUP(N375,'Configuracion'!$D$4:$H$15,5,FALSE),"")</x:f>
      </x:c>
      <x:c r="Y375" s="151" t="str">
        <x:f>IFERROR(VLOOKUP(V375,'Cuadrillas'!$A$5:$J$14,2,FALSE),"")</x:f>
      </x:c>
      <x:c r="Z375" s="154"/>
      <x:c r="AA375" s="154"/>
      <x:c r="AB375" s="154"/>
      <x:c r="AC375" s="153"/>
      <x:c r="AD375" s="153"/>
      <x:c r="AE375" s="156" t="str">
        <x:f>IF(OR(AC375="",AD375=""),"",MOD(AD375-AC375,1)*24)</x:f>
      </x:c>
      <x:c r="AF375" s="154"/>
      <x:c r="AG375" s="156" t="str">
        <x:f>IF(AE375="","",MAX(0,AE375-IF(AF375="",0,AF375/60)))</x:f>
      </x:c>
      <x:c r="AH375" s="155"/>
      <x:c r="AI375" s="154"/>
      <x:c r="AJ375" s="154"/>
      <x:c r="AK375" s="156" t="n">
        <x:f>IFERROR(U375*W375,"")</x:f>
        <x:v>0</x:v>
      </x:c>
      <x:c r="AL375" s="156" t="n">
        <x:f>IFERROR(AE375*AI375,"")</x:f>
        <x:v>0</x:v>
      </x:c>
      <x:c r="AM375" s="157" t="str">
        <x:f>IFERROR(AH375/Q375,"")</x:f>
      </x:c>
      <x:c r="AN375" s="156" t="str">
        <x:f>IFERROR(AH375/AG375,"")</x:f>
      </x:c>
      <x:c r="AO375" s="156" t="str">
        <x:f>IFERROR(AL375/AH375,"")</x:f>
      </x:c>
      <x:c r="AP375" s="157" t="str">
        <x:f>IFERROR(AG375/AE375,"")</x:f>
      </x:c>
      <x:c r="AQ375" s="157" t="str">
        <x:f>IFERROR(AN375/(R375/'Configuracion'!$B$13),"")</x:f>
      </x:c>
      <x:c r="AR375" s="156" t="n">
        <x:f>IFERROR(AE375-U375,"")</x:f>
        <x:v>0</x:v>
      </x:c>
      <x:c r="AS375" s="154"/>
      <x:c r="AT375" s="154"/>
      <x:c r="AU375" s="154"/>
      <x:c r="AV375" s="154"/>
      <x:c r="AW375" s="152"/>
      <x:c r="AX375" s="154"/>
      <x:c r="AY375" s="154"/>
      <x:c r="AZ375" s="151"/>
      <x:c r="BA375" s="151"/>
    </x:row>
    <x:row r="376">
      <x:c r="A376" s="151" t="str">
        <x:f>IF(B376="","",TEXT(B376,"yyyymmdd")&amp;"-"&amp;TEXT(COUNTIF($B$5:B376,B376),"000"))</x:f>
      </x:c>
      <x:c r="B376" s="152"/>
      <x:c r="C376" s="153"/>
      <x:c r="D376" s="151" t="str">
        <x:f>IF(B376="","",'Configuracion'!$B$4)</x:f>
      </x:c>
      <x:c r="E376" s="154"/>
      <x:c r="F376" s="154"/>
      <x:c r="G376" s="151" t="str">
        <x:f>IFERROR(VLOOKUP(F376,'Base Sectores'!$A$5:$J$47,2,FALSE),"")</x:f>
      </x:c>
      <x:c r="H376" s="151" t="str">
        <x:f>IFERROR(VLOOKUP(F376,'Base Sectores'!$A$5:$J$47,3,FALSE),"")</x:f>
      </x:c>
      <x:c r="I376" s="151" t="str">
        <x:f>IFERROR(VLOOKUP(F376,'Base Sectores'!$A$5:$J$47,4,FALSE),"")</x:f>
      </x:c>
      <x:c r="J376" s="151" t="str">
        <x:f>IFERROR(VLOOKUP(F376,'Base Sectores'!$A$5:$J$47,5,FALSE),"")</x:f>
      </x:c>
      <x:c r="K376" s="151" t="str">
        <x:f>IFERROR(VLOOKUP(F376,'Base Sectores'!$A$5:$J$47,6,FALSE),"")</x:f>
      </x:c>
      <x:c r="L376" s="151" t="str">
        <x:f>IFERROR(VLOOKUP(F376,'Base Sectores'!$A$5:$J$47,7,FALSE),"")</x:f>
      </x:c>
      <x:c r="M376" s="151" t="str">
        <x:f>IFERROR(VLOOKUP(F376,'Base Sectores'!$A$5:$J$47,9,FALSE),"")</x:f>
      </x:c>
      <x:c r="N376" s="154"/>
      <x:c r="O376" s="151" t="str">
        <x:f>IFERROR(VLOOKUP(N376,'Configuracion'!$D$4:$H$15,2,FALSE),"")</x:f>
      </x:c>
      <x:c r="P376" s="151" t="str">
        <x:f>IFERROR(VLOOKUP(N376,'Configuracion'!$D$4:$H$15,3,FALSE),"")</x:f>
      </x:c>
      <x:c r="Q376" s="155"/>
      <x:c r="R376" s="156" t="str">
        <x:f>IFERROR(VLOOKUP(N376,'Configuracion'!$D$4:$H$15,4,FALSE),"")</x:f>
      </x:c>
      <x:c r="S376" s="153"/>
      <x:c r="T376" s="153"/>
      <x:c r="U376" s="156" t="str">
        <x:f>IF(OR(S376="",T376=""),"",MOD(T376-S376,1)*24)</x:f>
      </x:c>
      <x:c r="V376" s="154"/>
      <x:c r="W376" s="154"/>
      <x:c r="X376" s="151" t="str">
        <x:f>IFERROR(VLOOKUP(N376,'Configuracion'!$D$4:$H$15,5,FALSE),"")</x:f>
      </x:c>
      <x:c r="Y376" s="151" t="str">
        <x:f>IFERROR(VLOOKUP(V376,'Cuadrillas'!$A$5:$J$14,2,FALSE),"")</x:f>
      </x:c>
      <x:c r="Z376" s="154"/>
      <x:c r="AA376" s="154"/>
      <x:c r="AB376" s="154"/>
      <x:c r="AC376" s="153"/>
      <x:c r="AD376" s="153"/>
      <x:c r="AE376" s="156" t="str">
        <x:f>IF(OR(AC376="",AD376=""),"",MOD(AD376-AC376,1)*24)</x:f>
      </x:c>
      <x:c r="AF376" s="154"/>
      <x:c r="AG376" s="156" t="str">
        <x:f>IF(AE376="","",MAX(0,AE376-IF(AF376="",0,AF376/60)))</x:f>
      </x:c>
      <x:c r="AH376" s="155"/>
      <x:c r="AI376" s="154"/>
      <x:c r="AJ376" s="154"/>
      <x:c r="AK376" s="156" t="n">
        <x:f>IFERROR(U376*W376,"")</x:f>
        <x:v>0</x:v>
      </x:c>
      <x:c r="AL376" s="156" t="n">
        <x:f>IFERROR(AE376*AI376,"")</x:f>
        <x:v>0</x:v>
      </x:c>
      <x:c r="AM376" s="157" t="str">
        <x:f>IFERROR(AH376/Q376,"")</x:f>
      </x:c>
      <x:c r="AN376" s="156" t="str">
        <x:f>IFERROR(AH376/AG376,"")</x:f>
      </x:c>
      <x:c r="AO376" s="156" t="str">
        <x:f>IFERROR(AL376/AH376,"")</x:f>
      </x:c>
      <x:c r="AP376" s="157" t="str">
        <x:f>IFERROR(AG376/AE376,"")</x:f>
      </x:c>
      <x:c r="AQ376" s="157" t="str">
        <x:f>IFERROR(AN376/(R376/'Configuracion'!$B$13),"")</x:f>
      </x:c>
      <x:c r="AR376" s="156" t="n">
        <x:f>IFERROR(AE376-U376,"")</x:f>
        <x:v>0</x:v>
      </x:c>
      <x:c r="AS376" s="154"/>
      <x:c r="AT376" s="154"/>
      <x:c r="AU376" s="154"/>
      <x:c r="AV376" s="154"/>
      <x:c r="AW376" s="152"/>
      <x:c r="AX376" s="154"/>
      <x:c r="AY376" s="154"/>
      <x:c r="AZ376" s="151"/>
      <x:c r="BA376" s="151"/>
    </x:row>
    <x:row r="377">
      <x:c r="A377" s="151" t="str">
        <x:f>IF(B377="","",TEXT(B377,"yyyymmdd")&amp;"-"&amp;TEXT(COUNTIF($B$5:B377,B377),"000"))</x:f>
      </x:c>
      <x:c r="B377" s="152"/>
      <x:c r="C377" s="153"/>
      <x:c r="D377" s="151" t="str">
        <x:f>IF(B377="","",'Configuracion'!$B$4)</x:f>
      </x:c>
      <x:c r="E377" s="154"/>
      <x:c r="F377" s="154"/>
      <x:c r="G377" s="151" t="str">
        <x:f>IFERROR(VLOOKUP(F377,'Base Sectores'!$A$5:$J$47,2,FALSE),"")</x:f>
      </x:c>
      <x:c r="H377" s="151" t="str">
        <x:f>IFERROR(VLOOKUP(F377,'Base Sectores'!$A$5:$J$47,3,FALSE),"")</x:f>
      </x:c>
      <x:c r="I377" s="151" t="str">
        <x:f>IFERROR(VLOOKUP(F377,'Base Sectores'!$A$5:$J$47,4,FALSE),"")</x:f>
      </x:c>
      <x:c r="J377" s="151" t="str">
        <x:f>IFERROR(VLOOKUP(F377,'Base Sectores'!$A$5:$J$47,5,FALSE),"")</x:f>
      </x:c>
      <x:c r="K377" s="151" t="str">
        <x:f>IFERROR(VLOOKUP(F377,'Base Sectores'!$A$5:$J$47,6,FALSE),"")</x:f>
      </x:c>
      <x:c r="L377" s="151" t="str">
        <x:f>IFERROR(VLOOKUP(F377,'Base Sectores'!$A$5:$J$47,7,FALSE),"")</x:f>
      </x:c>
      <x:c r="M377" s="151" t="str">
        <x:f>IFERROR(VLOOKUP(F377,'Base Sectores'!$A$5:$J$47,9,FALSE),"")</x:f>
      </x:c>
      <x:c r="N377" s="154"/>
      <x:c r="O377" s="151" t="str">
        <x:f>IFERROR(VLOOKUP(N377,'Configuracion'!$D$4:$H$15,2,FALSE),"")</x:f>
      </x:c>
      <x:c r="P377" s="151" t="str">
        <x:f>IFERROR(VLOOKUP(N377,'Configuracion'!$D$4:$H$15,3,FALSE),"")</x:f>
      </x:c>
      <x:c r="Q377" s="155"/>
      <x:c r="R377" s="156" t="str">
        <x:f>IFERROR(VLOOKUP(N377,'Configuracion'!$D$4:$H$15,4,FALSE),"")</x:f>
      </x:c>
      <x:c r="S377" s="153"/>
      <x:c r="T377" s="153"/>
      <x:c r="U377" s="156" t="str">
        <x:f>IF(OR(S377="",T377=""),"",MOD(T377-S377,1)*24)</x:f>
      </x:c>
      <x:c r="V377" s="154"/>
      <x:c r="W377" s="154"/>
      <x:c r="X377" s="151" t="str">
        <x:f>IFERROR(VLOOKUP(N377,'Configuracion'!$D$4:$H$15,5,FALSE),"")</x:f>
      </x:c>
      <x:c r="Y377" s="151" t="str">
        <x:f>IFERROR(VLOOKUP(V377,'Cuadrillas'!$A$5:$J$14,2,FALSE),"")</x:f>
      </x:c>
      <x:c r="Z377" s="154"/>
      <x:c r="AA377" s="154"/>
      <x:c r="AB377" s="154"/>
      <x:c r="AC377" s="153"/>
      <x:c r="AD377" s="153"/>
      <x:c r="AE377" s="156" t="str">
        <x:f>IF(OR(AC377="",AD377=""),"",MOD(AD377-AC377,1)*24)</x:f>
      </x:c>
      <x:c r="AF377" s="154"/>
      <x:c r="AG377" s="156" t="str">
        <x:f>IF(AE377="","",MAX(0,AE377-IF(AF377="",0,AF377/60)))</x:f>
      </x:c>
      <x:c r="AH377" s="155"/>
      <x:c r="AI377" s="154"/>
      <x:c r="AJ377" s="154"/>
      <x:c r="AK377" s="156" t="n">
        <x:f>IFERROR(U377*W377,"")</x:f>
        <x:v>0</x:v>
      </x:c>
      <x:c r="AL377" s="156" t="n">
        <x:f>IFERROR(AE377*AI377,"")</x:f>
        <x:v>0</x:v>
      </x:c>
      <x:c r="AM377" s="157" t="str">
        <x:f>IFERROR(AH377/Q377,"")</x:f>
      </x:c>
      <x:c r="AN377" s="156" t="str">
        <x:f>IFERROR(AH377/AG377,"")</x:f>
      </x:c>
      <x:c r="AO377" s="156" t="str">
        <x:f>IFERROR(AL377/AH377,"")</x:f>
      </x:c>
      <x:c r="AP377" s="157" t="str">
        <x:f>IFERROR(AG377/AE377,"")</x:f>
      </x:c>
      <x:c r="AQ377" s="157" t="str">
        <x:f>IFERROR(AN377/(R377/'Configuracion'!$B$13),"")</x:f>
      </x:c>
      <x:c r="AR377" s="156" t="n">
        <x:f>IFERROR(AE377-U377,"")</x:f>
        <x:v>0</x:v>
      </x:c>
      <x:c r="AS377" s="154"/>
      <x:c r="AT377" s="154"/>
      <x:c r="AU377" s="154"/>
      <x:c r="AV377" s="154"/>
      <x:c r="AW377" s="152"/>
      <x:c r="AX377" s="154"/>
      <x:c r="AY377" s="154"/>
      <x:c r="AZ377" s="151"/>
      <x:c r="BA377" s="151"/>
    </x:row>
    <x:row r="378">
      <x:c r="A378" s="151" t="str">
        <x:f>IF(B378="","",TEXT(B378,"yyyymmdd")&amp;"-"&amp;TEXT(COUNTIF($B$5:B378,B378),"000"))</x:f>
      </x:c>
      <x:c r="B378" s="152"/>
      <x:c r="C378" s="153"/>
      <x:c r="D378" s="151" t="str">
        <x:f>IF(B378="","",'Configuracion'!$B$4)</x:f>
      </x:c>
      <x:c r="E378" s="154"/>
      <x:c r="F378" s="154"/>
      <x:c r="G378" s="151" t="str">
        <x:f>IFERROR(VLOOKUP(F378,'Base Sectores'!$A$5:$J$47,2,FALSE),"")</x:f>
      </x:c>
      <x:c r="H378" s="151" t="str">
        <x:f>IFERROR(VLOOKUP(F378,'Base Sectores'!$A$5:$J$47,3,FALSE),"")</x:f>
      </x:c>
      <x:c r="I378" s="151" t="str">
        <x:f>IFERROR(VLOOKUP(F378,'Base Sectores'!$A$5:$J$47,4,FALSE),"")</x:f>
      </x:c>
      <x:c r="J378" s="151" t="str">
        <x:f>IFERROR(VLOOKUP(F378,'Base Sectores'!$A$5:$J$47,5,FALSE),"")</x:f>
      </x:c>
      <x:c r="K378" s="151" t="str">
        <x:f>IFERROR(VLOOKUP(F378,'Base Sectores'!$A$5:$J$47,6,FALSE),"")</x:f>
      </x:c>
      <x:c r="L378" s="151" t="str">
        <x:f>IFERROR(VLOOKUP(F378,'Base Sectores'!$A$5:$J$47,7,FALSE),"")</x:f>
      </x:c>
      <x:c r="M378" s="151" t="str">
        <x:f>IFERROR(VLOOKUP(F378,'Base Sectores'!$A$5:$J$47,9,FALSE),"")</x:f>
      </x:c>
      <x:c r="N378" s="154"/>
      <x:c r="O378" s="151" t="str">
        <x:f>IFERROR(VLOOKUP(N378,'Configuracion'!$D$4:$H$15,2,FALSE),"")</x:f>
      </x:c>
      <x:c r="P378" s="151" t="str">
        <x:f>IFERROR(VLOOKUP(N378,'Configuracion'!$D$4:$H$15,3,FALSE),"")</x:f>
      </x:c>
      <x:c r="Q378" s="155"/>
      <x:c r="R378" s="156" t="str">
        <x:f>IFERROR(VLOOKUP(N378,'Configuracion'!$D$4:$H$15,4,FALSE),"")</x:f>
      </x:c>
      <x:c r="S378" s="153"/>
      <x:c r="T378" s="153"/>
      <x:c r="U378" s="156" t="str">
        <x:f>IF(OR(S378="",T378=""),"",MOD(T378-S378,1)*24)</x:f>
      </x:c>
      <x:c r="V378" s="154"/>
      <x:c r="W378" s="154"/>
      <x:c r="X378" s="151" t="str">
        <x:f>IFERROR(VLOOKUP(N378,'Configuracion'!$D$4:$H$15,5,FALSE),"")</x:f>
      </x:c>
      <x:c r="Y378" s="151" t="str">
        <x:f>IFERROR(VLOOKUP(V378,'Cuadrillas'!$A$5:$J$14,2,FALSE),"")</x:f>
      </x:c>
      <x:c r="Z378" s="154"/>
      <x:c r="AA378" s="154"/>
      <x:c r="AB378" s="154"/>
      <x:c r="AC378" s="153"/>
      <x:c r="AD378" s="153"/>
      <x:c r="AE378" s="156" t="str">
        <x:f>IF(OR(AC378="",AD378=""),"",MOD(AD378-AC378,1)*24)</x:f>
      </x:c>
      <x:c r="AF378" s="154"/>
      <x:c r="AG378" s="156" t="str">
        <x:f>IF(AE378="","",MAX(0,AE378-IF(AF378="",0,AF378/60)))</x:f>
      </x:c>
      <x:c r="AH378" s="155"/>
      <x:c r="AI378" s="154"/>
      <x:c r="AJ378" s="154"/>
      <x:c r="AK378" s="156" t="n">
        <x:f>IFERROR(U378*W378,"")</x:f>
        <x:v>0</x:v>
      </x:c>
      <x:c r="AL378" s="156" t="n">
        <x:f>IFERROR(AE378*AI378,"")</x:f>
        <x:v>0</x:v>
      </x:c>
      <x:c r="AM378" s="157" t="str">
        <x:f>IFERROR(AH378/Q378,"")</x:f>
      </x:c>
      <x:c r="AN378" s="156" t="str">
        <x:f>IFERROR(AH378/AG378,"")</x:f>
      </x:c>
      <x:c r="AO378" s="156" t="str">
        <x:f>IFERROR(AL378/AH378,"")</x:f>
      </x:c>
      <x:c r="AP378" s="157" t="str">
        <x:f>IFERROR(AG378/AE378,"")</x:f>
      </x:c>
      <x:c r="AQ378" s="157" t="str">
        <x:f>IFERROR(AN378/(R378/'Configuracion'!$B$13),"")</x:f>
      </x:c>
      <x:c r="AR378" s="156" t="n">
        <x:f>IFERROR(AE378-U378,"")</x:f>
        <x:v>0</x:v>
      </x:c>
      <x:c r="AS378" s="154"/>
      <x:c r="AT378" s="154"/>
      <x:c r="AU378" s="154"/>
      <x:c r="AV378" s="154"/>
      <x:c r="AW378" s="152"/>
      <x:c r="AX378" s="154"/>
      <x:c r="AY378" s="154"/>
      <x:c r="AZ378" s="151"/>
      <x:c r="BA378" s="151"/>
    </x:row>
    <x:row r="379">
      <x:c r="A379" s="151" t="str">
        <x:f>IF(B379="","",TEXT(B379,"yyyymmdd")&amp;"-"&amp;TEXT(COUNTIF($B$5:B379,B379),"000"))</x:f>
      </x:c>
      <x:c r="B379" s="152"/>
      <x:c r="C379" s="153"/>
      <x:c r="D379" s="151" t="str">
        <x:f>IF(B379="","",'Configuracion'!$B$4)</x:f>
      </x:c>
      <x:c r="E379" s="154"/>
      <x:c r="F379" s="154"/>
      <x:c r="G379" s="151" t="str">
        <x:f>IFERROR(VLOOKUP(F379,'Base Sectores'!$A$5:$J$47,2,FALSE),"")</x:f>
      </x:c>
      <x:c r="H379" s="151" t="str">
        <x:f>IFERROR(VLOOKUP(F379,'Base Sectores'!$A$5:$J$47,3,FALSE),"")</x:f>
      </x:c>
      <x:c r="I379" s="151" t="str">
        <x:f>IFERROR(VLOOKUP(F379,'Base Sectores'!$A$5:$J$47,4,FALSE),"")</x:f>
      </x:c>
      <x:c r="J379" s="151" t="str">
        <x:f>IFERROR(VLOOKUP(F379,'Base Sectores'!$A$5:$J$47,5,FALSE),"")</x:f>
      </x:c>
      <x:c r="K379" s="151" t="str">
        <x:f>IFERROR(VLOOKUP(F379,'Base Sectores'!$A$5:$J$47,6,FALSE),"")</x:f>
      </x:c>
      <x:c r="L379" s="151" t="str">
        <x:f>IFERROR(VLOOKUP(F379,'Base Sectores'!$A$5:$J$47,7,FALSE),"")</x:f>
      </x:c>
      <x:c r="M379" s="151" t="str">
        <x:f>IFERROR(VLOOKUP(F379,'Base Sectores'!$A$5:$J$47,9,FALSE),"")</x:f>
      </x:c>
      <x:c r="N379" s="154"/>
      <x:c r="O379" s="151" t="str">
        <x:f>IFERROR(VLOOKUP(N379,'Configuracion'!$D$4:$H$15,2,FALSE),"")</x:f>
      </x:c>
      <x:c r="P379" s="151" t="str">
        <x:f>IFERROR(VLOOKUP(N379,'Configuracion'!$D$4:$H$15,3,FALSE),"")</x:f>
      </x:c>
      <x:c r="Q379" s="155"/>
      <x:c r="R379" s="156" t="str">
        <x:f>IFERROR(VLOOKUP(N379,'Configuracion'!$D$4:$H$15,4,FALSE),"")</x:f>
      </x:c>
      <x:c r="S379" s="153"/>
      <x:c r="T379" s="153"/>
      <x:c r="U379" s="156" t="str">
        <x:f>IF(OR(S379="",T379=""),"",MOD(T379-S379,1)*24)</x:f>
      </x:c>
      <x:c r="V379" s="154"/>
      <x:c r="W379" s="154"/>
      <x:c r="X379" s="151" t="str">
        <x:f>IFERROR(VLOOKUP(N379,'Configuracion'!$D$4:$H$15,5,FALSE),"")</x:f>
      </x:c>
      <x:c r="Y379" s="151" t="str">
        <x:f>IFERROR(VLOOKUP(V379,'Cuadrillas'!$A$5:$J$14,2,FALSE),"")</x:f>
      </x:c>
      <x:c r="Z379" s="154"/>
      <x:c r="AA379" s="154"/>
      <x:c r="AB379" s="154"/>
      <x:c r="AC379" s="153"/>
      <x:c r="AD379" s="153"/>
      <x:c r="AE379" s="156" t="str">
        <x:f>IF(OR(AC379="",AD379=""),"",MOD(AD379-AC379,1)*24)</x:f>
      </x:c>
      <x:c r="AF379" s="154"/>
      <x:c r="AG379" s="156" t="str">
        <x:f>IF(AE379="","",MAX(0,AE379-IF(AF379="",0,AF379/60)))</x:f>
      </x:c>
      <x:c r="AH379" s="155"/>
      <x:c r="AI379" s="154"/>
      <x:c r="AJ379" s="154"/>
      <x:c r="AK379" s="156" t="n">
        <x:f>IFERROR(U379*W379,"")</x:f>
        <x:v>0</x:v>
      </x:c>
      <x:c r="AL379" s="156" t="n">
        <x:f>IFERROR(AE379*AI379,"")</x:f>
        <x:v>0</x:v>
      </x:c>
      <x:c r="AM379" s="157" t="str">
        <x:f>IFERROR(AH379/Q379,"")</x:f>
      </x:c>
      <x:c r="AN379" s="156" t="str">
        <x:f>IFERROR(AH379/AG379,"")</x:f>
      </x:c>
      <x:c r="AO379" s="156" t="str">
        <x:f>IFERROR(AL379/AH379,"")</x:f>
      </x:c>
      <x:c r="AP379" s="157" t="str">
        <x:f>IFERROR(AG379/AE379,"")</x:f>
      </x:c>
      <x:c r="AQ379" s="157" t="str">
        <x:f>IFERROR(AN379/(R379/'Configuracion'!$B$13),"")</x:f>
      </x:c>
      <x:c r="AR379" s="156" t="n">
        <x:f>IFERROR(AE379-U379,"")</x:f>
        <x:v>0</x:v>
      </x:c>
      <x:c r="AS379" s="154"/>
      <x:c r="AT379" s="154"/>
      <x:c r="AU379" s="154"/>
      <x:c r="AV379" s="154"/>
      <x:c r="AW379" s="152"/>
      <x:c r="AX379" s="154"/>
      <x:c r="AY379" s="154"/>
      <x:c r="AZ379" s="151"/>
      <x:c r="BA379" s="151"/>
    </x:row>
    <x:row r="380">
      <x:c r="A380" s="151" t="str">
        <x:f>IF(B380="","",TEXT(B380,"yyyymmdd")&amp;"-"&amp;TEXT(COUNTIF($B$5:B380,B380),"000"))</x:f>
      </x:c>
      <x:c r="B380" s="152"/>
      <x:c r="C380" s="153"/>
      <x:c r="D380" s="151" t="str">
        <x:f>IF(B380="","",'Configuracion'!$B$4)</x:f>
      </x:c>
      <x:c r="E380" s="154"/>
      <x:c r="F380" s="154"/>
      <x:c r="G380" s="151" t="str">
        <x:f>IFERROR(VLOOKUP(F380,'Base Sectores'!$A$5:$J$47,2,FALSE),"")</x:f>
      </x:c>
      <x:c r="H380" s="151" t="str">
        <x:f>IFERROR(VLOOKUP(F380,'Base Sectores'!$A$5:$J$47,3,FALSE),"")</x:f>
      </x:c>
      <x:c r="I380" s="151" t="str">
        <x:f>IFERROR(VLOOKUP(F380,'Base Sectores'!$A$5:$J$47,4,FALSE),"")</x:f>
      </x:c>
      <x:c r="J380" s="151" t="str">
        <x:f>IFERROR(VLOOKUP(F380,'Base Sectores'!$A$5:$J$47,5,FALSE),"")</x:f>
      </x:c>
      <x:c r="K380" s="151" t="str">
        <x:f>IFERROR(VLOOKUP(F380,'Base Sectores'!$A$5:$J$47,6,FALSE),"")</x:f>
      </x:c>
      <x:c r="L380" s="151" t="str">
        <x:f>IFERROR(VLOOKUP(F380,'Base Sectores'!$A$5:$J$47,7,FALSE),"")</x:f>
      </x:c>
      <x:c r="M380" s="151" t="str">
        <x:f>IFERROR(VLOOKUP(F380,'Base Sectores'!$A$5:$J$47,9,FALSE),"")</x:f>
      </x:c>
      <x:c r="N380" s="154"/>
      <x:c r="O380" s="151" t="str">
        <x:f>IFERROR(VLOOKUP(N380,'Configuracion'!$D$4:$H$15,2,FALSE),"")</x:f>
      </x:c>
      <x:c r="P380" s="151" t="str">
        <x:f>IFERROR(VLOOKUP(N380,'Configuracion'!$D$4:$H$15,3,FALSE),"")</x:f>
      </x:c>
      <x:c r="Q380" s="155"/>
      <x:c r="R380" s="156" t="str">
        <x:f>IFERROR(VLOOKUP(N380,'Configuracion'!$D$4:$H$15,4,FALSE),"")</x:f>
      </x:c>
      <x:c r="S380" s="153"/>
      <x:c r="T380" s="153"/>
      <x:c r="U380" s="156" t="str">
        <x:f>IF(OR(S380="",T380=""),"",MOD(T380-S380,1)*24)</x:f>
      </x:c>
      <x:c r="V380" s="154"/>
      <x:c r="W380" s="154"/>
      <x:c r="X380" s="151" t="str">
        <x:f>IFERROR(VLOOKUP(N380,'Configuracion'!$D$4:$H$15,5,FALSE),"")</x:f>
      </x:c>
      <x:c r="Y380" s="151" t="str">
        <x:f>IFERROR(VLOOKUP(V380,'Cuadrillas'!$A$5:$J$14,2,FALSE),"")</x:f>
      </x:c>
      <x:c r="Z380" s="154"/>
      <x:c r="AA380" s="154"/>
      <x:c r="AB380" s="154"/>
      <x:c r="AC380" s="153"/>
      <x:c r="AD380" s="153"/>
      <x:c r="AE380" s="156" t="str">
        <x:f>IF(OR(AC380="",AD380=""),"",MOD(AD380-AC380,1)*24)</x:f>
      </x:c>
      <x:c r="AF380" s="154"/>
      <x:c r="AG380" s="156" t="str">
        <x:f>IF(AE380="","",MAX(0,AE380-IF(AF380="",0,AF380/60)))</x:f>
      </x:c>
      <x:c r="AH380" s="155"/>
      <x:c r="AI380" s="154"/>
      <x:c r="AJ380" s="154"/>
      <x:c r="AK380" s="156" t="n">
        <x:f>IFERROR(U380*W380,"")</x:f>
        <x:v>0</x:v>
      </x:c>
      <x:c r="AL380" s="156" t="n">
        <x:f>IFERROR(AE380*AI380,"")</x:f>
        <x:v>0</x:v>
      </x:c>
      <x:c r="AM380" s="157" t="str">
        <x:f>IFERROR(AH380/Q380,"")</x:f>
      </x:c>
      <x:c r="AN380" s="156" t="str">
        <x:f>IFERROR(AH380/AG380,"")</x:f>
      </x:c>
      <x:c r="AO380" s="156" t="str">
        <x:f>IFERROR(AL380/AH380,"")</x:f>
      </x:c>
      <x:c r="AP380" s="157" t="str">
        <x:f>IFERROR(AG380/AE380,"")</x:f>
      </x:c>
      <x:c r="AQ380" s="157" t="str">
        <x:f>IFERROR(AN380/(R380/'Configuracion'!$B$13),"")</x:f>
      </x:c>
      <x:c r="AR380" s="156" t="n">
        <x:f>IFERROR(AE380-U380,"")</x:f>
        <x:v>0</x:v>
      </x:c>
      <x:c r="AS380" s="154"/>
      <x:c r="AT380" s="154"/>
      <x:c r="AU380" s="154"/>
      <x:c r="AV380" s="154"/>
      <x:c r="AW380" s="152"/>
      <x:c r="AX380" s="154"/>
      <x:c r="AY380" s="154"/>
      <x:c r="AZ380" s="151"/>
      <x:c r="BA380" s="151"/>
    </x:row>
    <x:row r="381">
      <x:c r="A381" s="151" t="str">
        <x:f>IF(B381="","",TEXT(B381,"yyyymmdd")&amp;"-"&amp;TEXT(COUNTIF($B$5:B381,B381),"000"))</x:f>
      </x:c>
      <x:c r="B381" s="152"/>
      <x:c r="C381" s="153"/>
      <x:c r="D381" s="151" t="str">
        <x:f>IF(B381="","",'Configuracion'!$B$4)</x:f>
      </x:c>
      <x:c r="E381" s="154"/>
      <x:c r="F381" s="154"/>
      <x:c r="G381" s="151" t="str">
        <x:f>IFERROR(VLOOKUP(F381,'Base Sectores'!$A$5:$J$47,2,FALSE),"")</x:f>
      </x:c>
      <x:c r="H381" s="151" t="str">
        <x:f>IFERROR(VLOOKUP(F381,'Base Sectores'!$A$5:$J$47,3,FALSE),"")</x:f>
      </x:c>
      <x:c r="I381" s="151" t="str">
        <x:f>IFERROR(VLOOKUP(F381,'Base Sectores'!$A$5:$J$47,4,FALSE),"")</x:f>
      </x:c>
      <x:c r="J381" s="151" t="str">
        <x:f>IFERROR(VLOOKUP(F381,'Base Sectores'!$A$5:$J$47,5,FALSE),"")</x:f>
      </x:c>
      <x:c r="K381" s="151" t="str">
        <x:f>IFERROR(VLOOKUP(F381,'Base Sectores'!$A$5:$J$47,6,FALSE),"")</x:f>
      </x:c>
      <x:c r="L381" s="151" t="str">
        <x:f>IFERROR(VLOOKUP(F381,'Base Sectores'!$A$5:$J$47,7,FALSE),"")</x:f>
      </x:c>
      <x:c r="M381" s="151" t="str">
        <x:f>IFERROR(VLOOKUP(F381,'Base Sectores'!$A$5:$J$47,9,FALSE),"")</x:f>
      </x:c>
      <x:c r="N381" s="154"/>
      <x:c r="O381" s="151" t="str">
        <x:f>IFERROR(VLOOKUP(N381,'Configuracion'!$D$4:$H$15,2,FALSE),"")</x:f>
      </x:c>
      <x:c r="P381" s="151" t="str">
        <x:f>IFERROR(VLOOKUP(N381,'Configuracion'!$D$4:$H$15,3,FALSE),"")</x:f>
      </x:c>
      <x:c r="Q381" s="155"/>
      <x:c r="R381" s="156" t="str">
        <x:f>IFERROR(VLOOKUP(N381,'Configuracion'!$D$4:$H$15,4,FALSE),"")</x:f>
      </x:c>
      <x:c r="S381" s="153"/>
      <x:c r="T381" s="153"/>
      <x:c r="U381" s="156" t="str">
        <x:f>IF(OR(S381="",T381=""),"",MOD(T381-S381,1)*24)</x:f>
      </x:c>
      <x:c r="V381" s="154"/>
      <x:c r="W381" s="154"/>
      <x:c r="X381" s="151" t="str">
        <x:f>IFERROR(VLOOKUP(N381,'Configuracion'!$D$4:$H$15,5,FALSE),"")</x:f>
      </x:c>
      <x:c r="Y381" s="151" t="str">
        <x:f>IFERROR(VLOOKUP(V381,'Cuadrillas'!$A$5:$J$14,2,FALSE),"")</x:f>
      </x:c>
      <x:c r="Z381" s="154"/>
      <x:c r="AA381" s="154"/>
      <x:c r="AB381" s="154"/>
      <x:c r="AC381" s="153"/>
      <x:c r="AD381" s="153"/>
      <x:c r="AE381" s="156" t="str">
        <x:f>IF(OR(AC381="",AD381=""),"",MOD(AD381-AC381,1)*24)</x:f>
      </x:c>
      <x:c r="AF381" s="154"/>
      <x:c r="AG381" s="156" t="str">
        <x:f>IF(AE381="","",MAX(0,AE381-IF(AF381="",0,AF381/60)))</x:f>
      </x:c>
      <x:c r="AH381" s="155"/>
      <x:c r="AI381" s="154"/>
      <x:c r="AJ381" s="154"/>
      <x:c r="AK381" s="156" t="n">
        <x:f>IFERROR(U381*W381,"")</x:f>
        <x:v>0</x:v>
      </x:c>
      <x:c r="AL381" s="156" t="n">
        <x:f>IFERROR(AE381*AI381,"")</x:f>
        <x:v>0</x:v>
      </x:c>
      <x:c r="AM381" s="157" t="str">
        <x:f>IFERROR(AH381/Q381,"")</x:f>
      </x:c>
      <x:c r="AN381" s="156" t="str">
        <x:f>IFERROR(AH381/AG381,"")</x:f>
      </x:c>
      <x:c r="AO381" s="156" t="str">
        <x:f>IFERROR(AL381/AH381,"")</x:f>
      </x:c>
      <x:c r="AP381" s="157" t="str">
        <x:f>IFERROR(AG381/AE381,"")</x:f>
      </x:c>
      <x:c r="AQ381" s="157" t="str">
        <x:f>IFERROR(AN381/(R381/'Configuracion'!$B$13),"")</x:f>
      </x:c>
      <x:c r="AR381" s="156" t="n">
        <x:f>IFERROR(AE381-U381,"")</x:f>
        <x:v>0</x:v>
      </x:c>
      <x:c r="AS381" s="154"/>
      <x:c r="AT381" s="154"/>
      <x:c r="AU381" s="154"/>
      <x:c r="AV381" s="154"/>
      <x:c r="AW381" s="152"/>
      <x:c r="AX381" s="154"/>
      <x:c r="AY381" s="154"/>
      <x:c r="AZ381" s="151"/>
      <x:c r="BA381" s="151"/>
    </x:row>
    <x:row r="382">
      <x:c r="A382" s="151" t="str">
        <x:f>IF(B382="","",TEXT(B382,"yyyymmdd")&amp;"-"&amp;TEXT(COUNTIF($B$5:B382,B382),"000"))</x:f>
      </x:c>
      <x:c r="B382" s="152"/>
      <x:c r="C382" s="153"/>
      <x:c r="D382" s="151" t="str">
        <x:f>IF(B382="","",'Configuracion'!$B$4)</x:f>
      </x:c>
      <x:c r="E382" s="154"/>
      <x:c r="F382" s="154"/>
      <x:c r="G382" s="151" t="str">
        <x:f>IFERROR(VLOOKUP(F382,'Base Sectores'!$A$5:$J$47,2,FALSE),"")</x:f>
      </x:c>
      <x:c r="H382" s="151" t="str">
        <x:f>IFERROR(VLOOKUP(F382,'Base Sectores'!$A$5:$J$47,3,FALSE),"")</x:f>
      </x:c>
      <x:c r="I382" s="151" t="str">
        <x:f>IFERROR(VLOOKUP(F382,'Base Sectores'!$A$5:$J$47,4,FALSE),"")</x:f>
      </x:c>
      <x:c r="J382" s="151" t="str">
        <x:f>IFERROR(VLOOKUP(F382,'Base Sectores'!$A$5:$J$47,5,FALSE),"")</x:f>
      </x:c>
      <x:c r="K382" s="151" t="str">
        <x:f>IFERROR(VLOOKUP(F382,'Base Sectores'!$A$5:$J$47,6,FALSE),"")</x:f>
      </x:c>
      <x:c r="L382" s="151" t="str">
        <x:f>IFERROR(VLOOKUP(F382,'Base Sectores'!$A$5:$J$47,7,FALSE),"")</x:f>
      </x:c>
      <x:c r="M382" s="151" t="str">
        <x:f>IFERROR(VLOOKUP(F382,'Base Sectores'!$A$5:$J$47,9,FALSE),"")</x:f>
      </x:c>
      <x:c r="N382" s="154"/>
      <x:c r="O382" s="151" t="str">
        <x:f>IFERROR(VLOOKUP(N382,'Configuracion'!$D$4:$H$15,2,FALSE),"")</x:f>
      </x:c>
      <x:c r="P382" s="151" t="str">
        <x:f>IFERROR(VLOOKUP(N382,'Configuracion'!$D$4:$H$15,3,FALSE),"")</x:f>
      </x:c>
      <x:c r="Q382" s="155"/>
      <x:c r="R382" s="156" t="str">
        <x:f>IFERROR(VLOOKUP(N382,'Configuracion'!$D$4:$H$15,4,FALSE),"")</x:f>
      </x:c>
      <x:c r="S382" s="153"/>
      <x:c r="T382" s="153"/>
      <x:c r="U382" s="156" t="str">
        <x:f>IF(OR(S382="",T382=""),"",MOD(T382-S382,1)*24)</x:f>
      </x:c>
      <x:c r="V382" s="154"/>
      <x:c r="W382" s="154"/>
      <x:c r="X382" s="151" t="str">
        <x:f>IFERROR(VLOOKUP(N382,'Configuracion'!$D$4:$H$15,5,FALSE),"")</x:f>
      </x:c>
      <x:c r="Y382" s="151" t="str">
        <x:f>IFERROR(VLOOKUP(V382,'Cuadrillas'!$A$5:$J$14,2,FALSE),"")</x:f>
      </x:c>
      <x:c r="Z382" s="154"/>
      <x:c r="AA382" s="154"/>
      <x:c r="AB382" s="154"/>
      <x:c r="AC382" s="153"/>
      <x:c r="AD382" s="153"/>
      <x:c r="AE382" s="156" t="str">
        <x:f>IF(OR(AC382="",AD382=""),"",MOD(AD382-AC382,1)*24)</x:f>
      </x:c>
      <x:c r="AF382" s="154"/>
      <x:c r="AG382" s="156" t="str">
        <x:f>IF(AE382="","",MAX(0,AE382-IF(AF382="",0,AF382/60)))</x:f>
      </x:c>
      <x:c r="AH382" s="155"/>
      <x:c r="AI382" s="154"/>
      <x:c r="AJ382" s="154"/>
      <x:c r="AK382" s="156" t="n">
        <x:f>IFERROR(U382*W382,"")</x:f>
        <x:v>0</x:v>
      </x:c>
      <x:c r="AL382" s="156" t="n">
        <x:f>IFERROR(AE382*AI382,"")</x:f>
        <x:v>0</x:v>
      </x:c>
      <x:c r="AM382" s="157" t="str">
        <x:f>IFERROR(AH382/Q382,"")</x:f>
      </x:c>
      <x:c r="AN382" s="156" t="str">
        <x:f>IFERROR(AH382/AG382,"")</x:f>
      </x:c>
      <x:c r="AO382" s="156" t="str">
        <x:f>IFERROR(AL382/AH382,"")</x:f>
      </x:c>
      <x:c r="AP382" s="157" t="str">
        <x:f>IFERROR(AG382/AE382,"")</x:f>
      </x:c>
      <x:c r="AQ382" s="157" t="str">
        <x:f>IFERROR(AN382/(R382/'Configuracion'!$B$13),"")</x:f>
      </x:c>
      <x:c r="AR382" s="156" t="n">
        <x:f>IFERROR(AE382-U382,"")</x:f>
        <x:v>0</x:v>
      </x:c>
      <x:c r="AS382" s="154"/>
      <x:c r="AT382" s="154"/>
      <x:c r="AU382" s="154"/>
      <x:c r="AV382" s="154"/>
      <x:c r="AW382" s="152"/>
      <x:c r="AX382" s="154"/>
      <x:c r="AY382" s="154"/>
      <x:c r="AZ382" s="151"/>
      <x:c r="BA382" s="151"/>
    </x:row>
    <x:row r="383">
      <x:c r="A383" s="151" t="str">
        <x:f>IF(B383="","",TEXT(B383,"yyyymmdd")&amp;"-"&amp;TEXT(COUNTIF($B$5:B383,B383),"000"))</x:f>
      </x:c>
      <x:c r="B383" s="152"/>
      <x:c r="C383" s="153"/>
      <x:c r="D383" s="151" t="str">
        <x:f>IF(B383="","",'Configuracion'!$B$4)</x:f>
      </x:c>
      <x:c r="E383" s="154"/>
      <x:c r="F383" s="154"/>
      <x:c r="G383" s="151" t="str">
        <x:f>IFERROR(VLOOKUP(F383,'Base Sectores'!$A$5:$J$47,2,FALSE),"")</x:f>
      </x:c>
      <x:c r="H383" s="151" t="str">
        <x:f>IFERROR(VLOOKUP(F383,'Base Sectores'!$A$5:$J$47,3,FALSE),"")</x:f>
      </x:c>
      <x:c r="I383" s="151" t="str">
        <x:f>IFERROR(VLOOKUP(F383,'Base Sectores'!$A$5:$J$47,4,FALSE),"")</x:f>
      </x:c>
      <x:c r="J383" s="151" t="str">
        <x:f>IFERROR(VLOOKUP(F383,'Base Sectores'!$A$5:$J$47,5,FALSE),"")</x:f>
      </x:c>
      <x:c r="K383" s="151" t="str">
        <x:f>IFERROR(VLOOKUP(F383,'Base Sectores'!$A$5:$J$47,6,FALSE),"")</x:f>
      </x:c>
      <x:c r="L383" s="151" t="str">
        <x:f>IFERROR(VLOOKUP(F383,'Base Sectores'!$A$5:$J$47,7,FALSE),"")</x:f>
      </x:c>
      <x:c r="M383" s="151" t="str">
        <x:f>IFERROR(VLOOKUP(F383,'Base Sectores'!$A$5:$J$47,9,FALSE),"")</x:f>
      </x:c>
      <x:c r="N383" s="154"/>
      <x:c r="O383" s="151" t="str">
        <x:f>IFERROR(VLOOKUP(N383,'Configuracion'!$D$4:$H$15,2,FALSE),"")</x:f>
      </x:c>
      <x:c r="P383" s="151" t="str">
        <x:f>IFERROR(VLOOKUP(N383,'Configuracion'!$D$4:$H$15,3,FALSE),"")</x:f>
      </x:c>
      <x:c r="Q383" s="155"/>
      <x:c r="R383" s="156" t="str">
        <x:f>IFERROR(VLOOKUP(N383,'Configuracion'!$D$4:$H$15,4,FALSE),"")</x:f>
      </x:c>
      <x:c r="S383" s="153"/>
      <x:c r="T383" s="153"/>
      <x:c r="U383" s="156" t="str">
        <x:f>IF(OR(S383="",T383=""),"",MOD(T383-S383,1)*24)</x:f>
      </x:c>
      <x:c r="V383" s="154"/>
      <x:c r="W383" s="154"/>
      <x:c r="X383" s="151" t="str">
        <x:f>IFERROR(VLOOKUP(N383,'Configuracion'!$D$4:$H$15,5,FALSE),"")</x:f>
      </x:c>
      <x:c r="Y383" s="151" t="str">
        <x:f>IFERROR(VLOOKUP(V383,'Cuadrillas'!$A$5:$J$14,2,FALSE),"")</x:f>
      </x:c>
      <x:c r="Z383" s="154"/>
      <x:c r="AA383" s="154"/>
      <x:c r="AB383" s="154"/>
      <x:c r="AC383" s="153"/>
      <x:c r="AD383" s="153"/>
      <x:c r="AE383" s="156" t="str">
        <x:f>IF(OR(AC383="",AD383=""),"",MOD(AD383-AC383,1)*24)</x:f>
      </x:c>
      <x:c r="AF383" s="154"/>
      <x:c r="AG383" s="156" t="str">
        <x:f>IF(AE383="","",MAX(0,AE383-IF(AF383="",0,AF383/60)))</x:f>
      </x:c>
      <x:c r="AH383" s="155"/>
      <x:c r="AI383" s="154"/>
      <x:c r="AJ383" s="154"/>
      <x:c r="AK383" s="156" t="n">
        <x:f>IFERROR(U383*W383,"")</x:f>
        <x:v>0</x:v>
      </x:c>
      <x:c r="AL383" s="156" t="n">
        <x:f>IFERROR(AE383*AI383,"")</x:f>
        <x:v>0</x:v>
      </x:c>
      <x:c r="AM383" s="157" t="str">
        <x:f>IFERROR(AH383/Q383,"")</x:f>
      </x:c>
      <x:c r="AN383" s="156" t="str">
        <x:f>IFERROR(AH383/AG383,"")</x:f>
      </x:c>
      <x:c r="AO383" s="156" t="str">
        <x:f>IFERROR(AL383/AH383,"")</x:f>
      </x:c>
      <x:c r="AP383" s="157" t="str">
        <x:f>IFERROR(AG383/AE383,"")</x:f>
      </x:c>
      <x:c r="AQ383" s="157" t="str">
        <x:f>IFERROR(AN383/(R383/'Configuracion'!$B$13),"")</x:f>
      </x:c>
      <x:c r="AR383" s="156" t="n">
        <x:f>IFERROR(AE383-U383,"")</x:f>
        <x:v>0</x:v>
      </x:c>
      <x:c r="AS383" s="154"/>
      <x:c r="AT383" s="154"/>
      <x:c r="AU383" s="154"/>
      <x:c r="AV383" s="154"/>
      <x:c r="AW383" s="152"/>
      <x:c r="AX383" s="154"/>
      <x:c r="AY383" s="154"/>
      <x:c r="AZ383" s="151"/>
      <x:c r="BA383" s="151"/>
    </x:row>
    <x:row r="384">
      <x:c r="A384" s="151" t="str">
        <x:f>IF(B384="","",TEXT(B384,"yyyymmdd")&amp;"-"&amp;TEXT(COUNTIF($B$5:B384,B384),"000"))</x:f>
      </x:c>
      <x:c r="B384" s="152"/>
      <x:c r="C384" s="153"/>
      <x:c r="D384" s="151" t="str">
        <x:f>IF(B384="","",'Configuracion'!$B$4)</x:f>
      </x:c>
      <x:c r="E384" s="154"/>
      <x:c r="F384" s="154"/>
      <x:c r="G384" s="151" t="str">
        <x:f>IFERROR(VLOOKUP(F384,'Base Sectores'!$A$5:$J$47,2,FALSE),"")</x:f>
      </x:c>
      <x:c r="H384" s="151" t="str">
        <x:f>IFERROR(VLOOKUP(F384,'Base Sectores'!$A$5:$J$47,3,FALSE),"")</x:f>
      </x:c>
      <x:c r="I384" s="151" t="str">
        <x:f>IFERROR(VLOOKUP(F384,'Base Sectores'!$A$5:$J$47,4,FALSE),"")</x:f>
      </x:c>
      <x:c r="J384" s="151" t="str">
        <x:f>IFERROR(VLOOKUP(F384,'Base Sectores'!$A$5:$J$47,5,FALSE),"")</x:f>
      </x:c>
      <x:c r="K384" s="151" t="str">
        <x:f>IFERROR(VLOOKUP(F384,'Base Sectores'!$A$5:$J$47,6,FALSE),"")</x:f>
      </x:c>
      <x:c r="L384" s="151" t="str">
        <x:f>IFERROR(VLOOKUP(F384,'Base Sectores'!$A$5:$J$47,7,FALSE),"")</x:f>
      </x:c>
      <x:c r="M384" s="151" t="str">
        <x:f>IFERROR(VLOOKUP(F384,'Base Sectores'!$A$5:$J$47,9,FALSE),"")</x:f>
      </x:c>
      <x:c r="N384" s="154"/>
      <x:c r="O384" s="151" t="str">
        <x:f>IFERROR(VLOOKUP(N384,'Configuracion'!$D$4:$H$15,2,FALSE),"")</x:f>
      </x:c>
      <x:c r="P384" s="151" t="str">
        <x:f>IFERROR(VLOOKUP(N384,'Configuracion'!$D$4:$H$15,3,FALSE),"")</x:f>
      </x:c>
      <x:c r="Q384" s="155"/>
      <x:c r="R384" s="156" t="str">
        <x:f>IFERROR(VLOOKUP(N384,'Configuracion'!$D$4:$H$15,4,FALSE),"")</x:f>
      </x:c>
      <x:c r="S384" s="153"/>
      <x:c r="T384" s="153"/>
      <x:c r="U384" s="156" t="str">
        <x:f>IF(OR(S384="",T384=""),"",MOD(T384-S384,1)*24)</x:f>
      </x:c>
      <x:c r="V384" s="154"/>
      <x:c r="W384" s="154"/>
      <x:c r="X384" s="151" t="str">
        <x:f>IFERROR(VLOOKUP(N384,'Configuracion'!$D$4:$H$15,5,FALSE),"")</x:f>
      </x:c>
      <x:c r="Y384" s="151" t="str">
        <x:f>IFERROR(VLOOKUP(V384,'Cuadrillas'!$A$5:$J$14,2,FALSE),"")</x:f>
      </x:c>
      <x:c r="Z384" s="154"/>
      <x:c r="AA384" s="154"/>
      <x:c r="AB384" s="154"/>
      <x:c r="AC384" s="153"/>
      <x:c r="AD384" s="153"/>
      <x:c r="AE384" s="156" t="str">
        <x:f>IF(OR(AC384="",AD384=""),"",MOD(AD384-AC384,1)*24)</x:f>
      </x:c>
      <x:c r="AF384" s="154"/>
      <x:c r="AG384" s="156" t="str">
        <x:f>IF(AE384="","",MAX(0,AE384-IF(AF384="",0,AF384/60)))</x:f>
      </x:c>
      <x:c r="AH384" s="155"/>
      <x:c r="AI384" s="154"/>
      <x:c r="AJ384" s="154"/>
      <x:c r="AK384" s="156" t="n">
        <x:f>IFERROR(U384*W384,"")</x:f>
        <x:v>0</x:v>
      </x:c>
      <x:c r="AL384" s="156" t="n">
        <x:f>IFERROR(AE384*AI384,"")</x:f>
        <x:v>0</x:v>
      </x:c>
      <x:c r="AM384" s="157" t="str">
        <x:f>IFERROR(AH384/Q384,"")</x:f>
      </x:c>
      <x:c r="AN384" s="156" t="str">
        <x:f>IFERROR(AH384/AG384,"")</x:f>
      </x:c>
      <x:c r="AO384" s="156" t="str">
        <x:f>IFERROR(AL384/AH384,"")</x:f>
      </x:c>
      <x:c r="AP384" s="157" t="str">
        <x:f>IFERROR(AG384/AE384,"")</x:f>
      </x:c>
      <x:c r="AQ384" s="157" t="str">
        <x:f>IFERROR(AN384/(R384/'Configuracion'!$B$13),"")</x:f>
      </x:c>
      <x:c r="AR384" s="156" t="n">
        <x:f>IFERROR(AE384-U384,"")</x:f>
        <x:v>0</x:v>
      </x:c>
      <x:c r="AS384" s="154"/>
      <x:c r="AT384" s="154"/>
      <x:c r="AU384" s="154"/>
      <x:c r="AV384" s="154"/>
      <x:c r="AW384" s="152"/>
      <x:c r="AX384" s="154"/>
      <x:c r="AY384" s="154"/>
      <x:c r="AZ384" s="151"/>
      <x:c r="BA384" s="151"/>
    </x:row>
    <x:row r="385">
      <x:c r="A385" s="151" t="str">
        <x:f>IF(B385="","",TEXT(B385,"yyyymmdd")&amp;"-"&amp;TEXT(COUNTIF($B$5:B385,B385),"000"))</x:f>
      </x:c>
      <x:c r="B385" s="152"/>
      <x:c r="C385" s="153"/>
      <x:c r="D385" s="151" t="str">
        <x:f>IF(B385="","",'Configuracion'!$B$4)</x:f>
      </x:c>
      <x:c r="E385" s="154"/>
      <x:c r="F385" s="154"/>
      <x:c r="G385" s="151" t="str">
        <x:f>IFERROR(VLOOKUP(F385,'Base Sectores'!$A$5:$J$47,2,FALSE),"")</x:f>
      </x:c>
      <x:c r="H385" s="151" t="str">
        <x:f>IFERROR(VLOOKUP(F385,'Base Sectores'!$A$5:$J$47,3,FALSE),"")</x:f>
      </x:c>
      <x:c r="I385" s="151" t="str">
        <x:f>IFERROR(VLOOKUP(F385,'Base Sectores'!$A$5:$J$47,4,FALSE),"")</x:f>
      </x:c>
      <x:c r="J385" s="151" t="str">
        <x:f>IFERROR(VLOOKUP(F385,'Base Sectores'!$A$5:$J$47,5,FALSE),"")</x:f>
      </x:c>
      <x:c r="K385" s="151" t="str">
        <x:f>IFERROR(VLOOKUP(F385,'Base Sectores'!$A$5:$J$47,6,FALSE),"")</x:f>
      </x:c>
      <x:c r="L385" s="151" t="str">
        <x:f>IFERROR(VLOOKUP(F385,'Base Sectores'!$A$5:$J$47,7,FALSE),"")</x:f>
      </x:c>
      <x:c r="M385" s="151" t="str">
        <x:f>IFERROR(VLOOKUP(F385,'Base Sectores'!$A$5:$J$47,9,FALSE),"")</x:f>
      </x:c>
      <x:c r="N385" s="154"/>
      <x:c r="O385" s="151" t="str">
        <x:f>IFERROR(VLOOKUP(N385,'Configuracion'!$D$4:$H$15,2,FALSE),"")</x:f>
      </x:c>
      <x:c r="P385" s="151" t="str">
        <x:f>IFERROR(VLOOKUP(N385,'Configuracion'!$D$4:$H$15,3,FALSE),"")</x:f>
      </x:c>
      <x:c r="Q385" s="155"/>
      <x:c r="R385" s="156" t="str">
        <x:f>IFERROR(VLOOKUP(N385,'Configuracion'!$D$4:$H$15,4,FALSE),"")</x:f>
      </x:c>
      <x:c r="S385" s="153"/>
      <x:c r="T385" s="153"/>
      <x:c r="U385" s="156" t="str">
        <x:f>IF(OR(S385="",T385=""),"",MOD(T385-S385,1)*24)</x:f>
      </x:c>
      <x:c r="V385" s="154"/>
      <x:c r="W385" s="154"/>
      <x:c r="X385" s="151" t="str">
        <x:f>IFERROR(VLOOKUP(N385,'Configuracion'!$D$4:$H$15,5,FALSE),"")</x:f>
      </x:c>
      <x:c r="Y385" s="151" t="str">
        <x:f>IFERROR(VLOOKUP(V385,'Cuadrillas'!$A$5:$J$14,2,FALSE),"")</x:f>
      </x:c>
      <x:c r="Z385" s="154"/>
      <x:c r="AA385" s="154"/>
      <x:c r="AB385" s="154"/>
      <x:c r="AC385" s="153"/>
      <x:c r="AD385" s="153"/>
      <x:c r="AE385" s="156" t="str">
        <x:f>IF(OR(AC385="",AD385=""),"",MOD(AD385-AC385,1)*24)</x:f>
      </x:c>
      <x:c r="AF385" s="154"/>
      <x:c r="AG385" s="156" t="str">
        <x:f>IF(AE385="","",MAX(0,AE385-IF(AF385="",0,AF385/60)))</x:f>
      </x:c>
      <x:c r="AH385" s="155"/>
      <x:c r="AI385" s="154"/>
      <x:c r="AJ385" s="154"/>
      <x:c r="AK385" s="156" t="n">
        <x:f>IFERROR(U385*W385,"")</x:f>
        <x:v>0</x:v>
      </x:c>
      <x:c r="AL385" s="156" t="n">
        <x:f>IFERROR(AE385*AI385,"")</x:f>
        <x:v>0</x:v>
      </x:c>
      <x:c r="AM385" s="157" t="str">
        <x:f>IFERROR(AH385/Q385,"")</x:f>
      </x:c>
      <x:c r="AN385" s="156" t="str">
        <x:f>IFERROR(AH385/AG385,"")</x:f>
      </x:c>
      <x:c r="AO385" s="156" t="str">
        <x:f>IFERROR(AL385/AH385,"")</x:f>
      </x:c>
      <x:c r="AP385" s="157" t="str">
        <x:f>IFERROR(AG385/AE385,"")</x:f>
      </x:c>
      <x:c r="AQ385" s="157" t="str">
        <x:f>IFERROR(AN385/(R385/'Configuracion'!$B$13),"")</x:f>
      </x:c>
      <x:c r="AR385" s="156" t="n">
        <x:f>IFERROR(AE385-U385,"")</x:f>
        <x:v>0</x:v>
      </x:c>
      <x:c r="AS385" s="154"/>
      <x:c r="AT385" s="154"/>
      <x:c r="AU385" s="154"/>
      <x:c r="AV385" s="154"/>
      <x:c r="AW385" s="152"/>
      <x:c r="AX385" s="154"/>
      <x:c r="AY385" s="154"/>
      <x:c r="AZ385" s="151"/>
      <x:c r="BA385" s="151"/>
    </x:row>
    <x:row r="386">
      <x:c r="A386" s="151" t="str">
        <x:f>IF(B386="","",TEXT(B386,"yyyymmdd")&amp;"-"&amp;TEXT(COUNTIF($B$5:B386,B386),"000"))</x:f>
      </x:c>
      <x:c r="B386" s="152"/>
      <x:c r="C386" s="153"/>
      <x:c r="D386" s="151" t="str">
        <x:f>IF(B386="","",'Configuracion'!$B$4)</x:f>
      </x:c>
      <x:c r="E386" s="154"/>
      <x:c r="F386" s="154"/>
      <x:c r="G386" s="151" t="str">
        <x:f>IFERROR(VLOOKUP(F386,'Base Sectores'!$A$5:$J$47,2,FALSE),"")</x:f>
      </x:c>
      <x:c r="H386" s="151" t="str">
        <x:f>IFERROR(VLOOKUP(F386,'Base Sectores'!$A$5:$J$47,3,FALSE),"")</x:f>
      </x:c>
      <x:c r="I386" s="151" t="str">
        <x:f>IFERROR(VLOOKUP(F386,'Base Sectores'!$A$5:$J$47,4,FALSE),"")</x:f>
      </x:c>
      <x:c r="J386" s="151" t="str">
        <x:f>IFERROR(VLOOKUP(F386,'Base Sectores'!$A$5:$J$47,5,FALSE),"")</x:f>
      </x:c>
      <x:c r="K386" s="151" t="str">
        <x:f>IFERROR(VLOOKUP(F386,'Base Sectores'!$A$5:$J$47,6,FALSE),"")</x:f>
      </x:c>
      <x:c r="L386" s="151" t="str">
        <x:f>IFERROR(VLOOKUP(F386,'Base Sectores'!$A$5:$J$47,7,FALSE),"")</x:f>
      </x:c>
      <x:c r="M386" s="151" t="str">
        <x:f>IFERROR(VLOOKUP(F386,'Base Sectores'!$A$5:$J$47,9,FALSE),"")</x:f>
      </x:c>
      <x:c r="N386" s="154"/>
      <x:c r="O386" s="151" t="str">
        <x:f>IFERROR(VLOOKUP(N386,'Configuracion'!$D$4:$H$15,2,FALSE),"")</x:f>
      </x:c>
      <x:c r="P386" s="151" t="str">
        <x:f>IFERROR(VLOOKUP(N386,'Configuracion'!$D$4:$H$15,3,FALSE),"")</x:f>
      </x:c>
      <x:c r="Q386" s="155"/>
      <x:c r="R386" s="156" t="str">
        <x:f>IFERROR(VLOOKUP(N386,'Configuracion'!$D$4:$H$15,4,FALSE),"")</x:f>
      </x:c>
      <x:c r="S386" s="153"/>
      <x:c r="T386" s="153"/>
      <x:c r="U386" s="156" t="str">
        <x:f>IF(OR(S386="",T386=""),"",MOD(T386-S386,1)*24)</x:f>
      </x:c>
      <x:c r="V386" s="154"/>
      <x:c r="W386" s="154"/>
      <x:c r="X386" s="151" t="str">
        <x:f>IFERROR(VLOOKUP(N386,'Configuracion'!$D$4:$H$15,5,FALSE),"")</x:f>
      </x:c>
      <x:c r="Y386" s="151" t="str">
        <x:f>IFERROR(VLOOKUP(V386,'Cuadrillas'!$A$5:$J$14,2,FALSE),"")</x:f>
      </x:c>
      <x:c r="Z386" s="154"/>
      <x:c r="AA386" s="154"/>
      <x:c r="AB386" s="154"/>
      <x:c r="AC386" s="153"/>
      <x:c r="AD386" s="153"/>
      <x:c r="AE386" s="156" t="str">
        <x:f>IF(OR(AC386="",AD386=""),"",MOD(AD386-AC386,1)*24)</x:f>
      </x:c>
      <x:c r="AF386" s="154"/>
      <x:c r="AG386" s="156" t="str">
        <x:f>IF(AE386="","",MAX(0,AE386-IF(AF386="",0,AF386/60)))</x:f>
      </x:c>
      <x:c r="AH386" s="155"/>
      <x:c r="AI386" s="154"/>
      <x:c r="AJ386" s="154"/>
      <x:c r="AK386" s="156" t="n">
        <x:f>IFERROR(U386*W386,"")</x:f>
        <x:v>0</x:v>
      </x:c>
      <x:c r="AL386" s="156" t="n">
        <x:f>IFERROR(AE386*AI386,"")</x:f>
        <x:v>0</x:v>
      </x:c>
      <x:c r="AM386" s="157" t="str">
        <x:f>IFERROR(AH386/Q386,"")</x:f>
      </x:c>
      <x:c r="AN386" s="156" t="str">
        <x:f>IFERROR(AH386/AG386,"")</x:f>
      </x:c>
      <x:c r="AO386" s="156" t="str">
        <x:f>IFERROR(AL386/AH386,"")</x:f>
      </x:c>
      <x:c r="AP386" s="157" t="str">
        <x:f>IFERROR(AG386/AE386,"")</x:f>
      </x:c>
      <x:c r="AQ386" s="157" t="str">
        <x:f>IFERROR(AN386/(R386/'Configuracion'!$B$13),"")</x:f>
      </x:c>
      <x:c r="AR386" s="156" t="n">
        <x:f>IFERROR(AE386-U386,"")</x:f>
        <x:v>0</x:v>
      </x:c>
      <x:c r="AS386" s="154"/>
      <x:c r="AT386" s="154"/>
      <x:c r="AU386" s="154"/>
      <x:c r="AV386" s="154"/>
      <x:c r="AW386" s="152"/>
      <x:c r="AX386" s="154"/>
      <x:c r="AY386" s="154"/>
      <x:c r="AZ386" s="151"/>
      <x:c r="BA386" s="151"/>
    </x:row>
    <x:row r="387">
      <x:c r="A387" s="151" t="str">
        <x:f>IF(B387="","",TEXT(B387,"yyyymmdd")&amp;"-"&amp;TEXT(COUNTIF($B$5:B387,B387),"000"))</x:f>
      </x:c>
      <x:c r="B387" s="152"/>
      <x:c r="C387" s="153"/>
      <x:c r="D387" s="151" t="str">
        <x:f>IF(B387="","",'Configuracion'!$B$4)</x:f>
      </x:c>
      <x:c r="E387" s="154"/>
      <x:c r="F387" s="154"/>
      <x:c r="G387" s="151" t="str">
        <x:f>IFERROR(VLOOKUP(F387,'Base Sectores'!$A$5:$J$47,2,FALSE),"")</x:f>
      </x:c>
      <x:c r="H387" s="151" t="str">
        <x:f>IFERROR(VLOOKUP(F387,'Base Sectores'!$A$5:$J$47,3,FALSE),"")</x:f>
      </x:c>
      <x:c r="I387" s="151" t="str">
        <x:f>IFERROR(VLOOKUP(F387,'Base Sectores'!$A$5:$J$47,4,FALSE),"")</x:f>
      </x:c>
      <x:c r="J387" s="151" t="str">
        <x:f>IFERROR(VLOOKUP(F387,'Base Sectores'!$A$5:$J$47,5,FALSE),"")</x:f>
      </x:c>
      <x:c r="K387" s="151" t="str">
        <x:f>IFERROR(VLOOKUP(F387,'Base Sectores'!$A$5:$J$47,6,FALSE),"")</x:f>
      </x:c>
      <x:c r="L387" s="151" t="str">
        <x:f>IFERROR(VLOOKUP(F387,'Base Sectores'!$A$5:$J$47,7,FALSE),"")</x:f>
      </x:c>
      <x:c r="M387" s="151" t="str">
        <x:f>IFERROR(VLOOKUP(F387,'Base Sectores'!$A$5:$J$47,9,FALSE),"")</x:f>
      </x:c>
      <x:c r="N387" s="154"/>
      <x:c r="O387" s="151" t="str">
        <x:f>IFERROR(VLOOKUP(N387,'Configuracion'!$D$4:$H$15,2,FALSE),"")</x:f>
      </x:c>
      <x:c r="P387" s="151" t="str">
        <x:f>IFERROR(VLOOKUP(N387,'Configuracion'!$D$4:$H$15,3,FALSE),"")</x:f>
      </x:c>
      <x:c r="Q387" s="155"/>
      <x:c r="R387" s="156" t="str">
        <x:f>IFERROR(VLOOKUP(N387,'Configuracion'!$D$4:$H$15,4,FALSE),"")</x:f>
      </x:c>
      <x:c r="S387" s="153"/>
      <x:c r="T387" s="153"/>
      <x:c r="U387" s="156" t="str">
        <x:f>IF(OR(S387="",T387=""),"",MOD(T387-S387,1)*24)</x:f>
      </x:c>
      <x:c r="V387" s="154"/>
      <x:c r="W387" s="154"/>
      <x:c r="X387" s="151" t="str">
        <x:f>IFERROR(VLOOKUP(N387,'Configuracion'!$D$4:$H$15,5,FALSE),"")</x:f>
      </x:c>
      <x:c r="Y387" s="151" t="str">
        <x:f>IFERROR(VLOOKUP(V387,'Cuadrillas'!$A$5:$J$14,2,FALSE),"")</x:f>
      </x:c>
      <x:c r="Z387" s="154"/>
      <x:c r="AA387" s="154"/>
      <x:c r="AB387" s="154"/>
      <x:c r="AC387" s="153"/>
      <x:c r="AD387" s="153"/>
      <x:c r="AE387" s="156" t="str">
        <x:f>IF(OR(AC387="",AD387=""),"",MOD(AD387-AC387,1)*24)</x:f>
      </x:c>
      <x:c r="AF387" s="154"/>
      <x:c r="AG387" s="156" t="str">
        <x:f>IF(AE387="","",MAX(0,AE387-IF(AF387="",0,AF387/60)))</x:f>
      </x:c>
      <x:c r="AH387" s="155"/>
      <x:c r="AI387" s="154"/>
      <x:c r="AJ387" s="154"/>
      <x:c r="AK387" s="156" t="n">
        <x:f>IFERROR(U387*W387,"")</x:f>
        <x:v>0</x:v>
      </x:c>
      <x:c r="AL387" s="156" t="n">
        <x:f>IFERROR(AE387*AI387,"")</x:f>
        <x:v>0</x:v>
      </x:c>
      <x:c r="AM387" s="157" t="str">
        <x:f>IFERROR(AH387/Q387,"")</x:f>
      </x:c>
      <x:c r="AN387" s="156" t="str">
        <x:f>IFERROR(AH387/AG387,"")</x:f>
      </x:c>
      <x:c r="AO387" s="156" t="str">
        <x:f>IFERROR(AL387/AH387,"")</x:f>
      </x:c>
      <x:c r="AP387" s="157" t="str">
        <x:f>IFERROR(AG387/AE387,"")</x:f>
      </x:c>
      <x:c r="AQ387" s="157" t="str">
        <x:f>IFERROR(AN387/(R387/'Configuracion'!$B$13),"")</x:f>
      </x:c>
      <x:c r="AR387" s="156" t="n">
        <x:f>IFERROR(AE387-U387,"")</x:f>
        <x:v>0</x:v>
      </x:c>
      <x:c r="AS387" s="154"/>
      <x:c r="AT387" s="154"/>
      <x:c r="AU387" s="154"/>
      <x:c r="AV387" s="154"/>
      <x:c r="AW387" s="152"/>
      <x:c r="AX387" s="154"/>
      <x:c r="AY387" s="154"/>
      <x:c r="AZ387" s="151"/>
      <x:c r="BA387" s="151"/>
    </x:row>
    <x:row r="388">
      <x:c r="A388" s="151" t="str">
        <x:f>IF(B388="","",TEXT(B388,"yyyymmdd")&amp;"-"&amp;TEXT(COUNTIF($B$5:B388,B388),"000"))</x:f>
      </x:c>
      <x:c r="B388" s="152"/>
      <x:c r="C388" s="153"/>
      <x:c r="D388" s="151" t="str">
        <x:f>IF(B388="","",'Configuracion'!$B$4)</x:f>
      </x:c>
      <x:c r="E388" s="154"/>
      <x:c r="F388" s="154"/>
      <x:c r="G388" s="151" t="str">
        <x:f>IFERROR(VLOOKUP(F388,'Base Sectores'!$A$5:$J$47,2,FALSE),"")</x:f>
      </x:c>
      <x:c r="H388" s="151" t="str">
        <x:f>IFERROR(VLOOKUP(F388,'Base Sectores'!$A$5:$J$47,3,FALSE),"")</x:f>
      </x:c>
      <x:c r="I388" s="151" t="str">
        <x:f>IFERROR(VLOOKUP(F388,'Base Sectores'!$A$5:$J$47,4,FALSE),"")</x:f>
      </x:c>
      <x:c r="J388" s="151" t="str">
        <x:f>IFERROR(VLOOKUP(F388,'Base Sectores'!$A$5:$J$47,5,FALSE),"")</x:f>
      </x:c>
      <x:c r="K388" s="151" t="str">
        <x:f>IFERROR(VLOOKUP(F388,'Base Sectores'!$A$5:$J$47,6,FALSE),"")</x:f>
      </x:c>
      <x:c r="L388" s="151" t="str">
        <x:f>IFERROR(VLOOKUP(F388,'Base Sectores'!$A$5:$J$47,7,FALSE),"")</x:f>
      </x:c>
      <x:c r="M388" s="151" t="str">
        <x:f>IFERROR(VLOOKUP(F388,'Base Sectores'!$A$5:$J$47,9,FALSE),"")</x:f>
      </x:c>
      <x:c r="N388" s="154"/>
      <x:c r="O388" s="151" t="str">
        <x:f>IFERROR(VLOOKUP(N388,'Configuracion'!$D$4:$H$15,2,FALSE),"")</x:f>
      </x:c>
      <x:c r="P388" s="151" t="str">
        <x:f>IFERROR(VLOOKUP(N388,'Configuracion'!$D$4:$H$15,3,FALSE),"")</x:f>
      </x:c>
      <x:c r="Q388" s="155"/>
      <x:c r="R388" s="156" t="str">
        <x:f>IFERROR(VLOOKUP(N388,'Configuracion'!$D$4:$H$15,4,FALSE),"")</x:f>
      </x:c>
      <x:c r="S388" s="153"/>
      <x:c r="T388" s="153"/>
      <x:c r="U388" s="156" t="str">
        <x:f>IF(OR(S388="",T388=""),"",MOD(T388-S388,1)*24)</x:f>
      </x:c>
      <x:c r="V388" s="154"/>
      <x:c r="W388" s="154"/>
      <x:c r="X388" s="151" t="str">
        <x:f>IFERROR(VLOOKUP(N388,'Configuracion'!$D$4:$H$15,5,FALSE),"")</x:f>
      </x:c>
      <x:c r="Y388" s="151" t="str">
        <x:f>IFERROR(VLOOKUP(V388,'Cuadrillas'!$A$5:$J$14,2,FALSE),"")</x:f>
      </x:c>
      <x:c r="Z388" s="154"/>
      <x:c r="AA388" s="154"/>
      <x:c r="AB388" s="154"/>
      <x:c r="AC388" s="153"/>
      <x:c r="AD388" s="153"/>
      <x:c r="AE388" s="156" t="str">
        <x:f>IF(OR(AC388="",AD388=""),"",MOD(AD388-AC388,1)*24)</x:f>
      </x:c>
      <x:c r="AF388" s="154"/>
      <x:c r="AG388" s="156" t="str">
        <x:f>IF(AE388="","",MAX(0,AE388-IF(AF388="",0,AF388/60)))</x:f>
      </x:c>
      <x:c r="AH388" s="155"/>
      <x:c r="AI388" s="154"/>
      <x:c r="AJ388" s="154"/>
      <x:c r="AK388" s="156" t="n">
        <x:f>IFERROR(U388*W388,"")</x:f>
        <x:v>0</x:v>
      </x:c>
      <x:c r="AL388" s="156" t="n">
        <x:f>IFERROR(AE388*AI388,"")</x:f>
        <x:v>0</x:v>
      </x:c>
      <x:c r="AM388" s="157" t="str">
        <x:f>IFERROR(AH388/Q388,"")</x:f>
      </x:c>
      <x:c r="AN388" s="156" t="str">
        <x:f>IFERROR(AH388/AG388,"")</x:f>
      </x:c>
      <x:c r="AO388" s="156" t="str">
        <x:f>IFERROR(AL388/AH388,"")</x:f>
      </x:c>
      <x:c r="AP388" s="157" t="str">
        <x:f>IFERROR(AG388/AE388,"")</x:f>
      </x:c>
      <x:c r="AQ388" s="157" t="str">
        <x:f>IFERROR(AN388/(R388/'Configuracion'!$B$13),"")</x:f>
      </x:c>
      <x:c r="AR388" s="156" t="n">
        <x:f>IFERROR(AE388-U388,"")</x:f>
        <x:v>0</x:v>
      </x:c>
      <x:c r="AS388" s="154"/>
      <x:c r="AT388" s="154"/>
      <x:c r="AU388" s="154"/>
      <x:c r="AV388" s="154"/>
      <x:c r="AW388" s="152"/>
      <x:c r="AX388" s="154"/>
      <x:c r="AY388" s="154"/>
      <x:c r="AZ388" s="151"/>
      <x:c r="BA388" s="151"/>
    </x:row>
    <x:row r="389">
      <x:c r="A389" s="151" t="str">
        <x:f>IF(B389="","",TEXT(B389,"yyyymmdd")&amp;"-"&amp;TEXT(COUNTIF($B$5:B389,B389),"000"))</x:f>
      </x:c>
      <x:c r="B389" s="152"/>
      <x:c r="C389" s="153"/>
      <x:c r="D389" s="151" t="str">
        <x:f>IF(B389="","",'Configuracion'!$B$4)</x:f>
      </x:c>
      <x:c r="E389" s="154"/>
      <x:c r="F389" s="154"/>
      <x:c r="G389" s="151" t="str">
        <x:f>IFERROR(VLOOKUP(F389,'Base Sectores'!$A$5:$J$47,2,FALSE),"")</x:f>
      </x:c>
      <x:c r="H389" s="151" t="str">
        <x:f>IFERROR(VLOOKUP(F389,'Base Sectores'!$A$5:$J$47,3,FALSE),"")</x:f>
      </x:c>
      <x:c r="I389" s="151" t="str">
        <x:f>IFERROR(VLOOKUP(F389,'Base Sectores'!$A$5:$J$47,4,FALSE),"")</x:f>
      </x:c>
      <x:c r="J389" s="151" t="str">
        <x:f>IFERROR(VLOOKUP(F389,'Base Sectores'!$A$5:$J$47,5,FALSE),"")</x:f>
      </x:c>
      <x:c r="K389" s="151" t="str">
        <x:f>IFERROR(VLOOKUP(F389,'Base Sectores'!$A$5:$J$47,6,FALSE),"")</x:f>
      </x:c>
      <x:c r="L389" s="151" t="str">
        <x:f>IFERROR(VLOOKUP(F389,'Base Sectores'!$A$5:$J$47,7,FALSE),"")</x:f>
      </x:c>
      <x:c r="M389" s="151" t="str">
        <x:f>IFERROR(VLOOKUP(F389,'Base Sectores'!$A$5:$J$47,9,FALSE),"")</x:f>
      </x:c>
      <x:c r="N389" s="154"/>
      <x:c r="O389" s="151" t="str">
        <x:f>IFERROR(VLOOKUP(N389,'Configuracion'!$D$4:$H$15,2,FALSE),"")</x:f>
      </x:c>
      <x:c r="P389" s="151" t="str">
        <x:f>IFERROR(VLOOKUP(N389,'Configuracion'!$D$4:$H$15,3,FALSE),"")</x:f>
      </x:c>
      <x:c r="Q389" s="155"/>
      <x:c r="R389" s="156" t="str">
        <x:f>IFERROR(VLOOKUP(N389,'Configuracion'!$D$4:$H$15,4,FALSE),"")</x:f>
      </x:c>
      <x:c r="S389" s="153"/>
      <x:c r="T389" s="153"/>
      <x:c r="U389" s="156" t="str">
        <x:f>IF(OR(S389="",T389=""),"",MOD(T389-S389,1)*24)</x:f>
      </x:c>
      <x:c r="V389" s="154"/>
      <x:c r="W389" s="154"/>
      <x:c r="X389" s="151" t="str">
        <x:f>IFERROR(VLOOKUP(N389,'Configuracion'!$D$4:$H$15,5,FALSE),"")</x:f>
      </x:c>
      <x:c r="Y389" s="151" t="str">
        <x:f>IFERROR(VLOOKUP(V389,'Cuadrillas'!$A$5:$J$14,2,FALSE),"")</x:f>
      </x:c>
      <x:c r="Z389" s="154"/>
      <x:c r="AA389" s="154"/>
      <x:c r="AB389" s="154"/>
      <x:c r="AC389" s="153"/>
      <x:c r="AD389" s="153"/>
      <x:c r="AE389" s="156" t="str">
        <x:f>IF(OR(AC389="",AD389=""),"",MOD(AD389-AC389,1)*24)</x:f>
      </x:c>
      <x:c r="AF389" s="154"/>
      <x:c r="AG389" s="156" t="str">
        <x:f>IF(AE389="","",MAX(0,AE389-IF(AF389="",0,AF389/60)))</x:f>
      </x:c>
      <x:c r="AH389" s="155"/>
      <x:c r="AI389" s="154"/>
      <x:c r="AJ389" s="154"/>
      <x:c r="AK389" s="156" t="n">
        <x:f>IFERROR(U389*W389,"")</x:f>
        <x:v>0</x:v>
      </x:c>
      <x:c r="AL389" s="156" t="n">
        <x:f>IFERROR(AE389*AI389,"")</x:f>
        <x:v>0</x:v>
      </x:c>
      <x:c r="AM389" s="157" t="str">
        <x:f>IFERROR(AH389/Q389,"")</x:f>
      </x:c>
      <x:c r="AN389" s="156" t="str">
        <x:f>IFERROR(AH389/AG389,"")</x:f>
      </x:c>
      <x:c r="AO389" s="156" t="str">
        <x:f>IFERROR(AL389/AH389,"")</x:f>
      </x:c>
      <x:c r="AP389" s="157" t="str">
        <x:f>IFERROR(AG389/AE389,"")</x:f>
      </x:c>
      <x:c r="AQ389" s="157" t="str">
        <x:f>IFERROR(AN389/(R389/'Configuracion'!$B$13),"")</x:f>
      </x:c>
      <x:c r="AR389" s="156" t="n">
        <x:f>IFERROR(AE389-U389,"")</x:f>
        <x:v>0</x:v>
      </x:c>
      <x:c r="AS389" s="154"/>
      <x:c r="AT389" s="154"/>
      <x:c r="AU389" s="154"/>
      <x:c r="AV389" s="154"/>
      <x:c r="AW389" s="152"/>
      <x:c r="AX389" s="154"/>
      <x:c r="AY389" s="154"/>
      <x:c r="AZ389" s="151"/>
      <x:c r="BA389" s="151"/>
    </x:row>
    <x:row r="390">
      <x:c r="A390" s="151" t="str">
        <x:f>IF(B390="","",TEXT(B390,"yyyymmdd")&amp;"-"&amp;TEXT(COUNTIF($B$5:B390,B390),"000"))</x:f>
      </x:c>
      <x:c r="B390" s="152"/>
      <x:c r="C390" s="153"/>
      <x:c r="D390" s="151" t="str">
        <x:f>IF(B390="","",'Configuracion'!$B$4)</x:f>
      </x:c>
      <x:c r="E390" s="154"/>
      <x:c r="F390" s="154"/>
      <x:c r="G390" s="151" t="str">
        <x:f>IFERROR(VLOOKUP(F390,'Base Sectores'!$A$5:$J$47,2,FALSE),"")</x:f>
      </x:c>
      <x:c r="H390" s="151" t="str">
        <x:f>IFERROR(VLOOKUP(F390,'Base Sectores'!$A$5:$J$47,3,FALSE),"")</x:f>
      </x:c>
      <x:c r="I390" s="151" t="str">
        <x:f>IFERROR(VLOOKUP(F390,'Base Sectores'!$A$5:$J$47,4,FALSE),"")</x:f>
      </x:c>
      <x:c r="J390" s="151" t="str">
        <x:f>IFERROR(VLOOKUP(F390,'Base Sectores'!$A$5:$J$47,5,FALSE),"")</x:f>
      </x:c>
      <x:c r="K390" s="151" t="str">
        <x:f>IFERROR(VLOOKUP(F390,'Base Sectores'!$A$5:$J$47,6,FALSE),"")</x:f>
      </x:c>
      <x:c r="L390" s="151" t="str">
        <x:f>IFERROR(VLOOKUP(F390,'Base Sectores'!$A$5:$J$47,7,FALSE),"")</x:f>
      </x:c>
      <x:c r="M390" s="151" t="str">
        <x:f>IFERROR(VLOOKUP(F390,'Base Sectores'!$A$5:$J$47,9,FALSE),"")</x:f>
      </x:c>
      <x:c r="N390" s="154"/>
      <x:c r="O390" s="151" t="str">
        <x:f>IFERROR(VLOOKUP(N390,'Configuracion'!$D$4:$H$15,2,FALSE),"")</x:f>
      </x:c>
      <x:c r="P390" s="151" t="str">
        <x:f>IFERROR(VLOOKUP(N390,'Configuracion'!$D$4:$H$15,3,FALSE),"")</x:f>
      </x:c>
      <x:c r="Q390" s="155"/>
      <x:c r="R390" s="156" t="str">
        <x:f>IFERROR(VLOOKUP(N390,'Configuracion'!$D$4:$H$15,4,FALSE),"")</x:f>
      </x:c>
      <x:c r="S390" s="153"/>
      <x:c r="T390" s="153"/>
      <x:c r="U390" s="156" t="str">
        <x:f>IF(OR(S390="",T390=""),"",MOD(T390-S390,1)*24)</x:f>
      </x:c>
      <x:c r="V390" s="154"/>
      <x:c r="W390" s="154"/>
      <x:c r="X390" s="151" t="str">
        <x:f>IFERROR(VLOOKUP(N390,'Configuracion'!$D$4:$H$15,5,FALSE),"")</x:f>
      </x:c>
      <x:c r="Y390" s="151" t="str">
        <x:f>IFERROR(VLOOKUP(V390,'Cuadrillas'!$A$5:$J$14,2,FALSE),"")</x:f>
      </x:c>
      <x:c r="Z390" s="154"/>
      <x:c r="AA390" s="154"/>
      <x:c r="AB390" s="154"/>
      <x:c r="AC390" s="153"/>
      <x:c r="AD390" s="153"/>
      <x:c r="AE390" s="156" t="str">
        <x:f>IF(OR(AC390="",AD390=""),"",MOD(AD390-AC390,1)*24)</x:f>
      </x:c>
      <x:c r="AF390" s="154"/>
      <x:c r="AG390" s="156" t="str">
        <x:f>IF(AE390="","",MAX(0,AE390-IF(AF390="",0,AF390/60)))</x:f>
      </x:c>
      <x:c r="AH390" s="155"/>
      <x:c r="AI390" s="154"/>
      <x:c r="AJ390" s="154"/>
      <x:c r="AK390" s="156" t="n">
        <x:f>IFERROR(U390*W390,"")</x:f>
        <x:v>0</x:v>
      </x:c>
      <x:c r="AL390" s="156" t="n">
        <x:f>IFERROR(AE390*AI390,"")</x:f>
        <x:v>0</x:v>
      </x:c>
      <x:c r="AM390" s="157" t="str">
        <x:f>IFERROR(AH390/Q390,"")</x:f>
      </x:c>
      <x:c r="AN390" s="156" t="str">
        <x:f>IFERROR(AH390/AG390,"")</x:f>
      </x:c>
      <x:c r="AO390" s="156" t="str">
        <x:f>IFERROR(AL390/AH390,"")</x:f>
      </x:c>
      <x:c r="AP390" s="157" t="str">
        <x:f>IFERROR(AG390/AE390,"")</x:f>
      </x:c>
      <x:c r="AQ390" s="157" t="str">
        <x:f>IFERROR(AN390/(R390/'Configuracion'!$B$13),"")</x:f>
      </x:c>
      <x:c r="AR390" s="156" t="n">
        <x:f>IFERROR(AE390-U390,"")</x:f>
        <x:v>0</x:v>
      </x:c>
      <x:c r="AS390" s="154"/>
      <x:c r="AT390" s="154"/>
      <x:c r="AU390" s="154"/>
      <x:c r="AV390" s="154"/>
      <x:c r="AW390" s="152"/>
      <x:c r="AX390" s="154"/>
      <x:c r="AY390" s="154"/>
      <x:c r="AZ390" s="151"/>
      <x:c r="BA390" s="151"/>
    </x:row>
    <x:row r="391">
      <x:c r="A391" s="151" t="str">
        <x:f>IF(B391="","",TEXT(B391,"yyyymmdd")&amp;"-"&amp;TEXT(COUNTIF($B$5:B391,B391),"000"))</x:f>
      </x:c>
      <x:c r="B391" s="152"/>
      <x:c r="C391" s="153"/>
      <x:c r="D391" s="151" t="str">
        <x:f>IF(B391="","",'Configuracion'!$B$4)</x:f>
      </x:c>
      <x:c r="E391" s="154"/>
      <x:c r="F391" s="154"/>
      <x:c r="G391" s="151" t="str">
        <x:f>IFERROR(VLOOKUP(F391,'Base Sectores'!$A$5:$J$47,2,FALSE),"")</x:f>
      </x:c>
      <x:c r="H391" s="151" t="str">
        <x:f>IFERROR(VLOOKUP(F391,'Base Sectores'!$A$5:$J$47,3,FALSE),"")</x:f>
      </x:c>
      <x:c r="I391" s="151" t="str">
        <x:f>IFERROR(VLOOKUP(F391,'Base Sectores'!$A$5:$J$47,4,FALSE),"")</x:f>
      </x:c>
      <x:c r="J391" s="151" t="str">
        <x:f>IFERROR(VLOOKUP(F391,'Base Sectores'!$A$5:$J$47,5,FALSE),"")</x:f>
      </x:c>
      <x:c r="K391" s="151" t="str">
        <x:f>IFERROR(VLOOKUP(F391,'Base Sectores'!$A$5:$J$47,6,FALSE),"")</x:f>
      </x:c>
      <x:c r="L391" s="151" t="str">
        <x:f>IFERROR(VLOOKUP(F391,'Base Sectores'!$A$5:$J$47,7,FALSE),"")</x:f>
      </x:c>
      <x:c r="M391" s="151" t="str">
        <x:f>IFERROR(VLOOKUP(F391,'Base Sectores'!$A$5:$J$47,9,FALSE),"")</x:f>
      </x:c>
      <x:c r="N391" s="154"/>
      <x:c r="O391" s="151" t="str">
        <x:f>IFERROR(VLOOKUP(N391,'Configuracion'!$D$4:$H$15,2,FALSE),"")</x:f>
      </x:c>
      <x:c r="P391" s="151" t="str">
        <x:f>IFERROR(VLOOKUP(N391,'Configuracion'!$D$4:$H$15,3,FALSE),"")</x:f>
      </x:c>
      <x:c r="Q391" s="155"/>
      <x:c r="R391" s="156" t="str">
        <x:f>IFERROR(VLOOKUP(N391,'Configuracion'!$D$4:$H$15,4,FALSE),"")</x:f>
      </x:c>
      <x:c r="S391" s="153"/>
      <x:c r="T391" s="153"/>
      <x:c r="U391" s="156" t="str">
        <x:f>IF(OR(S391="",T391=""),"",MOD(T391-S391,1)*24)</x:f>
      </x:c>
      <x:c r="V391" s="154"/>
      <x:c r="W391" s="154"/>
      <x:c r="X391" s="151" t="str">
        <x:f>IFERROR(VLOOKUP(N391,'Configuracion'!$D$4:$H$15,5,FALSE),"")</x:f>
      </x:c>
      <x:c r="Y391" s="151" t="str">
        <x:f>IFERROR(VLOOKUP(V391,'Cuadrillas'!$A$5:$J$14,2,FALSE),"")</x:f>
      </x:c>
      <x:c r="Z391" s="154"/>
      <x:c r="AA391" s="154"/>
      <x:c r="AB391" s="154"/>
      <x:c r="AC391" s="153"/>
      <x:c r="AD391" s="153"/>
      <x:c r="AE391" s="156" t="str">
        <x:f>IF(OR(AC391="",AD391=""),"",MOD(AD391-AC391,1)*24)</x:f>
      </x:c>
      <x:c r="AF391" s="154"/>
      <x:c r="AG391" s="156" t="str">
        <x:f>IF(AE391="","",MAX(0,AE391-IF(AF391="",0,AF391/60)))</x:f>
      </x:c>
      <x:c r="AH391" s="155"/>
      <x:c r="AI391" s="154"/>
      <x:c r="AJ391" s="154"/>
      <x:c r="AK391" s="156" t="n">
        <x:f>IFERROR(U391*W391,"")</x:f>
        <x:v>0</x:v>
      </x:c>
      <x:c r="AL391" s="156" t="n">
        <x:f>IFERROR(AE391*AI391,"")</x:f>
        <x:v>0</x:v>
      </x:c>
      <x:c r="AM391" s="157" t="str">
        <x:f>IFERROR(AH391/Q391,"")</x:f>
      </x:c>
      <x:c r="AN391" s="156" t="str">
        <x:f>IFERROR(AH391/AG391,"")</x:f>
      </x:c>
      <x:c r="AO391" s="156" t="str">
        <x:f>IFERROR(AL391/AH391,"")</x:f>
      </x:c>
      <x:c r="AP391" s="157" t="str">
        <x:f>IFERROR(AG391/AE391,"")</x:f>
      </x:c>
      <x:c r="AQ391" s="157" t="str">
        <x:f>IFERROR(AN391/(R391/'Configuracion'!$B$13),"")</x:f>
      </x:c>
      <x:c r="AR391" s="156" t="n">
        <x:f>IFERROR(AE391-U391,"")</x:f>
        <x:v>0</x:v>
      </x:c>
      <x:c r="AS391" s="154"/>
      <x:c r="AT391" s="154"/>
      <x:c r="AU391" s="154"/>
      <x:c r="AV391" s="154"/>
      <x:c r="AW391" s="152"/>
      <x:c r="AX391" s="154"/>
      <x:c r="AY391" s="154"/>
      <x:c r="AZ391" s="151"/>
      <x:c r="BA391" s="151"/>
    </x:row>
    <x:row r="392">
      <x:c r="A392" s="151" t="str">
        <x:f>IF(B392="","",TEXT(B392,"yyyymmdd")&amp;"-"&amp;TEXT(COUNTIF($B$5:B392,B392),"000"))</x:f>
      </x:c>
      <x:c r="B392" s="152"/>
      <x:c r="C392" s="153"/>
      <x:c r="D392" s="151" t="str">
        <x:f>IF(B392="","",'Configuracion'!$B$4)</x:f>
      </x:c>
      <x:c r="E392" s="154"/>
      <x:c r="F392" s="154"/>
      <x:c r="G392" s="151" t="str">
        <x:f>IFERROR(VLOOKUP(F392,'Base Sectores'!$A$5:$J$47,2,FALSE),"")</x:f>
      </x:c>
      <x:c r="H392" s="151" t="str">
        <x:f>IFERROR(VLOOKUP(F392,'Base Sectores'!$A$5:$J$47,3,FALSE),"")</x:f>
      </x:c>
      <x:c r="I392" s="151" t="str">
        <x:f>IFERROR(VLOOKUP(F392,'Base Sectores'!$A$5:$J$47,4,FALSE),"")</x:f>
      </x:c>
      <x:c r="J392" s="151" t="str">
        <x:f>IFERROR(VLOOKUP(F392,'Base Sectores'!$A$5:$J$47,5,FALSE),"")</x:f>
      </x:c>
      <x:c r="K392" s="151" t="str">
        <x:f>IFERROR(VLOOKUP(F392,'Base Sectores'!$A$5:$J$47,6,FALSE),"")</x:f>
      </x:c>
      <x:c r="L392" s="151" t="str">
        <x:f>IFERROR(VLOOKUP(F392,'Base Sectores'!$A$5:$J$47,7,FALSE),"")</x:f>
      </x:c>
      <x:c r="M392" s="151" t="str">
        <x:f>IFERROR(VLOOKUP(F392,'Base Sectores'!$A$5:$J$47,9,FALSE),"")</x:f>
      </x:c>
      <x:c r="N392" s="154"/>
      <x:c r="O392" s="151" t="str">
        <x:f>IFERROR(VLOOKUP(N392,'Configuracion'!$D$4:$H$15,2,FALSE),"")</x:f>
      </x:c>
      <x:c r="P392" s="151" t="str">
        <x:f>IFERROR(VLOOKUP(N392,'Configuracion'!$D$4:$H$15,3,FALSE),"")</x:f>
      </x:c>
      <x:c r="Q392" s="155"/>
      <x:c r="R392" s="156" t="str">
        <x:f>IFERROR(VLOOKUP(N392,'Configuracion'!$D$4:$H$15,4,FALSE),"")</x:f>
      </x:c>
      <x:c r="S392" s="153"/>
      <x:c r="T392" s="153"/>
      <x:c r="U392" s="156" t="str">
        <x:f>IF(OR(S392="",T392=""),"",MOD(T392-S392,1)*24)</x:f>
      </x:c>
      <x:c r="V392" s="154"/>
      <x:c r="W392" s="154"/>
      <x:c r="X392" s="151" t="str">
        <x:f>IFERROR(VLOOKUP(N392,'Configuracion'!$D$4:$H$15,5,FALSE),"")</x:f>
      </x:c>
      <x:c r="Y392" s="151" t="str">
        <x:f>IFERROR(VLOOKUP(V392,'Cuadrillas'!$A$5:$J$14,2,FALSE),"")</x:f>
      </x:c>
      <x:c r="Z392" s="154"/>
      <x:c r="AA392" s="154"/>
      <x:c r="AB392" s="154"/>
      <x:c r="AC392" s="153"/>
      <x:c r="AD392" s="153"/>
      <x:c r="AE392" s="156" t="str">
        <x:f>IF(OR(AC392="",AD392=""),"",MOD(AD392-AC392,1)*24)</x:f>
      </x:c>
      <x:c r="AF392" s="154"/>
      <x:c r="AG392" s="156" t="str">
        <x:f>IF(AE392="","",MAX(0,AE392-IF(AF392="",0,AF392/60)))</x:f>
      </x:c>
      <x:c r="AH392" s="155"/>
      <x:c r="AI392" s="154"/>
      <x:c r="AJ392" s="154"/>
      <x:c r="AK392" s="156" t="n">
        <x:f>IFERROR(U392*W392,"")</x:f>
        <x:v>0</x:v>
      </x:c>
      <x:c r="AL392" s="156" t="n">
        <x:f>IFERROR(AE392*AI392,"")</x:f>
        <x:v>0</x:v>
      </x:c>
      <x:c r="AM392" s="157" t="str">
        <x:f>IFERROR(AH392/Q392,"")</x:f>
      </x:c>
      <x:c r="AN392" s="156" t="str">
        <x:f>IFERROR(AH392/AG392,"")</x:f>
      </x:c>
      <x:c r="AO392" s="156" t="str">
        <x:f>IFERROR(AL392/AH392,"")</x:f>
      </x:c>
      <x:c r="AP392" s="157" t="str">
        <x:f>IFERROR(AG392/AE392,"")</x:f>
      </x:c>
      <x:c r="AQ392" s="157" t="str">
        <x:f>IFERROR(AN392/(R392/'Configuracion'!$B$13),"")</x:f>
      </x:c>
      <x:c r="AR392" s="156" t="n">
        <x:f>IFERROR(AE392-U392,"")</x:f>
        <x:v>0</x:v>
      </x:c>
      <x:c r="AS392" s="154"/>
      <x:c r="AT392" s="154"/>
      <x:c r="AU392" s="154"/>
      <x:c r="AV392" s="154"/>
      <x:c r="AW392" s="152"/>
      <x:c r="AX392" s="154"/>
      <x:c r="AY392" s="154"/>
      <x:c r="AZ392" s="151"/>
      <x:c r="BA392" s="151"/>
    </x:row>
    <x:row r="393">
      <x:c r="A393" s="151" t="str">
        <x:f>IF(B393="","",TEXT(B393,"yyyymmdd")&amp;"-"&amp;TEXT(COUNTIF($B$5:B393,B393),"000"))</x:f>
      </x:c>
      <x:c r="B393" s="152"/>
      <x:c r="C393" s="153"/>
      <x:c r="D393" s="151" t="str">
        <x:f>IF(B393="","",'Configuracion'!$B$4)</x:f>
      </x:c>
      <x:c r="E393" s="154"/>
      <x:c r="F393" s="154"/>
      <x:c r="G393" s="151" t="str">
        <x:f>IFERROR(VLOOKUP(F393,'Base Sectores'!$A$5:$J$47,2,FALSE),"")</x:f>
      </x:c>
      <x:c r="H393" s="151" t="str">
        <x:f>IFERROR(VLOOKUP(F393,'Base Sectores'!$A$5:$J$47,3,FALSE),"")</x:f>
      </x:c>
      <x:c r="I393" s="151" t="str">
        <x:f>IFERROR(VLOOKUP(F393,'Base Sectores'!$A$5:$J$47,4,FALSE),"")</x:f>
      </x:c>
      <x:c r="J393" s="151" t="str">
        <x:f>IFERROR(VLOOKUP(F393,'Base Sectores'!$A$5:$J$47,5,FALSE),"")</x:f>
      </x:c>
      <x:c r="K393" s="151" t="str">
        <x:f>IFERROR(VLOOKUP(F393,'Base Sectores'!$A$5:$J$47,6,FALSE),"")</x:f>
      </x:c>
      <x:c r="L393" s="151" t="str">
        <x:f>IFERROR(VLOOKUP(F393,'Base Sectores'!$A$5:$J$47,7,FALSE),"")</x:f>
      </x:c>
      <x:c r="M393" s="151" t="str">
        <x:f>IFERROR(VLOOKUP(F393,'Base Sectores'!$A$5:$J$47,9,FALSE),"")</x:f>
      </x:c>
      <x:c r="N393" s="154"/>
      <x:c r="O393" s="151" t="str">
        <x:f>IFERROR(VLOOKUP(N393,'Configuracion'!$D$4:$H$15,2,FALSE),"")</x:f>
      </x:c>
      <x:c r="P393" s="151" t="str">
        <x:f>IFERROR(VLOOKUP(N393,'Configuracion'!$D$4:$H$15,3,FALSE),"")</x:f>
      </x:c>
      <x:c r="Q393" s="155"/>
      <x:c r="R393" s="156" t="str">
        <x:f>IFERROR(VLOOKUP(N393,'Configuracion'!$D$4:$H$15,4,FALSE),"")</x:f>
      </x:c>
      <x:c r="S393" s="153"/>
      <x:c r="T393" s="153"/>
      <x:c r="U393" s="156" t="str">
        <x:f>IF(OR(S393="",T393=""),"",MOD(T393-S393,1)*24)</x:f>
      </x:c>
      <x:c r="V393" s="154"/>
      <x:c r="W393" s="154"/>
      <x:c r="X393" s="151" t="str">
        <x:f>IFERROR(VLOOKUP(N393,'Configuracion'!$D$4:$H$15,5,FALSE),"")</x:f>
      </x:c>
      <x:c r="Y393" s="151" t="str">
        <x:f>IFERROR(VLOOKUP(V393,'Cuadrillas'!$A$5:$J$14,2,FALSE),"")</x:f>
      </x:c>
      <x:c r="Z393" s="154"/>
      <x:c r="AA393" s="154"/>
      <x:c r="AB393" s="154"/>
      <x:c r="AC393" s="153"/>
      <x:c r="AD393" s="153"/>
      <x:c r="AE393" s="156" t="str">
        <x:f>IF(OR(AC393="",AD393=""),"",MOD(AD393-AC393,1)*24)</x:f>
      </x:c>
      <x:c r="AF393" s="154"/>
      <x:c r="AG393" s="156" t="str">
        <x:f>IF(AE393="","",MAX(0,AE393-IF(AF393="",0,AF393/60)))</x:f>
      </x:c>
      <x:c r="AH393" s="155"/>
      <x:c r="AI393" s="154"/>
      <x:c r="AJ393" s="154"/>
      <x:c r="AK393" s="156" t="n">
        <x:f>IFERROR(U393*W393,"")</x:f>
        <x:v>0</x:v>
      </x:c>
      <x:c r="AL393" s="156" t="n">
        <x:f>IFERROR(AE393*AI393,"")</x:f>
        <x:v>0</x:v>
      </x:c>
      <x:c r="AM393" s="157" t="str">
        <x:f>IFERROR(AH393/Q393,"")</x:f>
      </x:c>
      <x:c r="AN393" s="156" t="str">
        <x:f>IFERROR(AH393/AG393,"")</x:f>
      </x:c>
      <x:c r="AO393" s="156" t="str">
        <x:f>IFERROR(AL393/AH393,"")</x:f>
      </x:c>
      <x:c r="AP393" s="157" t="str">
        <x:f>IFERROR(AG393/AE393,"")</x:f>
      </x:c>
      <x:c r="AQ393" s="157" t="str">
        <x:f>IFERROR(AN393/(R393/'Configuracion'!$B$13),"")</x:f>
      </x:c>
      <x:c r="AR393" s="156" t="n">
        <x:f>IFERROR(AE393-U393,"")</x:f>
        <x:v>0</x:v>
      </x:c>
      <x:c r="AS393" s="154"/>
      <x:c r="AT393" s="154"/>
      <x:c r="AU393" s="154"/>
      <x:c r="AV393" s="154"/>
      <x:c r="AW393" s="152"/>
      <x:c r="AX393" s="154"/>
      <x:c r="AY393" s="154"/>
      <x:c r="AZ393" s="151"/>
      <x:c r="BA393" s="151"/>
    </x:row>
    <x:row r="394">
      <x:c r="A394" s="151" t="str">
        <x:f>IF(B394="","",TEXT(B394,"yyyymmdd")&amp;"-"&amp;TEXT(COUNTIF($B$5:B394,B394),"000"))</x:f>
      </x:c>
      <x:c r="B394" s="152"/>
      <x:c r="C394" s="153"/>
      <x:c r="D394" s="151" t="str">
        <x:f>IF(B394="","",'Configuracion'!$B$4)</x:f>
      </x:c>
      <x:c r="E394" s="154"/>
      <x:c r="F394" s="154"/>
      <x:c r="G394" s="151" t="str">
        <x:f>IFERROR(VLOOKUP(F394,'Base Sectores'!$A$5:$J$47,2,FALSE),"")</x:f>
      </x:c>
      <x:c r="H394" s="151" t="str">
        <x:f>IFERROR(VLOOKUP(F394,'Base Sectores'!$A$5:$J$47,3,FALSE),"")</x:f>
      </x:c>
      <x:c r="I394" s="151" t="str">
        <x:f>IFERROR(VLOOKUP(F394,'Base Sectores'!$A$5:$J$47,4,FALSE),"")</x:f>
      </x:c>
      <x:c r="J394" s="151" t="str">
        <x:f>IFERROR(VLOOKUP(F394,'Base Sectores'!$A$5:$J$47,5,FALSE),"")</x:f>
      </x:c>
      <x:c r="K394" s="151" t="str">
        <x:f>IFERROR(VLOOKUP(F394,'Base Sectores'!$A$5:$J$47,6,FALSE),"")</x:f>
      </x:c>
      <x:c r="L394" s="151" t="str">
        <x:f>IFERROR(VLOOKUP(F394,'Base Sectores'!$A$5:$J$47,7,FALSE),"")</x:f>
      </x:c>
      <x:c r="M394" s="151" t="str">
        <x:f>IFERROR(VLOOKUP(F394,'Base Sectores'!$A$5:$J$47,9,FALSE),"")</x:f>
      </x:c>
      <x:c r="N394" s="154"/>
      <x:c r="O394" s="151" t="str">
        <x:f>IFERROR(VLOOKUP(N394,'Configuracion'!$D$4:$H$15,2,FALSE),"")</x:f>
      </x:c>
      <x:c r="P394" s="151" t="str">
        <x:f>IFERROR(VLOOKUP(N394,'Configuracion'!$D$4:$H$15,3,FALSE),"")</x:f>
      </x:c>
      <x:c r="Q394" s="155"/>
      <x:c r="R394" s="156" t="str">
        <x:f>IFERROR(VLOOKUP(N394,'Configuracion'!$D$4:$H$15,4,FALSE),"")</x:f>
      </x:c>
      <x:c r="S394" s="153"/>
      <x:c r="T394" s="153"/>
      <x:c r="U394" s="156" t="str">
        <x:f>IF(OR(S394="",T394=""),"",MOD(T394-S394,1)*24)</x:f>
      </x:c>
      <x:c r="V394" s="154"/>
      <x:c r="W394" s="154"/>
      <x:c r="X394" s="151" t="str">
        <x:f>IFERROR(VLOOKUP(N394,'Configuracion'!$D$4:$H$15,5,FALSE),"")</x:f>
      </x:c>
      <x:c r="Y394" s="151" t="str">
        <x:f>IFERROR(VLOOKUP(V394,'Cuadrillas'!$A$5:$J$14,2,FALSE),"")</x:f>
      </x:c>
      <x:c r="Z394" s="154"/>
      <x:c r="AA394" s="154"/>
      <x:c r="AB394" s="154"/>
      <x:c r="AC394" s="153"/>
      <x:c r="AD394" s="153"/>
      <x:c r="AE394" s="156" t="str">
        <x:f>IF(OR(AC394="",AD394=""),"",MOD(AD394-AC394,1)*24)</x:f>
      </x:c>
      <x:c r="AF394" s="154"/>
      <x:c r="AG394" s="156" t="str">
        <x:f>IF(AE394="","",MAX(0,AE394-IF(AF394="",0,AF394/60)))</x:f>
      </x:c>
      <x:c r="AH394" s="155"/>
      <x:c r="AI394" s="154"/>
      <x:c r="AJ394" s="154"/>
      <x:c r="AK394" s="156" t="n">
        <x:f>IFERROR(U394*W394,"")</x:f>
        <x:v>0</x:v>
      </x:c>
      <x:c r="AL394" s="156" t="n">
        <x:f>IFERROR(AE394*AI394,"")</x:f>
        <x:v>0</x:v>
      </x:c>
      <x:c r="AM394" s="157" t="str">
        <x:f>IFERROR(AH394/Q394,"")</x:f>
      </x:c>
      <x:c r="AN394" s="156" t="str">
        <x:f>IFERROR(AH394/AG394,"")</x:f>
      </x:c>
      <x:c r="AO394" s="156" t="str">
        <x:f>IFERROR(AL394/AH394,"")</x:f>
      </x:c>
      <x:c r="AP394" s="157" t="str">
        <x:f>IFERROR(AG394/AE394,"")</x:f>
      </x:c>
      <x:c r="AQ394" s="157" t="str">
        <x:f>IFERROR(AN394/(R394/'Configuracion'!$B$13),"")</x:f>
      </x:c>
      <x:c r="AR394" s="156" t="n">
        <x:f>IFERROR(AE394-U394,"")</x:f>
        <x:v>0</x:v>
      </x:c>
      <x:c r="AS394" s="154"/>
      <x:c r="AT394" s="154"/>
      <x:c r="AU394" s="154"/>
      <x:c r="AV394" s="154"/>
      <x:c r="AW394" s="152"/>
      <x:c r="AX394" s="154"/>
      <x:c r="AY394" s="154"/>
      <x:c r="AZ394" s="151"/>
      <x:c r="BA394" s="151"/>
    </x:row>
    <x:row r="395">
      <x:c r="A395" s="151" t="str">
        <x:f>IF(B395="","",TEXT(B395,"yyyymmdd")&amp;"-"&amp;TEXT(COUNTIF($B$5:B395,B395),"000"))</x:f>
      </x:c>
      <x:c r="B395" s="152"/>
      <x:c r="C395" s="153"/>
      <x:c r="D395" s="151" t="str">
        <x:f>IF(B395="","",'Configuracion'!$B$4)</x:f>
      </x:c>
      <x:c r="E395" s="154"/>
      <x:c r="F395" s="154"/>
      <x:c r="G395" s="151" t="str">
        <x:f>IFERROR(VLOOKUP(F395,'Base Sectores'!$A$5:$J$47,2,FALSE),"")</x:f>
      </x:c>
      <x:c r="H395" s="151" t="str">
        <x:f>IFERROR(VLOOKUP(F395,'Base Sectores'!$A$5:$J$47,3,FALSE),"")</x:f>
      </x:c>
      <x:c r="I395" s="151" t="str">
        <x:f>IFERROR(VLOOKUP(F395,'Base Sectores'!$A$5:$J$47,4,FALSE),"")</x:f>
      </x:c>
      <x:c r="J395" s="151" t="str">
        <x:f>IFERROR(VLOOKUP(F395,'Base Sectores'!$A$5:$J$47,5,FALSE),"")</x:f>
      </x:c>
      <x:c r="K395" s="151" t="str">
        <x:f>IFERROR(VLOOKUP(F395,'Base Sectores'!$A$5:$J$47,6,FALSE),"")</x:f>
      </x:c>
      <x:c r="L395" s="151" t="str">
        <x:f>IFERROR(VLOOKUP(F395,'Base Sectores'!$A$5:$J$47,7,FALSE),"")</x:f>
      </x:c>
      <x:c r="M395" s="151" t="str">
        <x:f>IFERROR(VLOOKUP(F395,'Base Sectores'!$A$5:$J$47,9,FALSE),"")</x:f>
      </x:c>
      <x:c r="N395" s="154"/>
      <x:c r="O395" s="151" t="str">
        <x:f>IFERROR(VLOOKUP(N395,'Configuracion'!$D$4:$H$15,2,FALSE),"")</x:f>
      </x:c>
      <x:c r="P395" s="151" t="str">
        <x:f>IFERROR(VLOOKUP(N395,'Configuracion'!$D$4:$H$15,3,FALSE),"")</x:f>
      </x:c>
      <x:c r="Q395" s="155"/>
      <x:c r="R395" s="156" t="str">
        <x:f>IFERROR(VLOOKUP(N395,'Configuracion'!$D$4:$H$15,4,FALSE),"")</x:f>
      </x:c>
      <x:c r="S395" s="153"/>
      <x:c r="T395" s="153"/>
      <x:c r="U395" s="156" t="str">
        <x:f>IF(OR(S395="",T395=""),"",MOD(T395-S395,1)*24)</x:f>
      </x:c>
      <x:c r="V395" s="154"/>
      <x:c r="W395" s="154"/>
      <x:c r="X395" s="151" t="str">
        <x:f>IFERROR(VLOOKUP(N395,'Configuracion'!$D$4:$H$15,5,FALSE),"")</x:f>
      </x:c>
      <x:c r="Y395" s="151" t="str">
        <x:f>IFERROR(VLOOKUP(V395,'Cuadrillas'!$A$5:$J$14,2,FALSE),"")</x:f>
      </x:c>
      <x:c r="Z395" s="154"/>
      <x:c r="AA395" s="154"/>
      <x:c r="AB395" s="154"/>
      <x:c r="AC395" s="153"/>
      <x:c r="AD395" s="153"/>
      <x:c r="AE395" s="156" t="str">
        <x:f>IF(OR(AC395="",AD395=""),"",MOD(AD395-AC395,1)*24)</x:f>
      </x:c>
      <x:c r="AF395" s="154"/>
      <x:c r="AG395" s="156" t="str">
        <x:f>IF(AE395="","",MAX(0,AE395-IF(AF395="",0,AF395/60)))</x:f>
      </x:c>
      <x:c r="AH395" s="155"/>
      <x:c r="AI395" s="154"/>
      <x:c r="AJ395" s="154"/>
      <x:c r="AK395" s="156" t="n">
        <x:f>IFERROR(U395*W395,"")</x:f>
        <x:v>0</x:v>
      </x:c>
      <x:c r="AL395" s="156" t="n">
        <x:f>IFERROR(AE395*AI395,"")</x:f>
        <x:v>0</x:v>
      </x:c>
      <x:c r="AM395" s="157" t="str">
        <x:f>IFERROR(AH395/Q395,"")</x:f>
      </x:c>
      <x:c r="AN395" s="156" t="str">
        <x:f>IFERROR(AH395/AG395,"")</x:f>
      </x:c>
      <x:c r="AO395" s="156" t="str">
        <x:f>IFERROR(AL395/AH395,"")</x:f>
      </x:c>
      <x:c r="AP395" s="157" t="str">
        <x:f>IFERROR(AG395/AE395,"")</x:f>
      </x:c>
      <x:c r="AQ395" s="157" t="str">
        <x:f>IFERROR(AN395/(R395/'Configuracion'!$B$13),"")</x:f>
      </x:c>
      <x:c r="AR395" s="156" t="n">
        <x:f>IFERROR(AE395-U395,"")</x:f>
        <x:v>0</x:v>
      </x:c>
      <x:c r="AS395" s="154"/>
      <x:c r="AT395" s="154"/>
      <x:c r="AU395" s="154"/>
      <x:c r="AV395" s="154"/>
      <x:c r="AW395" s="152"/>
      <x:c r="AX395" s="154"/>
      <x:c r="AY395" s="154"/>
      <x:c r="AZ395" s="151"/>
      <x:c r="BA395" s="151"/>
    </x:row>
    <x:row r="396">
      <x:c r="A396" s="151" t="str">
        <x:f>IF(B396="","",TEXT(B396,"yyyymmdd")&amp;"-"&amp;TEXT(COUNTIF($B$5:B396,B396),"000"))</x:f>
      </x:c>
      <x:c r="B396" s="152"/>
      <x:c r="C396" s="153"/>
      <x:c r="D396" s="151" t="str">
        <x:f>IF(B396="","",'Configuracion'!$B$4)</x:f>
      </x:c>
      <x:c r="E396" s="154"/>
      <x:c r="F396" s="154"/>
      <x:c r="G396" s="151" t="str">
        <x:f>IFERROR(VLOOKUP(F396,'Base Sectores'!$A$5:$J$47,2,FALSE),"")</x:f>
      </x:c>
      <x:c r="H396" s="151" t="str">
        <x:f>IFERROR(VLOOKUP(F396,'Base Sectores'!$A$5:$J$47,3,FALSE),"")</x:f>
      </x:c>
      <x:c r="I396" s="151" t="str">
        <x:f>IFERROR(VLOOKUP(F396,'Base Sectores'!$A$5:$J$47,4,FALSE),"")</x:f>
      </x:c>
      <x:c r="J396" s="151" t="str">
        <x:f>IFERROR(VLOOKUP(F396,'Base Sectores'!$A$5:$J$47,5,FALSE),"")</x:f>
      </x:c>
      <x:c r="K396" s="151" t="str">
        <x:f>IFERROR(VLOOKUP(F396,'Base Sectores'!$A$5:$J$47,6,FALSE),"")</x:f>
      </x:c>
      <x:c r="L396" s="151" t="str">
        <x:f>IFERROR(VLOOKUP(F396,'Base Sectores'!$A$5:$J$47,7,FALSE),"")</x:f>
      </x:c>
      <x:c r="M396" s="151" t="str">
        <x:f>IFERROR(VLOOKUP(F396,'Base Sectores'!$A$5:$J$47,9,FALSE),"")</x:f>
      </x:c>
      <x:c r="N396" s="154"/>
      <x:c r="O396" s="151" t="str">
        <x:f>IFERROR(VLOOKUP(N396,'Configuracion'!$D$4:$H$15,2,FALSE),"")</x:f>
      </x:c>
      <x:c r="P396" s="151" t="str">
        <x:f>IFERROR(VLOOKUP(N396,'Configuracion'!$D$4:$H$15,3,FALSE),"")</x:f>
      </x:c>
      <x:c r="Q396" s="155"/>
      <x:c r="R396" s="156" t="str">
        <x:f>IFERROR(VLOOKUP(N396,'Configuracion'!$D$4:$H$15,4,FALSE),"")</x:f>
      </x:c>
      <x:c r="S396" s="153"/>
      <x:c r="T396" s="153"/>
      <x:c r="U396" s="156" t="str">
        <x:f>IF(OR(S396="",T396=""),"",MOD(T396-S396,1)*24)</x:f>
      </x:c>
      <x:c r="V396" s="154"/>
      <x:c r="W396" s="154"/>
      <x:c r="X396" s="151" t="str">
        <x:f>IFERROR(VLOOKUP(N396,'Configuracion'!$D$4:$H$15,5,FALSE),"")</x:f>
      </x:c>
      <x:c r="Y396" s="151" t="str">
        <x:f>IFERROR(VLOOKUP(V396,'Cuadrillas'!$A$5:$J$14,2,FALSE),"")</x:f>
      </x:c>
      <x:c r="Z396" s="154"/>
      <x:c r="AA396" s="154"/>
      <x:c r="AB396" s="154"/>
      <x:c r="AC396" s="153"/>
      <x:c r="AD396" s="153"/>
      <x:c r="AE396" s="156" t="str">
        <x:f>IF(OR(AC396="",AD396=""),"",MOD(AD396-AC396,1)*24)</x:f>
      </x:c>
      <x:c r="AF396" s="154"/>
      <x:c r="AG396" s="156" t="str">
        <x:f>IF(AE396="","",MAX(0,AE396-IF(AF396="",0,AF396/60)))</x:f>
      </x:c>
      <x:c r="AH396" s="155"/>
      <x:c r="AI396" s="154"/>
      <x:c r="AJ396" s="154"/>
      <x:c r="AK396" s="156" t="n">
        <x:f>IFERROR(U396*W396,"")</x:f>
        <x:v>0</x:v>
      </x:c>
      <x:c r="AL396" s="156" t="n">
        <x:f>IFERROR(AE396*AI396,"")</x:f>
        <x:v>0</x:v>
      </x:c>
      <x:c r="AM396" s="157" t="str">
        <x:f>IFERROR(AH396/Q396,"")</x:f>
      </x:c>
      <x:c r="AN396" s="156" t="str">
        <x:f>IFERROR(AH396/AG396,"")</x:f>
      </x:c>
      <x:c r="AO396" s="156" t="str">
        <x:f>IFERROR(AL396/AH396,"")</x:f>
      </x:c>
      <x:c r="AP396" s="157" t="str">
        <x:f>IFERROR(AG396/AE396,"")</x:f>
      </x:c>
      <x:c r="AQ396" s="157" t="str">
        <x:f>IFERROR(AN396/(R396/'Configuracion'!$B$13),"")</x:f>
      </x:c>
      <x:c r="AR396" s="156" t="n">
        <x:f>IFERROR(AE396-U396,"")</x:f>
        <x:v>0</x:v>
      </x:c>
      <x:c r="AS396" s="154"/>
      <x:c r="AT396" s="154"/>
      <x:c r="AU396" s="154"/>
      <x:c r="AV396" s="154"/>
      <x:c r="AW396" s="152"/>
      <x:c r="AX396" s="154"/>
      <x:c r="AY396" s="154"/>
      <x:c r="AZ396" s="151"/>
      <x:c r="BA396" s="151"/>
    </x:row>
    <x:row r="397">
      <x:c r="A397" s="151" t="str">
        <x:f>IF(B397="","",TEXT(B397,"yyyymmdd")&amp;"-"&amp;TEXT(COUNTIF($B$5:B397,B397),"000"))</x:f>
      </x:c>
      <x:c r="B397" s="152"/>
      <x:c r="C397" s="153"/>
      <x:c r="D397" s="151" t="str">
        <x:f>IF(B397="","",'Configuracion'!$B$4)</x:f>
      </x:c>
      <x:c r="E397" s="154"/>
      <x:c r="F397" s="154"/>
      <x:c r="G397" s="151" t="str">
        <x:f>IFERROR(VLOOKUP(F397,'Base Sectores'!$A$5:$J$47,2,FALSE),"")</x:f>
      </x:c>
      <x:c r="H397" s="151" t="str">
        <x:f>IFERROR(VLOOKUP(F397,'Base Sectores'!$A$5:$J$47,3,FALSE),"")</x:f>
      </x:c>
      <x:c r="I397" s="151" t="str">
        <x:f>IFERROR(VLOOKUP(F397,'Base Sectores'!$A$5:$J$47,4,FALSE),"")</x:f>
      </x:c>
      <x:c r="J397" s="151" t="str">
        <x:f>IFERROR(VLOOKUP(F397,'Base Sectores'!$A$5:$J$47,5,FALSE),"")</x:f>
      </x:c>
      <x:c r="K397" s="151" t="str">
        <x:f>IFERROR(VLOOKUP(F397,'Base Sectores'!$A$5:$J$47,6,FALSE),"")</x:f>
      </x:c>
      <x:c r="L397" s="151" t="str">
        <x:f>IFERROR(VLOOKUP(F397,'Base Sectores'!$A$5:$J$47,7,FALSE),"")</x:f>
      </x:c>
      <x:c r="M397" s="151" t="str">
        <x:f>IFERROR(VLOOKUP(F397,'Base Sectores'!$A$5:$J$47,9,FALSE),"")</x:f>
      </x:c>
      <x:c r="N397" s="154"/>
      <x:c r="O397" s="151" t="str">
        <x:f>IFERROR(VLOOKUP(N397,'Configuracion'!$D$4:$H$15,2,FALSE),"")</x:f>
      </x:c>
      <x:c r="P397" s="151" t="str">
        <x:f>IFERROR(VLOOKUP(N397,'Configuracion'!$D$4:$H$15,3,FALSE),"")</x:f>
      </x:c>
      <x:c r="Q397" s="155"/>
      <x:c r="R397" s="156" t="str">
        <x:f>IFERROR(VLOOKUP(N397,'Configuracion'!$D$4:$H$15,4,FALSE),"")</x:f>
      </x:c>
      <x:c r="S397" s="153"/>
      <x:c r="T397" s="153"/>
      <x:c r="U397" s="156" t="str">
        <x:f>IF(OR(S397="",T397=""),"",MOD(T397-S397,1)*24)</x:f>
      </x:c>
      <x:c r="V397" s="154"/>
      <x:c r="W397" s="154"/>
      <x:c r="X397" s="151" t="str">
        <x:f>IFERROR(VLOOKUP(N397,'Configuracion'!$D$4:$H$15,5,FALSE),"")</x:f>
      </x:c>
      <x:c r="Y397" s="151" t="str">
        <x:f>IFERROR(VLOOKUP(V397,'Cuadrillas'!$A$5:$J$14,2,FALSE),"")</x:f>
      </x:c>
      <x:c r="Z397" s="154"/>
      <x:c r="AA397" s="154"/>
      <x:c r="AB397" s="154"/>
      <x:c r="AC397" s="153"/>
      <x:c r="AD397" s="153"/>
      <x:c r="AE397" s="156" t="str">
        <x:f>IF(OR(AC397="",AD397=""),"",MOD(AD397-AC397,1)*24)</x:f>
      </x:c>
      <x:c r="AF397" s="154"/>
      <x:c r="AG397" s="156" t="str">
        <x:f>IF(AE397="","",MAX(0,AE397-IF(AF397="",0,AF397/60)))</x:f>
      </x:c>
      <x:c r="AH397" s="155"/>
      <x:c r="AI397" s="154"/>
      <x:c r="AJ397" s="154"/>
      <x:c r="AK397" s="156" t="n">
        <x:f>IFERROR(U397*W397,"")</x:f>
        <x:v>0</x:v>
      </x:c>
      <x:c r="AL397" s="156" t="n">
        <x:f>IFERROR(AE397*AI397,"")</x:f>
        <x:v>0</x:v>
      </x:c>
      <x:c r="AM397" s="157" t="str">
        <x:f>IFERROR(AH397/Q397,"")</x:f>
      </x:c>
      <x:c r="AN397" s="156" t="str">
        <x:f>IFERROR(AH397/AG397,"")</x:f>
      </x:c>
      <x:c r="AO397" s="156" t="str">
        <x:f>IFERROR(AL397/AH397,"")</x:f>
      </x:c>
      <x:c r="AP397" s="157" t="str">
        <x:f>IFERROR(AG397/AE397,"")</x:f>
      </x:c>
      <x:c r="AQ397" s="157" t="str">
        <x:f>IFERROR(AN397/(R397/'Configuracion'!$B$13),"")</x:f>
      </x:c>
      <x:c r="AR397" s="156" t="n">
        <x:f>IFERROR(AE397-U397,"")</x:f>
        <x:v>0</x:v>
      </x:c>
      <x:c r="AS397" s="154"/>
      <x:c r="AT397" s="154"/>
      <x:c r="AU397" s="154"/>
      <x:c r="AV397" s="154"/>
      <x:c r="AW397" s="152"/>
      <x:c r="AX397" s="154"/>
      <x:c r="AY397" s="154"/>
      <x:c r="AZ397" s="151"/>
      <x:c r="BA397" s="151"/>
    </x:row>
    <x:row r="398">
      <x:c r="A398" s="151" t="str">
        <x:f>IF(B398="","",TEXT(B398,"yyyymmdd")&amp;"-"&amp;TEXT(COUNTIF($B$5:B398,B398),"000"))</x:f>
      </x:c>
      <x:c r="B398" s="152"/>
      <x:c r="C398" s="153"/>
      <x:c r="D398" s="151" t="str">
        <x:f>IF(B398="","",'Configuracion'!$B$4)</x:f>
      </x:c>
      <x:c r="E398" s="154"/>
      <x:c r="F398" s="154"/>
      <x:c r="G398" s="151" t="str">
        <x:f>IFERROR(VLOOKUP(F398,'Base Sectores'!$A$5:$J$47,2,FALSE),"")</x:f>
      </x:c>
      <x:c r="H398" s="151" t="str">
        <x:f>IFERROR(VLOOKUP(F398,'Base Sectores'!$A$5:$J$47,3,FALSE),"")</x:f>
      </x:c>
      <x:c r="I398" s="151" t="str">
        <x:f>IFERROR(VLOOKUP(F398,'Base Sectores'!$A$5:$J$47,4,FALSE),"")</x:f>
      </x:c>
      <x:c r="J398" s="151" t="str">
        <x:f>IFERROR(VLOOKUP(F398,'Base Sectores'!$A$5:$J$47,5,FALSE),"")</x:f>
      </x:c>
      <x:c r="K398" s="151" t="str">
        <x:f>IFERROR(VLOOKUP(F398,'Base Sectores'!$A$5:$J$47,6,FALSE),"")</x:f>
      </x:c>
      <x:c r="L398" s="151" t="str">
        <x:f>IFERROR(VLOOKUP(F398,'Base Sectores'!$A$5:$J$47,7,FALSE),"")</x:f>
      </x:c>
      <x:c r="M398" s="151" t="str">
        <x:f>IFERROR(VLOOKUP(F398,'Base Sectores'!$A$5:$J$47,9,FALSE),"")</x:f>
      </x:c>
      <x:c r="N398" s="154"/>
      <x:c r="O398" s="151" t="str">
        <x:f>IFERROR(VLOOKUP(N398,'Configuracion'!$D$4:$H$15,2,FALSE),"")</x:f>
      </x:c>
      <x:c r="P398" s="151" t="str">
        <x:f>IFERROR(VLOOKUP(N398,'Configuracion'!$D$4:$H$15,3,FALSE),"")</x:f>
      </x:c>
      <x:c r="Q398" s="155"/>
      <x:c r="R398" s="156" t="str">
        <x:f>IFERROR(VLOOKUP(N398,'Configuracion'!$D$4:$H$15,4,FALSE),"")</x:f>
      </x:c>
      <x:c r="S398" s="153"/>
      <x:c r="T398" s="153"/>
      <x:c r="U398" s="156" t="str">
        <x:f>IF(OR(S398="",T398=""),"",MOD(T398-S398,1)*24)</x:f>
      </x:c>
      <x:c r="V398" s="154"/>
      <x:c r="W398" s="154"/>
      <x:c r="X398" s="151" t="str">
        <x:f>IFERROR(VLOOKUP(N398,'Configuracion'!$D$4:$H$15,5,FALSE),"")</x:f>
      </x:c>
      <x:c r="Y398" s="151" t="str">
        <x:f>IFERROR(VLOOKUP(V398,'Cuadrillas'!$A$5:$J$14,2,FALSE),"")</x:f>
      </x:c>
      <x:c r="Z398" s="154"/>
      <x:c r="AA398" s="154"/>
      <x:c r="AB398" s="154"/>
      <x:c r="AC398" s="153"/>
      <x:c r="AD398" s="153"/>
      <x:c r="AE398" s="156" t="str">
        <x:f>IF(OR(AC398="",AD398=""),"",MOD(AD398-AC398,1)*24)</x:f>
      </x:c>
      <x:c r="AF398" s="154"/>
      <x:c r="AG398" s="156" t="str">
        <x:f>IF(AE398="","",MAX(0,AE398-IF(AF398="",0,AF398/60)))</x:f>
      </x:c>
      <x:c r="AH398" s="155"/>
      <x:c r="AI398" s="154"/>
      <x:c r="AJ398" s="154"/>
      <x:c r="AK398" s="156" t="n">
        <x:f>IFERROR(U398*W398,"")</x:f>
        <x:v>0</x:v>
      </x:c>
      <x:c r="AL398" s="156" t="n">
        <x:f>IFERROR(AE398*AI398,"")</x:f>
        <x:v>0</x:v>
      </x:c>
      <x:c r="AM398" s="157" t="str">
        <x:f>IFERROR(AH398/Q398,"")</x:f>
      </x:c>
      <x:c r="AN398" s="156" t="str">
        <x:f>IFERROR(AH398/AG398,"")</x:f>
      </x:c>
      <x:c r="AO398" s="156" t="str">
        <x:f>IFERROR(AL398/AH398,"")</x:f>
      </x:c>
      <x:c r="AP398" s="157" t="str">
        <x:f>IFERROR(AG398/AE398,"")</x:f>
      </x:c>
      <x:c r="AQ398" s="157" t="str">
        <x:f>IFERROR(AN398/(R398/'Configuracion'!$B$13),"")</x:f>
      </x:c>
      <x:c r="AR398" s="156" t="n">
        <x:f>IFERROR(AE398-U398,"")</x:f>
        <x:v>0</x:v>
      </x:c>
      <x:c r="AS398" s="154"/>
      <x:c r="AT398" s="154"/>
      <x:c r="AU398" s="154"/>
      <x:c r="AV398" s="154"/>
      <x:c r="AW398" s="152"/>
      <x:c r="AX398" s="154"/>
      <x:c r="AY398" s="154"/>
      <x:c r="AZ398" s="151"/>
      <x:c r="BA398" s="151"/>
    </x:row>
    <x:row r="399">
      <x:c r="A399" s="151" t="str">
        <x:f>IF(B399="","",TEXT(B399,"yyyymmdd")&amp;"-"&amp;TEXT(COUNTIF($B$5:B399,B399),"000"))</x:f>
      </x:c>
      <x:c r="B399" s="152"/>
      <x:c r="C399" s="153"/>
      <x:c r="D399" s="151" t="str">
        <x:f>IF(B399="","",'Configuracion'!$B$4)</x:f>
      </x:c>
      <x:c r="E399" s="154"/>
      <x:c r="F399" s="154"/>
      <x:c r="G399" s="151" t="str">
        <x:f>IFERROR(VLOOKUP(F399,'Base Sectores'!$A$5:$J$47,2,FALSE),"")</x:f>
      </x:c>
      <x:c r="H399" s="151" t="str">
        <x:f>IFERROR(VLOOKUP(F399,'Base Sectores'!$A$5:$J$47,3,FALSE),"")</x:f>
      </x:c>
      <x:c r="I399" s="151" t="str">
        <x:f>IFERROR(VLOOKUP(F399,'Base Sectores'!$A$5:$J$47,4,FALSE),"")</x:f>
      </x:c>
      <x:c r="J399" s="151" t="str">
        <x:f>IFERROR(VLOOKUP(F399,'Base Sectores'!$A$5:$J$47,5,FALSE),"")</x:f>
      </x:c>
      <x:c r="K399" s="151" t="str">
        <x:f>IFERROR(VLOOKUP(F399,'Base Sectores'!$A$5:$J$47,6,FALSE),"")</x:f>
      </x:c>
      <x:c r="L399" s="151" t="str">
        <x:f>IFERROR(VLOOKUP(F399,'Base Sectores'!$A$5:$J$47,7,FALSE),"")</x:f>
      </x:c>
      <x:c r="M399" s="151" t="str">
        <x:f>IFERROR(VLOOKUP(F399,'Base Sectores'!$A$5:$J$47,9,FALSE),"")</x:f>
      </x:c>
      <x:c r="N399" s="154"/>
      <x:c r="O399" s="151" t="str">
        <x:f>IFERROR(VLOOKUP(N399,'Configuracion'!$D$4:$H$15,2,FALSE),"")</x:f>
      </x:c>
      <x:c r="P399" s="151" t="str">
        <x:f>IFERROR(VLOOKUP(N399,'Configuracion'!$D$4:$H$15,3,FALSE),"")</x:f>
      </x:c>
      <x:c r="Q399" s="155"/>
      <x:c r="R399" s="156" t="str">
        <x:f>IFERROR(VLOOKUP(N399,'Configuracion'!$D$4:$H$15,4,FALSE),"")</x:f>
      </x:c>
      <x:c r="S399" s="153"/>
      <x:c r="T399" s="153"/>
      <x:c r="U399" s="156" t="str">
        <x:f>IF(OR(S399="",T399=""),"",MOD(T399-S399,1)*24)</x:f>
      </x:c>
      <x:c r="V399" s="154"/>
      <x:c r="W399" s="154"/>
      <x:c r="X399" s="151" t="str">
        <x:f>IFERROR(VLOOKUP(N399,'Configuracion'!$D$4:$H$15,5,FALSE),"")</x:f>
      </x:c>
      <x:c r="Y399" s="151" t="str">
        <x:f>IFERROR(VLOOKUP(V399,'Cuadrillas'!$A$5:$J$14,2,FALSE),"")</x:f>
      </x:c>
      <x:c r="Z399" s="154"/>
      <x:c r="AA399" s="154"/>
      <x:c r="AB399" s="154"/>
      <x:c r="AC399" s="153"/>
      <x:c r="AD399" s="153"/>
      <x:c r="AE399" s="156" t="str">
        <x:f>IF(OR(AC399="",AD399=""),"",MOD(AD399-AC399,1)*24)</x:f>
      </x:c>
      <x:c r="AF399" s="154"/>
      <x:c r="AG399" s="156" t="str">
        <x:f>IF(AE399="","",MAX(0,AE399-IF(AF399="",0,AF399/60)))</x:f>
      </x:c>
      <x:c r="AH399" s="155"/>
      <x:c r="AI399" s="154"/>
      <x:c r="AJ399" s="154"/>
      <x:c r="AK399" s="156" t="n">
        <x:f>IFERROR(U399*W399,"")</x:f>
        <x:v>0</x:v>
      </x:c>
      <x:c r="AL399" s="156" t="n">
        <x:f>IFERROR(AE399*AI399,"")</x:f>
        <x:v>0</x:v>
      </x:c>
      <x:c r="AM399" s="157" t="str">
        <x:f>IFERROR(AH399/Q399,"")</x:f>
      </x:c>
      <x:c r="AN399" s="156" t="str">
        <x:f>IFERROR(AH399/AG399,"")</x:f>
      </x:c>
      <x:c r="AO399" s="156" t="str">
        <x:f>IFERROR(AL399/AH399,"")</x:f>
      </x:c>
      <x:c r="AP399" s="157" t="str">
        <x:f>IFERROR(AG399/AE399,"")</x:f>
      </x:c>
      <x:c r="AQ399" s="157" t="str">
        <x:f>IFERROR(AN399/(R399/'Configuracion'!$B$13),"")</x:f>
      </x:c>
      <x:c r="AR399" s="156" t="n">
        <x:f>IFERROR(AE399-U399,"")</x:f>
        <x:v>0</x:v>
      </x:c>
      <x:c r="AS399" s="154"/>
      <x:c r="AT399" s="154"/>
      <x:c r="AU399" s="154"/>
      <x:c r="AV399" s="154"/>
      <x:c r="AW399" s="152"/>
      <x:c r="AX399" s="154"/>
      <x:c r="AY399" s="154"/>
      <x:c r="AZ399" s="151"/>
      <x:c r="BA399" s="151"/>
    </x:row>
    <x:row r="400">
      <x:c r="A400" s="151" t="str">
        <x:f>IF(B400="","",TEXT(B400,"yyyymmdd")&amp;"-"&amp;TEXT(COUNTIF($B$5:B400,B400),"000"))</x:f>
      </x:c>
      <x:c r="B400" s="152"/>
      <x:c r="C400" s="153"/>
      <x:c r="D400" s="151" t="str">
        <x:f>IF(B400="","",'Configuracion'!$B$4)</x:f>
      </x:c>
      <x:c r="E400" s="154"/>
      <x:c r="F400" s="154"/>
      <x:c r="G400" s="151" t="str">
        <x:f>IFERROR(VLOOKUP(F400,'Base Sectores'!$A$5:$J$47,2,FALSE),"")</x:f>
      </x:c>
      <x:c r="H400" s="151" t="str">
        <x:f>IFERROR(VLOOKUP(F400,'Base Sectores'!$A$5:$J$47,3,FALSE),"")</x:f>
      </x:c>
      <x:c r="I400" s="151" t="str">
        <x:f>IFERROR(VLOOKUP(F400,'Base Sectores'!$A$5:$J$47,4,FALSE),"")</x:f>
      </x:c>
      <x:c r="J400" s="151" t="str">
        <x:f>IFERROR(VLOOKUP(F400,'Base Sectores'!$A$5:$J$47,5,FALSE),"")</x:f>
      </x:c>
      <x:c r="K400" s="151" t="str">
        <x:f>IFERROR(VLOOKUP(F400,'Base Sectores'!$A$5:$J$47,6,FALSE),"")</x:f>
      </x:c>
      <x:c r="L400" s="151" t="str">
        <x:f>IFERROR(VLOOKUP(F400,'Base Sectores'!$A$5:$J$47,7,FALSE),"")</x:f>
      </x:c>
      <x:c r="M400" s="151" t="str">
        <x:f>IFERROR(VLOOKUP(F400,'Base Sectores'!$A$5:$J$47,9,FALSE),"")</x:f>
      </x:c>
      <x:c r="N400" s="154"/>
      <x:c r="O400" s="151" t="str">
        <x:f>IFERROR(VLOOKUP(N400,'Configuracion'!$D$4:$H$15,2,FALSE),"")</x:f>
      </x:c>
      <x:c r="P400" s="151" t="str">
        <x:f>IFERROR(VLOOKUP(N400,'Configuracion'!$D$4:$H$15,3,FALSE),"")</x:f>
      </x:c>
      <x:c r="Q400" s="155"/>
      <x:c r="R400" s="156" t="str">
        <x:f>IFERROR(VLOOKUP(N400,'Configuracion'!$D$4:$H$15,4,FALSE),"")</x:f>
      </x:c>
      <x:c r="S400" s="153"/>
      <x:c r="T400" s="153"/>
      <x:c r="U400" s="156" t="str">
        <x:f>IF(OR(S400="",T400=""),"",MOD(T400-S400,1)*24)</x:f>
      </x:c>
      <x:c r="V400" s="154"/>
      <x:c r="W400" s="154"/>
      <x:c r="X400" s="151" t="str">
        <x:f>IFERROR(VLOOKUP(N400,'Configuracion'!$D$4:$H$15,5,FALSE),"")</x:f>
      </x:c>
      <x:c r="Y400" s="151" t="str">
        <x:f>IFERROR(VLOOKUP(V400,'Cuadrillas'!$A$5:$J$14,2,FALSE),"")</x:f>
      </x:c>
      <x:c r="Z400" s="154"/>
      <x:c r="AA400" s="154"/>
      <x:c r="AB400" s="154"/>
      <x:c r="AC400" s="153"/>
      <x:c r="AD400" s="153"/>
      <x:c r="AE400" s="156" t="str">
        <x:f>IF(OR(AC400="",AD400=""),"",MOD(AD400-AC400,1)*24)</x:f>
      </x:c>
      <x:c r="AF400" s="154"/>
      <x:c r="AG400" s="156" t="str">
        <x:f>IF(AE400="","",MAX(0,AE400-IF(AF400="",0,AF400/60)))</x:f>
      </x:c>
      <x:c r="AH400" s="155"/>
      <x:c r="AI400" s="154"/>
      <x:c r="AJ400" s="154"/>
      <x:c r="AK400" s="156" t="n">
        <x:f>IFERROR(U400*W400,"")</x:f>
        <x:v>0</x:v>
      </x:c>
      <x:c r="AL400" s="156" t="n">
        <x:f>IFERROR(AE400*AI400,"")</x:f>
        <x:v>0</x:v>
      </x:c>
      <x:c r="AM400" s="157" t="str">
        <x:f>IFERROR(AH400/Q400,"")</x:f>
      </x:c>
      <x:c r="AN400" s="156" t="str">
        <x:f>IFERROR(AH400/AG400,"")</x:f>
      </x:c>
      <x:c r="AO400" s="156" t="str">
        <x:f>IFERROR(AL400/AH400,"")</x:f>
      </x:c>
      <x:c r="AP400" s="157" t="str">
        <x:f>IFERROR(AG400/AE400,"")</x:f>
      </x:c>
      <x:c r="AQ400" s="157" t="str">
        <x:f>IFERROR(AN400/(R400/'Configuracion'!$B$13),"")</x:f>
      </x:c>
      <x:c r="AR400" s="156" t="n">
        <x:f>IFERROR(AE400-U400,"")</x:f>
        <x:v>0</x:v>
      </x:c>
      <x:c r="AS400" s="154"/>
      <x:c r="AT400" s="154"/>
      <x:c r="AU400" s="154"/>
      <x:c r="AV400" s="154"/>
      <x:c r="AW400" s="152"/>
      <x:c r="AX400" s="154"/>
      <x:c r="AY400" s="154"/>
      <x:c r="AZ400" s="151"/>
      <x:c r="BA400" s="151"/>
    </x:row>
    <x:row r="401">
      <x:c r="A401" s="151" t="str">
        <x:f>IF(B401="","",TEXT(B401,"yyyymmdd")&amp;"-"&amp;TEXT(COUNTIF($B$5:B401,B401),"000"))</x:f>
      </x:c>
      <x:c r="B401" s="152"/>
      <x:c r="C401" s="153"/>
      <x:c r="D401" s="151" t="str">
        <x:f>IF(B401="","",'Configuracion'!$B$4)</x:f>
      </x:c>
      <x:c r="E401" s="154"/>
      <x:c r="F401" s="154"/>
      <x:c r="G401" s="151" t="str">
        <x:f>IFERROR(VLOOKUP(F401,'Base Sectores'!$A$5:$J$47,2,FALSE),"")</x:f>
      </x:c>
      <x:c r="H401" s="151" t="str">
        <x:f>IFERROR(VLOOKUP(F401,'Base Sectores'!$A$5:$J$47,3,FALSE),"")</x:f>
      </x:c>
      <x:c r="I401" s="151" t="str">
        <x:f>IFERROR(VLOOKUP(F401,'Base Sectores'!$A$5:$J$47,4,FALSE),"")</x:f>
      </x:c>
      <x:c r="J401" s="151" t="str">
        <x:f>IFERROR(VLOOKUP(F401,'Base Sectores'!$A$5:$J$47,5,FALSE),"")</x:f>
      </x:c>
      <x:c r="K401" s="151" t="str">
        <x:f>IFERROR(VLOOKUP(F401,'Base Sectores'!$A$5:$J$47,6,FALSE),"")</x:f>
      </x:c>
      <x:c r="L401" s="151" t="str">
        <x:f>IFERROR(VLOOKUP(F401,'Base Sectores'!$A$5:$J$47,7,FALSE),"")</x:f>
      </x:c>
      <x:c r="M401" s="151" t="str">
        <x:f>IFERROR(VLOOKUP(F401,'Base Sectores'!$A$5:$J$47,9,FALSE),"")</x:f>
      </x:c>
      <x:c r="N401" s="154"/>
      <x:c r="O401" s="151" t="str">
        <x:f>IFERROR(VLOOKUP(N401,'Configuracion'!$D$4:$H$15,2,FALSE),"")</x:f>
      </x:c>
      <x:c r="P401" s="151" t="str">
        <x:f>IFERROR(VLOOKUP(N401,'Configuracion'!$D$4:$H$15,3,FALSE),"")</x:f>
      </x:c>
      <x:c r="Q401" s="155"/>
      <x:c r="R401" s="156" t="str">
        <x:f>IFERROR(VLOOKUP(N401,'Configuracion'!$D$4:$H$15,4,FALSE),"")</x:f>
      </x:c>
      <x:c r="S401" s="153"/>
      <x:c r="T401" s="153"/>
      <x:c r="U401" s="156" t="str">
        <x:f>IF(OR(S401="",T401=""),"",MOD(T401-S401,1)*24)</x:f>
      </x:c>
      <x:c r="V401" s="154"/>
      <x:c r="W401" s="154"/>
      <x:c r="X401" s="151" t="str">
        <x:f>IFERROR(VLOOKUP(N401,'Configuracion'!$D$4:$H$15,5,FALSE),"")</x:f>
      </x:c>
      <x:c r="Y401" s="151" t="str">
        <x:f>IFERROR(VLOOKUP(V401,'Cuadrillas'!$A$5:$J$14,2,FALSE),"")</x:f>
      </x:c>
      <x:c r="Z401" s="154"/>
      <x:c r="AA401" s="154"/>
      <x:c r="AB401" s="154"/>
      <x:c r="AC401" s="153"/>
      <x:c r="AD401" s="153"/>
      <x:c r="AE401" s="156" t="str">
        <x:f>IF(OR(AC401="",AD401=""),"",MOD(AD401-AC401,1)*24)</x:f>
      </x:c>
      <x:c r="AF401" s="154"/>
      <x:c r="AG401" s="156" t="str">
        <x:f>IF(AE401="","",MAX(0,AE401-IF(AF401="",0,AF401/60)))</x:f>
      </x:c>
      <x:c r="AH401" s="155"/>
      <x:c r="AI401" s="154"/>
      <x:c r="AJ401" s="154"/>
      <x:c r="AK401" s="156" t="n">
        <x:f>IFERROR(U401*W401,"")</x:f>
        <x:v>0</x:v>
      </x:c>
      <x:c r="AL401" s="156" t="n">
        <x:f>IFERROR(AE401*AI401,"")</x:f>
        <x:v>0</x:v>
      </x:c>
      <x:c r="AM401" s="157" t="str">
        <x:f>IFERROR(AH401/Q401,"")</x:f>
      </x:c>
      <x:c r="AN401" s="156" t="str">
        <x:f>IFERROR(AH401/AG401,"")</x:f>
      </x:c>
      <x:c r="AO401" s="156" t="str">
        <x:f>IFERROR(AL401/AH401,"")</x:f>
      </x:c>
      <x:c r="AP401" s="157" t="str">
        <x:f>IFERROR(AG401/AE401,"")</x:f>
      </x:c>
      <x:c r="AQ401" s="157" t="str">
        <x:f>IFERROR(AN401/(R401/'Configuracion'!$B$13),"")</x:f>
      </x:c>
      <x:c r="AR401" s="156" t="n">
        <x:f>IFERROR(AE401-U401,"")</x:f>
        <x:v>0</x:v>
      </x:c>
      <x:c r="AS401" s="154"/>
      <x:c r="AT401" s="154"/>
      <x:c r="AU401" s="154"/>
      <x:c r="AV401" s="154"/>
      <x:c r="AW401" s="152"/>
      <x:c r="AX401" s="154"/>
      <x:c r="AY401" s="154"/>
      <x:c r="AZ401" s="151"/>
      <x:c r="BA401" s="151"/>
    </x:row>
    <x:row r="402">
      <x:c r="A402" s="151" t="str">
        <x:f>IF(B402="","",TEXT(B402,"yyyymmdd")&amp;"-"&amp;TEXT(COUNTIF($B$5:B402,B402),"000"))</x:f>
      </x:c>
      <x:c r="B402" s="152"/>
      <x:c r="C402" s="153"/>
      <x:c r="D402" s="151" t="str">
        <x:f>IF(B402="","",'Configuracion'!$B$4)</x:f>
      </x:c>
      <x:c r="E402" s="154"/>
      <x:c r="F402" s="154"/>
      <x:c r="G402" s="151" t="str">
        <x:f>IFERROR(VLOOKUP(F402,'Base Sectores'!$A$5:$J$47,2,FALSE),"")</x:f>
      </x:c>
      <x:c r="H402" s="151" t="str">
        <x:f>IFERROR(VLOOKUP(F402,'Base Sectores'!$A$5:$J$47,3,FALSE),"")</x:f>
      </x:c>
      <x:c r="I402" s="151" t="str">
        <x:f>IFERROR(VLOOKUP(F402,'Base Sectores'!$A$5:$J$47,4,FALSE),"")</x:f>
      </x:c>
      <x:c r="J402" s="151" t="str">
        <x:f>IFERROR(VLOOKUP(F402,'Base Sectores'!$A$5:$J$47,5,FALSE),"")</x:f>
      </x:c>
      <x:c r="K402" s="151" t="str">
        <x:f>IFERROR(VLOOKUP(F402,'Base Sectores'!$A$5:$J$47,6,FALSE),"")</x:f>
      </x:c>
      <x:c r="L402" s="151" t="str">
        <x:f>IFERROR(VLOOKUP(F402,'Base Sectores'!$A$5:$J$47,7,FALSE),"")</x:f>
      </x:c>
      <x:c r="M402" s="151" t="str">
        <x:f>IFERROR(VLOOKUP(F402,'Base Sectores'!$A$5:$J$47,9,FALSE),"")</x:f>
      </x:c>
      <x:c r="N402" s="154"/>
      <x:c r="O402" s="151" t="str">
        <x:f>IFERROR(VLOOKUP(N402,'Configuracion'!$D$4:$H$15,2,FALSE),"")</x:f>
      </x:c>
      <x:c r="P402" s="151" t="str">
        <x:f>IFERROR(VLOOKUP(N402,'Configuracion'!$D$4:$H$15,3,FALSE),"")</x:f>
      </x:c>
      <x:c r="Q402" s="155"/>
      <x:c r="R402" s="156" t="str">
        <x:f>IFERROR(VLOOKUP(N402,'Configuracion'!$D$4:$H$15,4,FALSE),"")</x:f>
      </x:c>
      <x:c r="S402" s="153"/>
      <x:c r="T402" s="153"/>
      <x:c r="U402" s="156" t="str">
        <x:f>IF(OR(S402="",T402=""),"",MOD(T402-S402,1)*24)</x:f>
      </x:c>
      <x:c r="V402" s="154"/>
      <x:c r="W402" s="154"/>
      <x:c r="X402" s="151" t="str">
        <x:f>IFERROR(VLOOKUP(N402,'Configuracion'!$D$4:$H$15,5,FALSE),"")</x:f>
      </x:c>
      <x:c r="Y402" s="151" t="str">
        <x:f>IFERROR(VLOOKUP(V402,'Cuadrillas'!$A$5:$J$14,2,FALSE),"")</x:f>
      </x:c>
      <x:c r="Z402" s="154"/>
      <x:c r="AA402" s="154"/>
      <x:c r="AB402" s="154"/>
      <x:c r="AC402" s="153"/>
      <x:c r="AD402" s="153"/>
      <x:c r="AE402" s="156" t="str">
        <x:f>IF(OR(AC402="",AD402=""),"",MOD(AD402-AC402,1)*24)</x:f>
      </x:c>
      <x:c r="AF402" s="154"/>
      <x:c r="AG402" s="156" t="str">
        <x:f>IF(AE402="","",MAX(0,AE402-IF(AF402="",0,AF402/60)))</x:f>
      </x:c>
      <x:c r="AH402" s="155"/>
      <x:c r="AI402" s="154"/>
      <x:c r="AJ402" s="154"/>
      <x:c r="AK402" s="156" t="n">
        <x:f>IFERROR(U402*W402,"")</x:f>
        <x:v>0</x:v>
      </x:c>
      <x:c r="AL402" s="156" t="n">
        <x:f>IFERROR(AE402*AI402,"")</x:f>
        <x:v>0</x:v>
      </x:c>
      <x:c r="AM402" s="157" t="str">
        <x:f>IFERROR(AH402/Q402,"")</x:f>
      </x:c>
      <x:c r="AN402" s="156" t="str">
        <x:f>IFERROR(AH402/AG402,"")</x:f>
      </x:c>
      <x:c r="AO402" s="156" t="str">
        <x:f>IFERROR(AL402/AH402,"")</x:f>
      </x:c>
      <x:c r="AP402" s="157" t="str">
        <x:f>IFERROR(AG402/AE402,"")</x:f>
      </x:c>
      <x:c r="AQ402" s="157" t="str">
        <x:f>IFERROR(AN402/(R402/'Configuracion'!$B$13),"")</x:f>
      </x:c>
      <x:c r="AR402" s="156" t="n">
        <x:f>IFERROR(AE402-U402,"")</x:f>
        <x:v>0</x:v>
      </x:c>
      <x:c r="AS402" s="154"/>
      <x:c r="AT402" s="154"/>
      <x:c r="AU402" s="154"/>
      <x:c r="AV402" s="154"/>
      <x:c r="AW402" s="152"/>
      <x:c r="AX402" s="154"/>
      <x:c r="AY402" s="154"/>
      <x:c r="AZ402" s="151"/>
      <x:c r="BA402" s="151"/>
    </x:row>
    <x:row r="403">
      <x:c r="A403" s="151" t="str">
        <x:f>IF(B403="","",TEXT(B403,"yyyymmdd")&amp;"-"&amp;TEXT(COUNTIF($B$5:B403,B403),"000"))</x:f>
      </x:c>
      <x:c r="B403" s="152"/>
      <x:c r="C403" s="153"/>
      <x:c r="D403" s="151" t="str">
        <x:f>IF(B403="","",'Configuracion'!$B$4)</x:f>
      </x:c>
      <x:c r="E403" s="154"/>
      <x:c r="F403" s="154"/>
      <x:c r="G403" s="151" t="str">
        <x:f>IFERROR(VLOOKUP(F403,'Base Sectores'!$A$5:$J$47,2,FALSE),"")</x:f>
      </x:c>
      <x:c r="H403" s="151" t="str">
        <x:f>IFERROR(VLOOKUP(F403,'Base Sectores'!$A$5:$J$47,3,FALSE),"")</x:f>
      </x:c>
      <x:c r="I403" s="151" t="str">
        <x:f>IFERROR(VLOOKUP(F403,'Base Sectores'!$A$5:$J$47,4,FALSE),"")</x:f>
      </x:c>
      <x:c r="J403" s="151" t="str">
        <x:f>IFERROR(VLOOKUP(F403,'Base Sectores'!$A$5:$J$47,5,FALSE),"")</x:f>
      </x:c>
      <x:c r="K403" s="151" t="str">
        <x:f>IFERROR(VLOOKUP(F403,'Base Sectores'!$A$5:$J$47,6,FALSE),"")</x:f>
      </x:c>
      <x:c r="L403" s="151" t="str">
        <x:f>IFERROR(VLOOKUP(F403,'Base Sectores'!$A$5:$J$47,7,FALSE),"")</x:f>
      </x:c>
      <x:c r="M403" s="151" t="str">
        <x:f>IFERROR(VLOOKUP(F403,'Base Sectores'!$A$5:$J$47,9,FALSE),"")</x:f>
      </x:c>
      <x:c r="N403" s="154"/>
      <x:c r="O403" s="151" t="str">
        <x:f>IFERROR(VLOOKUP(N403,'Configuracion'!$D$4:$H$15,2,FALSE),"")</x:f>
      </x:c>
      <x:c r="P403" s="151" t="str">
        <x:f>IFERROR(VLOOKUP(N403,'Configuracion'!$D$4:$H$15,3,FALSE),"")</x:f>
      </x:c>
      <x:c r="Q403" s="155"/>
      <x:c r="R403" s="156" t="str">
        <x:f>IFERROR(VLOOKUP(N403,'Configuracion'!$D$4:$H$15,4,FALSE),"")</x:f>
      </x:c>
      <x:c r="S403" s="153"/>
      <x:c r="T403" s="153"/>
      <x:c r="U403" s="156" t="str">
        <x:f>IF(OR(S403="",T403=""),"",MOD(T403-S403,1)*24)</x:f>
      </x:c>
      <x:c r="V403" s="154"/>
      <x:c r="W403" s="154"/>
      <x:c r="X403" s="151" t="str">
        <x:f>IFERROR(VLOOKUP(N403,'Configuracion'!$D$4:$H$15,5,FALSE),"")</x:f>
      </x:c>
      <x:c r="Y403" s="151" t="str">
        <x:f>IFERROR(VLOOKUP(V403,'Cuadrillas'!$A$5:$J$14,2,FALSE),"")</x:f>
      </x:c>
      <x:c r="Z403" s="154"/>
      <x:c r="AA403" s="154"/>
      <x:c r="AB403" s="154"/>
      <x:c r="AC403" s="153"/>
      <x:c r="AD403" s="153"/>
      <x:c r="AE403" s="156" t="str">
        <x:f>IF(OR(AC403="",AD403=""),"",MOD(AD403-AC403,1)*24)</x:f>
      </x:c>
      <x:c r="AF403" s="154"/>
      <x:c r="AG403" s="156" t="str">
        <x:f>IF(AE403="","",MAX(0,AE403-IF(AF403="",0,AF403/60)))</x:f>
      </x:c>
      <x:c r="AH403" s="155"/>
      <x:c r="AI403" s="154"/>
      <x:c r="AJ403" s="154"/>
      <x:c r="AK403" s="156" t="n">
        <x:f>IFERROR(U403*W403,"")</x:f>
        <x:v>0</x:v>
      </x:c>
      <x:c r="AL403" s="156" t="n">
        <x:f>IFERROR(AE403*AI403,"")</x:f>
        <x:v>0</x:v>
      </x:c>
      <x:c r="AM403" s="157" t="str">
        <x:f>IFERROR(AH403/Q403,"")</x:f>
      </x:c>
      <x:c r="AN403" s="156" t="str">
        <x:f>IFERROR(AH403/AG403,"")</x:f>
      </x:c>
      <x:c r="AO403" s="156" t="str">
        <x:f>IFERROR(AL403/AH403,"")</x:f>
      </x:c>
      <x:c r="AP403" s="157" t="str">
        <x:f>IFERROR(AG403/AE403,"")</x:f>
      </x:c>
      <x:c r="AQ403" s="157" t="str">
        <x:f>IFERROR(AN403/(R403/'Configuracion'!$B$13),"")</x:f>
      </x:c>
      <x:c r="AR403" s="156" t="n">
        <x:f>IFERROR(AE403-U403,"")</x:f>
        <x:v>0</x:v>
      </x:c>
      <x:c r="AS403" s="154"/>
      <x:c r="AT403" s="154"/>
      <x:c r="AU403" s="154"/>
      <x:c r="AV403" s="154"/>
      <x:c r="AW403" s="152"/>
      <x:c r="AX403" s="154"/>
      <x:c r="AY403" s="154"/>
      <x:c r="AZ403" s="151"/>
      <x:c r="BA403" s="151"/>
    </x:row>
    <x:row r="404">
      <x:c r="A404" s="151" t="str">
        <x:f>IF(B404="","",TEXT(B404,"yyyymmdd")&amp;"-"&amp;TEXT(COUNTIF($B$5:B404,B404),"000"))</x:f>
      </x:c>
      <x:c r="B404" s="152"/>
      <x:c r="C404" s="153"/>
      <x:c r="D404" s="151" t="str">
        <x:f>IF(B404="","",'Configuracion'!$B$4)</x:f>
      </x:c>
      <x:c r="E404" s="154"/>
      <x:c r="F404" s="154"/>
      <x:c r="G404" s="151" t="str">
        <x:f>IFERROR(VLOOKUP(F404,'Base Sectores'!$A$5:$J$47,2,FALSE),"")</x:f>
      </x:c>
      <x:c r="H404" s="151" t="str">
        <x:f>IFERROR(VLOOKUP(F404,'Base Sectores'!$A$5:$J$47,3,FALSE),"")</x:f>
      </x:c>
      <x:c r="I404" s="151" t="str">
        <x:f>IFERROR(VLOOKUP(F404,'Base Sectores'!$A$5:$J$47,4,FALSE),"")</x:f>
      </x:c>
      <x:c r="J404" s="151" t="str">
        <x:f>IFERROR(VLOOKUP(F404,'Base Sectores'!$A$5:$J$47,5,FALSE),"")</x:f>
      </x:c>
      <x:c r="K404" s="151" t="str">
        <x:f>IFERROR(VLOOKUP(F404,'Base Sectores'!$A$5:$J$47,6,FALSE),"")</x:f>
      </x:c>
      <x:c r="L404" s="151" t="str">
        <x:f>IFERROR(VLOOKUP(F404,'Base Sectores'!$A$5:$J$47,7,FALSE),"")</x:f>
      </x:c>
      <x:c r="M404" s="151" t="str">
        <x:f>IFERROR(VLOOKUP(F404,'Base Sectores'!$A$5:$J$47,9,FALSE),"")</x:f>
      </x:c>
      <x:c r="N404" s="154"/>
      <x:c r="O404" s="151" t="str">
        <x:f>IFERROR(VLOOKUP(N404,'Configuracion'!$D$4:$H$15,2,FALSE),"")</x:f>
      </x:c>
      <x:c r="P404" s="151" t="str">
        <x:f>IFERROR(VLOOKUP(N404,'Configuracion'!$D$4:$H$15,3,FALSE),"")</x:f>
      </x:c>
      <x:c r="Q404" s="155"/>
      <x:c r="R404" s="156" t="str">
        <x:f>IFERROR(VLOOKUP(N404,'Configuracion'!$D$4:$H$15,4,FALSE),"")</x:f>
      </x:c>
      <x:c r="S404" s="153"/>
      <x:c r="T404" s="153"/>
      <x:c r="U404" s="156" t="str">
        <x:f>IF(OR(S404="",T404=""),"",MOD(T404-S404,1)*24)</x:f>
      </x:c>
      <x:c r="V404" s="154"/>
      <x:c r="W404" s="154"/>
      <x:c r="X404" s="151" t="str">
        <x:f>IFERROR(VLOOKUP(N404,'Configuracion'!$D$4:$H$15,5,FALSE),"")</x:f>
      </x:c>
      <x:c r="Y404" s="151" t="str">
        <x:f>IFERROR(VLOOKUP(V404,'Cuadrillas'!$A$5:$J$14,2,FALSE),"")</x:f>
      </x:c>
      <x:c r="Z404" s="154"/>
      <x:c r="AA404" s="154"/>
      <x:c r="AB404" s="154"/>
      <x:c r="AC404" s="153"/>
      <x:c r="AD404" s="153"/>
      <x:c r="AE404" s="156" t="str">
        <x:f>IF(OR(AC404="",AD404=""),"",MOD(AD404-AC404,1)*24)</x:f>
      </x:c>
      <x:c r="AF404" s="154"/>
      <x:c r="AG404" s="156" t="str">
        <x:f>IF(AE404="","",MAX(0,AE404-IF(AF404="",0,AF404/60)))</x:f>
      </x:c>
      <x:c r="AH404" s="155"/>
      <x:c r="AI404" s="154"/>
      <x:c r="AJ404" s="154"/>
      <x:c r="AK404" s="156" t="n">
        <x:f>IFERROR(U404*W404,"")</x:f>
        <x:v>0</x:v>
      </x:c>
      <x:c r="AL404" s="156" t="n">
        <x:f>IFERROR(AE404*AI404,"")</x:f>
        <x:v>0</x:v>
      </x:c>
      <x:c r="AM404" s="157" t="str">
        <x:f>IFERROR(AH404/Q404,"")</x:f>
      </x:c>
      <x:c r="AN404" s="156" t="str">
        <x:f>IFERROR(AH404/AG404,"")</x:f>
      </x:c>
      <x:c r="AO404" s="156" t="str">
        <x:f>IFERROR(AL404/AH404,"")</x:f>
      </x:c>
      <x:c r="AP404" s="157" t="str">
        <x:f>IFERROR(AG404/AE404,"")</x:f>
      </x:c>
      <x:c r="AQ404" s="157" t="str">
        <x:f>IFERROR(AN404/(R404/'Configuracion'!$B$13),"")</x:f>
      </x:c>
      <x:c r="AR404" s="156" t="n">
        <x:f>IFERROR(AE404-U404,"")</x:f>
        <x:v>0</x:v>
      </x:c>
      <x:c r="AS404" s="154"/>
      <x:c r="AT404" s="154"/>
      <x:c r="AU404" s="154"/>
      <x:c r="AV404" s="154"/>
      <x:c r="AW404" s="152"/>
      <x:c r="AX404" s="154"/>
      <x:c r="AY404" s="154"/>
      <x:c r="AZ404" s="151"/>
      <x:c r="BA404" s="151"/>
    </x:row>
    <x:row r="405">
      <x:c r="A405" s="151" t="str">
        <x:f>IF(B405="","",TEXT(B405,"yyyymmdd")&amp;"-"&amp;TEXT(COUNTIF($B$5:B405,B405),"000"))</x:f>
      </x:c>
      <x:c r="B405" s="152"/>
      <x:c r="C405" s="153"/>
      <x:c r="D405" s="151" t="str">
        <x:f>IF(B405="","",'Configuracion'!$B$4)</x:f>
      </x:c>
      <x:c r="E405" s="154"/>
      <x:c r="F405" s="154"/>
      <x:c r="G405" s="151" t="str">
        <x:f>IFERROR(VLOOKUP(F405,'Base Sectores'!$A$5:$J$47,2,FALSE),"")</x:f>
      </x:c>
      <x:c r="H405" s="151" t="str">
        <x:f>IFERROR(VLOOKUP(F405,'Base Sectores'!$A$5:$J$47,3,FALSE),"")</x:f>
      </x:c>
      <x:c r="I405" s="151" t="str">
        <x:f>IFERROR(VLOOKUP(F405,'Base Sectores'!$A$5:$J$47,4,FALSE),"")</x:f>
      </x:c>
      <x:c r="J405" s="151" t="str">
        <x:f>IFERROR(VLOOKUP(F405,'Base Sectores'!$A$5:$J$47,5,FALSE),"")</x:f>
      </x:c>
      <x:c r="K405" s="151" t="str">
        <x:f>IFERROR(VLOOKUP(F405,'Base Sectores'!$A$5:$J$47,6,FALSE),"")</x:f>
      </x:c>
      <x:c r="L405" s="151" t="str">
        <x:f>IFERROR(VLOOKUP(F405,'Base Sectores'!$A$5:$J$47,7,FALSE),"")</x:f>
      </x:c>
      <x:c r="M405" s="151" t="str">
        <x:f>IFERROR(VLOOKUP(F405,'Base Sectores'!$A$5:$J$47,9,FALSE),"")</x:f>
      </x:c>
      <x:c r="N405" s="154"/>
      <x:c r="O405" s="151" t="str">
        <x:f>IFERROR(VLOOKUP(N405,'Configuracion'!$D$4:$H$15,2,FALSE),"")</x:f>
      </x:c>
      <x:c r="P405" s="151" t="str">
        <x:f>IFERROR(VLOOKUP(N405,'Configuracion'!$D$4:$H$15,3,FALSE),"")</x:f>
      </x:c>
      <x:c r="Q405" s="155"/>
      <x:c r="R405" s="156" t="str">
        <x:f>IFERROR(VLOOKUP(N405,'Configuracion'!$D$4:$H$15,4,FALSE),"")</x:f>
      </x:c>
      <x:c r="S405" s="153"/>
      <x:c r="T405" s="153"/>
      <x:c r="U405" s="156" t="str">
        <x:f>IF(OR(S405="",T405=""),"",MOD(T405-S405,1)*24)</x:f>
      </x:c>
      <x:c r="V405" s="154"/>
      <x:c r="W405" s="154"/>
      <x:c r="X405" s="151" t="str">
        <x:f>IFERROR(VLOOKUP(N405,'Configuracion'!$D$4:$H$15,5,FALSE),"")</x:f>
      </x:c>
      <x:c r="Y405" s="151" t="str">
        <x:f>IFERROR(VLOOKUP(V405,'Cuadrillas'!$A$5:$J$14,2,FALSE),"")</x:f>
      </x:c>
      <x:c r="Z405" s="154"/>
      <x:c r="AA405" s="154"/>
      <x:c r="AB405" s="154"/>
      <x:c r="AC405" s="153"/>
      <x:c r="AD405" s="153"/>
      <x:c r="AE405" s="156" t="str">
        <x:f>IF(OR(AC405="",AD405=""),"",MOD(AD405-AC405,1)*24)</x:f>
      </x:c>
      <x:c r="AF405" s="154"/>
      <x:c r="AG405" s="156" t="str">
        <x:f>IF(AE405="","",MAX(0,AE405-IF(AF405="",0,AF405/60)))</x:f>
      </x:c>
      <x:c r="AH405" s="155"/>
      <x:c r="AI405" s="154"/>
      <x:c r="AJ405" s="154"/>
      <x:c r="AK405" s="156" t="n">
        <x:f>IFERROR(U405*W405,"")</x:f>
        <x:v>0</x:v>
      </x:c>
      <x:c r="AL405" s="156" t="n">
        <x:f>IFERROR(AE405*AI405,"")</x:f>
        <x:v>0</x:v>
      </x:c>
      <x:c r="AM405" s="157" t="str">
        <x:f>IFERROR(AH405/Q405,"")</x:f>
      </x:c>
      <x:c r="AN405" s="156" t="str">
        <x:f>IFERROR(AH405/AG405,"")</x:f>
      </x:c>
      <x:c r="AO405" s="156" t="str">
        <x:f>IFERROR(AL405/AH405,"")</x:f>
      </x:c>
      <x:c r="AP405" s="157" t="str">
        <x:f>IFERROR(AG405/AE405,"")</x:f>
      </x:c>
      <x:c r="AQ405" s="157" t="str">
        <x:f>IFERROR(AN405/(R405/'Configuracion'!$B$13),"")</x:f>
      </x:c>
      <x:c r="AR405" s="156" t="n">
        <x:f>IFERROR(AE405-U405,"")</x:f>
        <x:v>0</x:v>
      </x:c>
      <x:c r="AS405" s="154"/>
      <x:c r="AT405" s="154"/>
      <x:c r="AU405" s="154"/>
      <x:c r="AV405" s="154"/>
      <x:c r="AW405" s="152"/>
      <x:c r="AX405" s="154"/>
      <x:c r="AY405" s="154"/>
      <x:c r="AZ405" s="151"/>
      <x:c r="BA405" s="151"/>
    </x:row>
    <x:row r="406">
      <x:c r="A406" s="151" t="str">
        <x:f>IF(B406="","",TEXT(B406,"yyyymmdd")&amp;"-"&amp;TEXT(COUNTIF($B$5:B406,B406),"000"))</x:f>
      </x:c>
      <x:c r="B406" s="152"/>
      <x:c r="C406" s="153"/>
      <x:c r="D406" s="151" t="str">
        <x:f>IF(B406="","",'Configuracion'!$B$4)</x:f>
      </x:c>
      <x:c r="E406" s="154"/>
      <x:c r="F406" s="154"/>
      <x:c r="G406" s="151" t="str">
        <x:f>IFERROR(VLOOKUP(F406,'Base Sectores'!$A$5:$J$47,2,FALSE),"")</x:f>
      </x:c>
      <x:c r="H406" s="151" t="str">
        <x:f>IFERROR(VLOOKUP(F406,'Base Sectores'!$A$5:$J$47,3,FALSE),"")</x:f>
      </x:c>
      <x:c r="I406" s="151" t="str">
        <x:f>IFERROR(VLOOKUP(F406,'Base Sectores'!$A$5:$J$47,4,FALSE),"")</x:f>
      </x:c>
      <x:c r="J406" s="151" t="str">
        <x:f>IFERROR(VLOOKUP(F406,'Base Sectores'!$A$5:$J$47,5,FALSE),"")</x:f>
      </x:c>
      <x:c r="K406" s="151" t="str">
        <x:f>IFERROR(VLOOKUP(F406,'Base Sectores'!$A$5:$J$47,6,FALSE),"")</x:f>
      </x:c>
      <x:c r="L406" s="151" t="str">
        <x:f>IFERROR(VLOOKUP(F406,'Base Sectores'!$A$5:$J$47,7,FALSE),"")</x:f>
      </x:c>
      <x:c r="M406" s="151" t="str">
        <x:f>IFERROR(VLOOKUP(F406,'Base Sectores'!$A$5:$J$47,9,FALSE),"")</x:f>
      </x:c>
      <x:c r="N406" s="154"/>
      <x:c r="O406" s="151" t="str">
        <x:f>IFERROR(VLOOKUP(N406,'Configuracion'!$D$4:$H$15,2,FALSE),"")</x:f>
      </x:c>
      <x:c r="P406" s="151" t="str">
        <x:f>IFERROR(VLOOKUP(N406,'Configuracion'!$D$4:$H$15,3,FALSE),"")</x:f>
      </x:c>
      <x:c r="Q406" s="155"/>
      <x:c r="R406" s="156" t="str">
        <x:f>IFERROR(VLOOKUP(N406,'Configuracion'!$D$4:$H$15,4,FALSE),"")</x:f>
      </x:c>
      <x:c r="S406" s="153"/>
      <x:c r="T406" s="153"/>
      <x:c r="U406" s="156" t="str">
        <x:f>IF(OR(S406="",T406=""),"",MOD(T406-S406,1)*24)</x:f>
      </x:c>
      <x:c r="V406" s="154"/>
      <x:c r="W406" s="154"/>
      <x:c r="X406" s="151" t="str">
        <x:f>IFERROR(VLOOKUP(N406,'Configuracion'!$D$4:$H$15,5,FALSE),"")</x:f>
      </x:c>
      <x:c r="Y406" s="151" t="str">
        <x:f>IFERROR(VLOOKUP(V406,'Cuadrillas'!$A$5:$J$14,2,FALSE),"")</x:f>
      </x:c>
      <x:c r="Z406" s="154"/>
      <x:c r="AA406" s="154"/>
      <x:c r="AB406" s="154"/>
      <x:c r="AC406" s="153"/>
      <x:c r="AD406" s="153"/>
      <x:c r="AE406" s="156" t="str">
        <x:f>IF(OR(AC406="",AD406=""),"",MOD(AD406-AC406,1)*24)</x:f>
      </x:c>
      <x:c r="AF406" s="154"/>
      <x:c r="AG406" s="156" t="str">
        <x:f>IF(AE406="","",MAX(0,AE406-IF(AF406="",0,AF406/60)))</x:f>
      </x:c>
      <x:c r="AH406" s="155"/>
      <x:c r="AI406" s="154"/>
      <x:c r="AJ406" s="154"/>
      <x:c r="AK406" s="156" t="n">
        <x:f>IFERROR(U406*W406,"")</x:f>
        <x:v>0</x:v>
      </x:c>
      <x:c r="AL406" s="156" t="n">
        <x:f>IFERROR(AE406*AI406,"")</x:f>
        <x:v>0</x:v>
      </x:c>
      <x:c r="AM406" s="157" t="str">
        <x:f>IFERROR(AH406/Q406,"")</x:f>
      </x:c>
      <x:c r="AN406" s="156" t="str">
        <x:f>IFERROR(AH406/AG406,"")</x:f>
      </x:c>
      <x:c r="AO406" s="156" t="str">
        <x:f>IFERROR(AL406/AH406,"")</x:f>
      </x:c>
      <x:c r="AP406" s="157" t="str">
        <x:f>IFERROR(AG406/AE406,"")</x:f>
      </x:c>
      <x:c r="AQ406" s="157" t="str">
        <x:f>IFERROR(AN406/(R406/'Configuracion'!$B$13),"")</x:f>
      </x:c>
      <x:c r="AR406" s="156" t="n">
        <x:f>IFERROR(AE406-U406,"")</x:f>
        <x:v>0</x:v>
      </x:c>
      <x:c r="AS406" s="154"/>
      <x:c r="AT406" s="154"/>
      <x:c r="AU406" s="154"/>
      <x:c r="AV406" s="154"/>
      <x:c r="AW406" s="152"/>
      <x:c r="AX406" s="154"/>
      <x:c r="AY406" s="154"/>
      <x:c r="AZ406" s="151"/>
      <x:c r="BA406" s="151"/>
    </x:row>
    <x:row r="407">
      <x:c r="A407" s="151" t="str">
        <x:f>IF(B407="","",TEXT(B407,"yyyymmdd")&amp;"-"&amp;TEXT(COUNTIF($B$5:B407,B407),"000"))</x:f>
      </x:c>
      <x:c r="B407" s="152"/>
      <x:c r="C407" s="153"/>
      <x:c r="D407" s="151" t="str">
        <x:f>IF(B407="","",'Configuracion'!$B$4)</x:f>
      </x:c>
      <x:c r="E407" s="154"/>
      <x:c r="F407" s="154"/>
      <x:c r="G407" s="151" t="str">
        <x:f>IFERROR(VLOOKUP(F407,'Base Sectores'!$A$5:$J$47,2,FALSE),"")</x:f>
      </x:c>
      <x:c r="H407" s="151" t="str">
        <x:f>IFERROR(VLOOKUP(F407,'Base Sectores'!$A$5:$J$47,3,FALSE),"")</x:f>
      </x:c>
      <x:c r="I407" s="151" t="str">
        <x:f>IFERROR(VLOOKUP(F407,'Base Sectores'!$A$5:$J$47,4,FALSE),"")</x:f>
      </x:c>
      <x:c r="J407" s="151" t="str">
        <x:f>IFERROR(VLOOKUP(F407,'Base Sectores'!$A$5:$J$47,5,FALSE),"")</x:f>
      </x:c>
      <x:c r="K407" s="151" t="str">
        <x:f>IFERROR(VLOOKUP(F407,'Base Sectores'!$A$5:$J$47,6,FALSE),"")</x:f>
      </x:c>
      <x:c r="L407" s="151" t="str">
        <x:f>IFERROR(VLOOKUP(F407,'Base Sectores'!$A$5:$J$47,7,FALSE),"")</x:f>
      </x:c>
      <x:c r="M407" s="151" t="str">
        <x:f>IFERROR(VLOOKUP(F407,'Base Sectores'!$A$5:$J$47,9,FALSE),"")</x:f>
      </x:c>
      <x:c r="N407" s="154"/>
      <x:c r="O407" s="151" t="str">
        <x:f>IFERROR(VLOOKUP(N407,'Configuracion'!$D$4:$H$15,2,FALSE),"")</x:f>
      </x:c>
      <x:c r="P407" s="151" t="str">
        <x:f>IFERROR(VLOOKUP(N407,'Configuracion'!$D$4:$H$15,3,FALSE),"")</x:f>
      </x:c>
      <x:c r="Q407" s="155"/>
      <x:c r="R407" s="156" t="str">
        <x:f>IFERROR(VLOOKUP(N407,'Configuracion'!$D$4:$H$15,4,FALSE),"")</x:f>
      </x:c>
      <x:c r="S407" s="153"/>
      <x:c r="T407" s="153"/>
      <x:c r="U407" s="156" t="str">
        <x:f>IF(OR(S407="",T407=""),"",MOD(T407-S407,1)*24)</x:f>
      </x:c>
      <x:c r="V407" s="154"/>
      <x:c r="W407" s="154"/>
      <x:c r="X407" s="151" t="str">
        <x:f>IFERROR(VLOOKUP(N407,'Configuracion'!$D$4:$H$15,5,FALSE),"")</x:f>
      </x:c>
      <x:c r="Y407" s="151" t="str">
        <x:f>IFERROR(VLOOKUP(V407,'Cuadrillas'!$A$5:$J$14,2,FALSE),"")</x:f>
      </x:c>
      <x:c r="Z407" s="154"/>
      <x:c r="AA407" s="154"/>
      <x:c r="AB407" s="154"/>
      <x:c r="AC407" s="153"/>
      <x:c r="AD407" s="153"/>
      <x:c r="AE407" s="156" t="str">
        <x:f>IF(OR(AC407="",AD407=""),"",MOD(AD407-AC407,1)*24)</x:f>
      </x:c>
      <x:c r="AF407" s="154"/>
      <x:c r="AG407" s="156" t="str">
        <x:f>IF(AE407="","",MAX(0,AE407-IF(AF407="",0,AF407/60)))</x:f>
      </x:c>
      <x:c r="AH407" s="155"/>
      <x:c r="AI407" s="154"/>
      <x:c r="AJ407" s="154"/>
      <x:c r="AK407" s="156" t="n">
        <x:f>IFERROR(U407*W407,"")</x:f>
        <x:v>0</x:v>
      </x:c>
      <x:c r="AL407" s="156" t="n">
        <x:f>IFERROR(AE407*AI407,"")</x:f>
        <x:v>0</x:v>
      </x:c>
      <x:c r="AM407" s="157" t="str">
        <x:f>IFERROR(AH407/Q407,"")</x:f>
      </x:c>
      <x:c r="AN407" s="156" t="str">
        <x:f>IFERROR(AH407/AG407,"")</x:f>
      </x:c>
      <x:c r="AO407" s="156" t="str">
        <x:f>IFERROR(AL407/AH407,"")</x:f>
      </x:c>
      <x:c r="AP407" s="157" t="str">
        <x:f>IFERROR(AG407/AE407,"")</x:f>
      </x:c>
      <x:c r="AQ407" s="157" t="str">
        <x:f>IFERROR(AN407/(R407/'Configuracion'!$B$13),"")</x:f>
      </x:c>
      <x:c r="AR407" s="156" t="n">
        <x:f>IFERROR(AE407-U407,"")</x:f>
        <x:v>0</x:v>
      </x:c>
      <x:c r="AS407" s="154"/>
      <x:c r="AT407" s="154"/>
      <x:c r="AU407" s="154"/>
      <x:c r="AV407" s="154"/>
      <x:c r="AW407" s="152"/>
      <x:c r="AX407" s="154"/>
      <x:c r="AY407" s="154"/>
      <x:c r="AZ407" s="151"/>
      <x:c r="BA407" s="151"/>
    </x:row>
    <x:row r="408">
      <x:c r="A408" s="151" t="str">
        <x:f>IF(B408="","",TEXT(B408,"yyyymmdd")&amp;"-"&amp;TEXT(COUNTIF($B$5:B408,B408),"000"))</x:f>
      </x:c>
      <x:c r="B408" s="152"/>
      <x:c r="C408" s="153"/>
      <x:c r="D408" s="151" t="str">
        <x:f>IF(B408="","",'Configuracion'!$B$4)</x:f>
      </x:c>
      <x:c r="E408" s="154"/>
      <x:c r="F408" s="154"/>
      <x:c r="G408" s="151" t="str">
        <x:f>IFERROR(VLOOKUP(F408,'Base Sectores'!$A$5:$J$47,2,FALSE),"")</x:f>
      </x:c>
      <x:c r="H408" s="151" t="str">
        <x:f>IFERROR(VLOOKUP(F408,'Base Sectores'!$A$5:$J$47,3,FALSE),"")</x:f>
      </x:c>
      <x:c r="I408" s="151" t="str">
        <x:f>IFERROR(VLOOKUP(F408,'Base Sectores'!$A$5:$J$47,4,FALSE),"")</x:f>
      </x:c>
      <x:c r="J408" s="151" t="str">
        <x:f>IFERROR(VLOOKUP(F408,'Base Sectores'!$A$5:$J$47,5,FALSE),"")</x:f>
      </x:c>
      <x:c r="K408" s="151" t="str">
        <x:f>IFERROR(VLOOKUP(F408,'Base Sectores'!$A$5:$J$47,6,FALSE),"")</x:f>
      </x:c>
      <x:c r="L408" s="151" t="str">
        <x:f>IFERROR(VLOOKUP(F408,'Base Sectores'!$A$5:$J$47,7,FALSE),"")</x:f>
      </x:c>
      <x:c r="M408" s="151" t="str">
        <x:f>IFERROR(VLOOKUP(F408,'Base Sectores'!$A$5:$J$47,9,FALSE),"")</x:f>
      </x:c>
      <x:c r="N408" s="154"/>
      <x:c r="O408" s="151" t="str">
        <x:f>IFERROR(VLOOKUP(N408,'Configuracion'!$D$4:$H$15,2,FALSE),"")</x:f>
      </x:c>
      <x:c r="P408" s="151" t="str">
        <x:f>IFERROR(VLOOKUP(N408,'Configuracion'!$D$4:$H$15,3,FALSE),"")</x:f>
      </x:c>
      <x:c r="Q408" s="155"/>
      <x:c r="R408" s="156" t="str">
        <x:f>IFERROR(VLOOKUP(N408,'Configuracion'!$D$4:$H$15,4,FALSE),"")</x:f>
      </x:c>
      <x:c r="S408" s="153"/>
      <x:c r="T408" s="153"/>
      <x:c r="U408" s="156" t="str">
        <x:f>IF(OR(S408="",T408=""),"",MOD(T408-S408,1)*24)</x:f>
      </x:c>
      <x:c r="V408" s="154"/>
      <x:c r="W408" s="154"/>
      <x:c r="X408" s="151" t="str">
        <x:f>IFERROR(VLOOKUP(N408,'Configuracion'!$D$4:$H$15,5,FALSE),"")</x:f>
      </x:c>
      <x:c r="Y408" s="151" t="str">
        <x:f>IFERROR(VLOOKUP(V408,'Cuadrillas'!$A$5:$J$14,2,FALSE),"")</x:f>
      </x:c>
      <x:c r="Z408" s="154"/>
      <x:c r="AA408" s="154"/>
      <x:c r="AB408" s="154"/>
      <x:c r="AC408" s="153"/>
      <x:c r="AD408" s="153"/>
      <x:c r="AE408" s="156" t="str">
        <x:f>IF(OR(AC408="",AD408=""),"",MOD(AD408-AC408,1)*24)</x:f>
      </x:c>
      <x:c r="AF408" s="154"/>
      <x:c r="AG408" s="156" t="str">
        <x:f>IF(AE408="","",MAX(0,AE408-IF(AF408="",0,AF408/60)))</x:f>
      </x:c>
      <x:c r="AH408" s="155"/>
      <x:c r="AI408" s="154"/>
      <x:c r="AJ408" s="154"/>
      <x:c r="AK408" s="156" t="n">
        <x:f>IFERROR(U408*W408,"")</x:f>
        <x:v>0</x:v>
      </x:c>
      <x:c r="AL408" s="156" t="n">
        <x:f>IFERROR(AE408*AI408,"")</x:f>
        <x:v>0</x:v>
      </x:c>
      <x:c r="AM408" s="157" t="str">
        <x:f>IFERROR(AH408/Q408,"")</x:f>
      </x:c>
      <x:c r="AN408" s="156" t="str">
        <x:f>IFERROR(AH408/AG408,"")</x:f>
      </x:c>
      <x:c r="AO408" s="156" t="str">
        <x:f>IFERROR(AL408/AH408,"")</x:f>
      </x:c>
      <x:c r="AP408" s="157" t="str">
        <x:f>IFERROR(AG408/AE408,"")</x:f>
      </x:c>
      <x:c r="AQ408" s="157" t="str">
        <x:f>IFERROR(AN408/(R408/'Configuracion'!$B$13),"")</x:f>
      </x:c>
      <x:c r="AR408" s="156" t="n">
        <x:f>IFERROR(AE408-U408,"")</x:f>
        <x:v>0</x:v>
      </x:c>
      <x:c r="AS408" s="154"/>
      <x:c r="AT408" s="154"/>
      <x:c r="AU408" s="154"/>
      <x:c r="AV408" s="154"/>
      <x:c r="AW408" s="152"/>
      <x:c r="AX408" s="154"/>
      <x:c r="AY408" s="154"/>
      <x:c r="AZ408" s="151"/>
      <x:c r="BA408" s="151"/>
    </x:row>
    <x:row r="409">
      <x:c r="A409" s="151" t="str">
        <x:f>IF(B409="","",TEXT(B409,"yyyymmdd")&amp;"-"&amp;TEXT(COUNTIF($B$5:B409,B409),"000"))</x:f>
      </x:c>
      <x:c r="B409" s="152"/>
      <x:c r="C409" s="153"/>
      <x:c r="D409" s="151" t="str">
        <x:f>IF(B409="","",'Configuracion'!$B$4)</x:f>
      </x:c>
      <x:c r="E409" s="154"/>
      <x:c r="F409" s="154"/>
      <x:c r="G409" s="151" t="str">
        <x:f>IFERROR(VLOOKUP(F409,'Base Sectores'!$A$5:$J$47,2,FALSE),"")</x:f>
      </x:c>
      <x:c r="H409" s="151" t="str">
        <x:f>IFERROR(VLOOKUP(F409,'Base Sectores'!$A$5:$J$47,3,FALSE),"")</x:f>
      </x:c>
      <x:c r="I409" s="151" t="str">
        <x:f>IFERROR(VLOOKUP(F409,'Base Sectores'!$A$5:$J$47,4,FALSE),"")</x:f>
      </x:c>
      <x:c r="J409" s="151" t="str">
        <x:f>IFERROR(VLOOKUP(F409,'Base Sectores'!$A$5:$J$47,5,FALSE),"")</x:f>
      </x:c>
      <x:c r="K409" s="151" t="str">
        <x:f>IFERROR(VLOOKUP(F409,'Base Sectores'!$A$5:$J$47,6,FALSE),"")</x:f>
      </x:c>
      <x:c r="L409" s="151" t="str">
        <x:f>IFERROR(VLOOKUP(F409,'Base Sectores'!$A$5:$J$47,7,FALSE),"")</x:f>
      </x:c>
      <x:c r="M409" s="151" t="str">
        <x:f>IFERROR(VLOOKUP(F409,'Base Sectores'!$A$5:$J$47,9,FALSE),"")</x:f>
      </x:c>
      <x:c r="N409" s="154"/>
      <x:c r="O409" s="151" t="str">
        <x:f>IFERROR(VLOOKUP(N409,'Configuracion'!$D$4:$H$15,2,FALSE),"")</x:f>
      </x:c>
      <x:c r="P409" s="151" t="str">
        <x:f>IFERROR(VLOOKUP(N409,'Configuracion'!$D$4:$H$15,3,FALSE),"")</x:f>
      </x:c>
      <x:c r="Q409" s="155"/>
      <x:c r="R409" s="156" t="str">
        <x:f>IFERROR(VLOOKUP(N409,'Configuracion'!$D$4:$H$15,4,FALSE),"")</x:f>
      </x:c>
      <x:c r="S409" s="153"/>
      <x:c r="T409" s="153"/>
      <x:c r="U409" s="156" t="str">
        <x:f>IF(OR(S409="",T409=""),"",MOD(T409-S409,1)*24)</x:f>
      </x:c>
      <x:c r="V409" s="154"/>
      <x:c r="W409" s="154"/>
      <x:c r="X409" s="151" t="str">
        <x:f>IFERROR(VLOOKUP(N409,'Configuracion'!$D$4:$H$15,5,FALSE),"")</x:f>
      </x:c>
      <x:c r="Y409" s="151" t="str">
        <x:f>IFERROR(VLOOKUP(V409,'Cuadrillas'!$A$5:$J$14,2,FALSE),"")</x:f>
      </x:c>
      <x:c r="Z409" s="154"/>
      <x:c r="AA409" s="154"/>
      <x:c r="AB409" s="154"/>
      <x:c r="AC409" s="153"/>
      <x:c r="AD409" s="153"/>
      <x:c r="AE409" s="156" t="str">
        <x:f>IF(OR(AC409="",AD409=""),"",MOD(AD409-AC409,1)*24)</x:f>
      </x:c>
      <x:c r="AF409" s="154"/>
      <x:c r="AG409" s="156" t="str">
        <x:f>IF(AE409="","",MAX(0,AE409-IF(AF409="",0,AF409/60)))</x:f>
      </x:c>
      <x:c r="AH409" s="155"/>
      <x:c r="AI409" s="154"/>
      <x:c r="AJ409" s="154"/>
      <x:c r="AK409" s="156" t="n">
        <x:f>IFERROR(U409*W409,"")</x:f>
        <x:v>0</x:v>
      </x:c>
      <x:c r="AL409" s="156" t="n">
        <x:f>IFERROR(AE409*AI409,"")</x:f>
        <x:v>0</x:v>
      </x:c>
      <x:c r="AM409" s="157" t="str">
        <x:f>IFERROR(AH409/Q409,"")</x:f>
      </x:c>
      <x:c r="AN409" s="156" t="str">
        <x:f>IFERROR(AH409/AG409,"")</x:f>
      </x:c>
      <x:c r="AO409" s="156" t="str">
        <x:f>IFERROR(AL409/AH409,"")</x:f>
      </x:c>
      <x:c r="AP409" s="157" t="str">
        <x:f>IFERROR(AG409/AE409,"")</x:f>
      </x:c>
      <x:c r="AQ409" s="157" t="str">
        <x:f>IFERROR(AN409/(R409/'Configuracion'!$B$13),"")</x:f>
      </x:c>
      <x:c r="AR409" s="156" t="n">
        <x:f>IFERROR(AE409-U409,"")</x:f>
        <x:v>0</x:v>
      </x:c>
      <x:c r="AS409" s="154"/>
      <x:c r="AT409" s="154"/>
      <x:c r="AU409" s="154"/>
      <x:c r="AV409" s="154"/>
      <x:c r="AW409" s="152"/>
      <x:c r="AX409" s="154"/>
      <x:c r="AY409" s="154"/>
      <x:c r="AZ409" s="151"/>
      <x:c r="BA409" s="151"/>
    </x:row>
    <x:row r="410">
      <x:c r="A410" s="151" t="str">
        <x:f>IF(B410="","",TEXT(B410,"yyyymmdd")&amp;"-"&amp;TEXT(COUNTIF($B$5:B410,B410),"000"))</x:f>
      </x:c>
      <x:c r="B410" s="152"/>
      <x:c r="C410" s="153"/>
      <x:c r="D410" s="151" t="str">
        <x:f>IF(B410="","",'Configuracion'!$B$4)</x:f>
      </x:c>
      <x:c r="E410" s="154"/>
      <x:c r="F410" s="154"/>
      <x:c r="G410" s="151" t="str">
        <x:f>IFERROR(VLOOKUP(F410,'Base Sectores'!$A$5:$J$47,2,FALSE),"")</x:f>
      </x:c>
      <x:c r="H410" s="151" t="str">
        <x:f>IFERROR(VLOOKUP(F410,'Base Sectores'!$A$5:$J$47,3,FALSE),"")</x:f>
      </x:c>
      <x:c r="I410" s="151" t="str">
        <x:f>IFERROR(VLOOKUP(F410,'Base Sectores'!$A$5:$J$47,4,FALSE),"")</x:f>
      </x:c>
      <x:c r="J410" s="151" t="str">
        <x:f>IFERROR(VLOOKUP(F410,'Base Sectores'!$A$5:$J$47,5,FALSE),"")</x:f>
      </x:c>
      <x:c r="K410" s="151" t="str">
        <x:f>IFERROR(VLOOKUP(F410,'Base Sectores'!$A$5:$J$47,6,FALSE),"")</x:f>
      </x:c>
      <x:c r="L410" s="151" t="str">
        <x:f>IFERROR(VLOOKUP(F410,'Base Sectores'!$A$5:$J$47,7,FALSE),"")</x:f>
      </x:c>
      <x:c r="M410" s="151" t="str">
        <x:f>IFERROR(VLOOKUP(F410,'Base Sectores'!$A$5:$J$47,9,FALSE),"")</x:f>
      </x:c>
      <x:c r="N410" s="154"/>
      <x:c r="O410" s="151" t="str">
        <x:f>IFERROR(VLOOKUP(N410,'Configuracion'!$D$4:$H$15,2,FALSE),"")</x:f>
      </x:c>
      <x:c r="P410" s="151" t="str">
        <x:f>IFERROR(VLOOKUP(N410,'Configuracion'!$D$4:$H$15,3,FALSE),"")</x:f>
      </x:c>
      <x:c r="Q410" s="155"/>
      <x:c r="R410" s="156" t="str">
        <x:f>IFERROR(VLOOKUP(N410,'Configuracion'!$D$4:$H$15,4,FALSE),"")</x:f>
      </x:c>
      <x:c r="S410" s="153"/>
      <x:c r="T410" s="153"/>
      <x:c r="U410" s="156" t="str">
        <x:f>IF(OR(S410="",T410=""),"",MOD(T410-S410,1)*24)</x:f>
      </x:c>
      <x:c r="V410" s="154"/>
      <x:c r="W410" s="154"/>
      <x:c r="X410" s="151" t="str">
        <x:f>IFERROR(VLOOKUP(N410,'Configuracion'!$D$4:$H$15,5,FALSE),"")</x:f>
      </x:c>
      <x:c r="Y410" s="151" t="str">
        <x:f>IFERROR(VLOOKUP(V410,'Cuadrillas'!$A$5:$J$14,2,FALSE),"")</x:f>
      </x:c>
      <x:c r="Z410" s="154"/>
      <x:c r="AA410" s="154"/>
      <x:c r="AB410" s="154"/>
      <x:c r="AC410" s="153"/>
      <x:c r="AD410" s="153"/>
      <x:c r="AE410" s="156" t="str">
        <x:f>IF(OR(AC410="",AD410=""),"",MOD(AD410-AC410,1)*24)</x:f>
      </x:c>
      <x:c r="AF410" s="154"/>
      <x:c r="AG410" s="156" t="str">
        <x:f>IF(AE410="","",MAX(0,AE410-IF(AF410="",0,AF410/60)))</x:f>
      </x:c>
      <x:c r="AH410" s="155"/>
      <x:c r="AI410" s="154"/>
      <x:c r="AJ410" s="154"/>
      <x:c r="AK410" s="156" t="n">
        <x:f>IFERROR(U410*W410,"")</x:f>
        <x:v>0</x:v>
      </x:c>
      <x:c r="AL410" s="156" t="n">
        <x:f>IFERROR(AE410*AI410,"")</x:f>
        <x:v>0</x:v>
      </x:c>
      <x:c r="AM410" s="157" t="str">
        <x:f>IFERROR(AH410/Q410,"")</x:f>
      </x:c>
      <x:c r="AN410" s="156" t="str">
        <x:f>IFERROR(AH410/AG410,"")</x:f>
      </x:c>
      <x:c r="AO410" s="156" t="str">
        <x:f>IFERROR(AL410/AH410,"")</x:f>
      </x:c>
      <x:c r="AP410" s="157" t="str">
        <x:f>IFERROR(AG410/AE410,"")</x:f>
      </x:c>
      <x:c r="AQ410" s="157" t="str">
        <x:f>IFERROR(AN410/(R410/'Configuracion'!$B$13),"")</x:f>
      </x:c>
      <x:c r="AR410" s="156" t="n">
        <x:f>IFERROR(AE410-U410,"")</x:f>
        <x:v>0</x:v>
      </x:c>
      <x:c r="AS410" s="154"/>
      <x:c r="AT410" s="154"/>
      <x:c r="AU410" s="154"/>
      <x:c r="AV410" s="154"/>
      <x:c r="AW410" s="152"/>
      <x:c r="AX410" s="154"/>
      <x:c r="AY410" s="154"/>
      <x:c r="AZ410" s="151"/>
      <x:c r="BA410" s="151"/>
    </x:row>
    <x:row r="411">
      <x:c r="A411" s="151" t="str">
        <x:f>IF(B411="","",TEXT(B411,"yyyymmdd")&amp;"-"&amp;TEXT(COUNTIF($B$5:B411,B411),"000"))</x:f>
      </x:c>
      <x:c r="B411" s="152"/>
      <x:c r="C411" s="153"/>
      <x:c r="D411" s="151" t="str">
        <x:f>IF(B411="","",'Configuracion'!$B$4)</x:f>
      </x:c>
      <x:c r="E411" s="154"/>
      <x:c r="F411" s="154"/>
      <x:c r="G411" s="151" t="str">
        <x:f>IFERROR(VLOOKUP(F411,'Base Sectores'!$A$5:$J$47,2,FALSE),"")</x:f>
      </x:c>
      <x:c r="H411" s="151" t="str">
        <x:f>IFERROR(VLOOKUP(F411,'Base Sectores'!$A$5:$J$47,3,FALSE),"")</x:f>
      </x:c>
      <x:c r="I411" s="151" t="str">
        <x:f>IFERROR(VLOOKUP(F411,'Base Sectores'!$A$5:$J$47,4,FALSE),"")</x:f>
      </x:c>
      <x:c r="J411" s="151" t="str">
        <x:f>IFERROR(VLOOKUP(F411,'Base Sectores'!$A$5:$J$47,5,FALSE),"")</x:f>
      </x:c>
      <x:c r="K411" s="151" t="str">
        <x:f>IFERROR(VLOOKUP(F411,'Base Sectores'!$A$5:$J$47,6,FALSE),"")</x:f>
      </x:c>
      <x:c r="L411" s="151" t="str">
        <x:f>IFERROR(VLOOKUP(F411,'Base Sectores'!$A$5:$J$47,7,FALSE),"")</x:f>
      </x:c>
      <x:c r="M411" s="151" t="str">
        <x:f>IFERROR(VLOOKUP(F411,'Base Sectores'!$A$5:$J$47,9,FALSE),"")</x:f>
      </x:c>
      <x:c r="N411" s="154"/>
      <x:c r="O411" s="151" t="str">
        <x:f>IFERROR(VLOOKUP(N411,'Configuracion'!$D$4:$H$15,2,FALSE),"")</x:f>
      </x:c>
      <x:c r="P411" s="151" t="str">
        <x:f>IFERROR(VLOOKUP(N411,'Configuracion'!$D$4:$H$15,3,FALSE),"")</x:f>
      </x:c>
      <x:c r="Q411" s="155"/>
      <x:c r="R411" s="156" t="str">
        <x:f>IFERROR(VLOOKUP(N411,'Configuracion'!$D$4:$H$15,4,FALSE),"")</x:f>
      </x:c>
      <x:c r="S411" s="153"/>
      <x:c r="T411" s="153"/>
      <x:c r="U411" s="156" t="str">
        <x:f>IF(OR(S411="",T411=""),"",MOD(T411-S411,1)*24)</x:f>
      </x:c>
      <x:c r="V411" s="154"/>
      <x:c r="W411" s="154"/>
      <x:c r="X411" s="151" t="str">
        <x:f>IFERROR(VLOOKUP(N411,'Configuracion'!$D$4:$H$15,5,FALSE),"")</x:f>
      </x:c>
      <x:c r="Y411" s="151" t="str">
        <x:f>IFERROR(VLOOKUP(V411,'Cuadrillas'!$A$5:$J$14,2,FALSE),"")</x:f>
      </x:c>
      <x:c r="Z411" s="154"/>
      <x:c r="AA411" s="154"/>
      <x:c r="AB411" s="154"/>
      <x:c r="AC411" s="153"/>
      <x:c r="AD411" s="153"/>
      <x:c r="AE411" s="156" t="str">
        <x:f>IF(OR(AC411="",AD411=""),"",MOD(AD411-AC411,1)*24)</x:f>
      </x:c>
      <x:c r="AF411" s="154"/>
      <x:c r="AG411" s="156" t="str">
        <x:f>IF(AE411="","",MAX(0,AE411-IF(AF411="",0,AF411/60)))</x:f>
      </x:c>
      <x:c r="AH411" s="155"/>
      <x:c r="AI411" s="154"/>
      <x:c r="AJ411" s="154"/>
      <x:c r="AK411" s="156" t="n">
        <x:f>IFERROR(U411*W411,"")</x:f>
        <x:v>0</x:v>
      </x:c>
      <x:c r="AL411" s="156" t="n">
        <x:f>IFERROR(AE411*AI411,"")</x:f>
        <x:v>0</x:v>
      </x:c>
      <x:c r="AM411" s="157" t="str">
        <x:f>IFERROR(AH411/Q411,"")</x:f>
      </x:c>
      <x:c r="AN411" s="156" t="str">
        <x:f>IFERROR(AH411/AG411,"")</x:f>
      </x:c>
      <x:c r="AO411" s="156" t="str">
        <x:f>IFERROR(AL411/AH411,"")</x:f>
      </x:c>
      <x:c r="AP411" s="157" t="str">
        <x:f>IFERROR(AG411/AE411,"")</x:f>
      </x:c>
      <x:c r="AQ411" s="157" t="str">
        <x:f>IFERROR(AN411/(R411/'Configuracion'!$B$13),"")</x:f>
      </x:c>
      <x:c r="AR411" s="156" t="n">
        <x:f>IFERROR(AE411-U411,"")</x:f>
        <x:v>0</x:v>
      </x:c>
      <x:c r="AS411" s="154"/>
      <x:c r="AT411" s="154"/>
      <x:c r="AU411" s="154"/>
      <x:c r="AV411" s="154"/>
      <x:c r="AW411" s="152"/>
      <x:c r="AX411" s="154"/>
      <x:c r="AY411" s="154"/>
      <x:c r="AZ411" s="151"/>
      <x:c r="BA411" s="151"/>
    </x:row>
    <x:row r="412">
      <x:c r="A412" s="151" t="str">
        <x:f>IF(B412="","",TEXT(B412,"yyyymmdd")&amp;"-"&amp;TEXT(COUNTIF($B$5:B412,B412),"000"))</x:f>
      </x:c>
      <x:c r="B412" s="152"/>
      <x:c r="C412" s="153"/>
      <x:c r="D412" s="151" t="str">
        <x:f>IF(B412="","",'Configuracion'!$B$4)</x:f>
      </x:c>
      <x:c r="E412" s="154"/>
      <x:c r="F412" s="154"/>
      <x:c r="G412" s="151" t="str">
        <x:f>IFERROR(VLOOKUP(F412,'Base Sectores'!$A$5:$J$47,2,FALSE),"")</x:f>
      </x:c>
      <x:c r="H412" s="151" t="str">
        <x:f>IFERROR(VLOOKUP(F412,'Base Sectores'!$A$5:$J$47,3,FALSE),"")</x:f>
      </x:c>
      <x:c r="I412" s="151" t="str">
        <x:f>IFERROR(VLOOKUP(F412,'Base Sectores'!$A$5:$J$47,4,FALSE),"")</x:f>
      </x:c>
      <x:c r="J412" s="151" t="str">
        <x:f>IFERROR(VLOOKUP(F412,'Base Sectores'!$A$5:$J$47,5,FALSE),"")</x:f>
      </x:c>
      <x:c r="K412" s="151" t="str">
        <x:f>IFERROR(VLOOKUP(F412,'Base Sectores'!$A$5:$J$47,6,FALSE),"")</x:f>
      </x:c>
      <x:c r="L412" s="151" t="str">
        <x:f>IFERROR(VLOOKUP(F412,'Base Sectores'!$A$5:$J$47,7,FALSE),"")</x:f>
      </x:c>
      <x:c r="M412" s="151" t="str">
        <x:f>IFERROR(VLOOKUP(F412,'Base Sectores'!$A$5:$J$47,9,FALSE),"")</x:f>
      </x:c>
      <x:c r="N412" s="154"/>
      <x:c r="O412" s="151" t="str">
        <x:f>IFERROR(VLOOKUP(N412,'Configuracion'!$D$4:$H$15,2,FALSE),"")</x:f>
      </x:c>
      <x:c r="P412" s="151" t="str">
        <x:f>IFERROR(VLOOKUP(N412,'Configuracion'!$D$4:$H$15,3,FALSE),"")</x:f>
      </x:c>
      <x:c r="Q412" s="155"/>
      <x:c r="R412" s="156" t="str">
        <x:f>IFERROR(VLOOKUP(N412,'Configuracion'!$D$4:$H$15,4,FALSE),"")</x:f>
      </x:c>
      <x:c r="S412" s="153"/>
      <x:c r="T412" s="153"/>
      <x:c r="U412" s="156" t="str">
        <x:f>IF(OR(S412="",T412=""),"",MOD(T412-S412,1)*24)</x:f>
      </x:c>
      <x:c r="V412" s="154"/>
      <x:c r="W412" s="154"/>
      <x:c r="X412" s="151" t="str">
        <x:f>IFERROR(VLOOKUP(N412,'Configuracion'!$D$4:$H$15,5,FALSE),"")</x:f>
      </x:c>
      <x:c r="Y412" s="151" t="str">
        <x:f>IFERROR(VLOOKUP(V412,'Cuadrillas'!$A$5:$J$14,2,FALSE),"")</x:f>
      </x:c>
      <x:c r="Z412" s="154"/>
      <x:c r="AA412" s="154"/>
      <x:c r="AB412" s="154"/>
      <x:c r="AC412" s="153"/>
      <x:c r="AD412" s="153"/>
      <x:c r="AE412" s="156" t="str">
        <x:f>IF(OR(AC412="",AD412=""),"",MOD(AD412-AC412,1)*24)</x:f>
      </x:c>
      <x:c r="AF412" s="154"/>
      <x:c r="AG412" s="156" t="str">
        <x:f>IF(AE412="","",MAX(0,AE412-IF(AF412="",0,AF412/60)))</x:f>
      </x:c>
      <x:c r="AH412" s="155"/>
      <x:c r="AI412" s="154"/>
      <x:c r="AJ412" s="154"/>
      <x:c r="AK412" s="156" t="n">
        <x:f>IFERROR(U412*W412,"")</x:f>
        <x:v>0</x:v>
      </x:c>
      <x:c r="AL412" s="156" t="n">
        <x:f>IFERROR(AE412*AI412,"")</x:f>
        <x:v>0</x:v>
      </x:c>
      <x:c r="AM412" s="157" t="str">
        <x:f>IFERROR(AH412/Q412,"")</x:f>
      </x:c>
      <x:c r="AN412" s="156" t="str">
        <x:f>IFERROR(AH412/AG412,"")</x:f>
      </x:c>
      <x:c r="AO412" s="156" t="str">
        <x:f>IFERROR(AL412/AH412,"")</x:f>
      </x:c>
      <x:c r="AP412" s="157" t="str">
        <x:f>IFERROR(AG412/AE412,"")</x:f>
      </x:c>
      <x:c r="AQ412" s="157" t="str">
        <x:f>IFERROR(AN412/(R412/'Configuracion'!$B$13),"")</x:f>
      </x:c>
      <x:c r="AR412" s="156" t="n">
        <x:f>IFERROR(AE412-U412,"")</x:f>
        <x:v>0</x:v>
      </x:c>
      <x:c r="AS412" s="154"/>
      <x:c r="AT412" s="154"/>
      <x:c r="AU412" s="154"/>
      <x:c r="AV412" s="154"/>
      <x:c r="AW412" s="152"/>
      <x:c r="AX412" s="154"/>
      <x:c r="AY412" s="154"/>
      <x:c r="AZ412" s="151"/>
      <x:c r="BA412" s="151"/>
    </x:row>
    <x:row r="413">
      <x:c r="A413" s="151" t="str">
        <x:f>IF(B413="","",TEXT(B413,"yyyymmdd")&amp;"-"&amp;TEXT(COUNTIF($B$5:B413,B413),"000"))</x:f>
      </x:c>
      <x:c r="B413" s="152"/>
      <x:c r="C413" s="153"/>
      <x:c r="D413" s="151" t="str">
        <x:f>IF(B413="","",'Configuracion'!$B$4)</x:f>
      </x:c>
      <x:c r="E413" s="154"/>
      <x:c r="F413" s="154"/>
      <x:c r="G413" s="151" t="str">
        <x:f>IFERROR(VLOOKUP(F413,'Base Sectores'!$A$5:$J$47,2,FALSE),"")</x:f>
      </x:c>
      <x:c r="H413" s="151" t="str">
        <x:f>IFERROR(VLOOKUP(F413,'Base Sectores'!$A$5:$J$47,3,FALSE),"")</x:f>
      </x:c>
      <x:c r="I413" s="151" t="str">
        <x:f>IFERROR(VLOOKUP(F413,'Base Sectores'!$A$5:$J$47,4,FALSE),"")</x:f>
      </x:c>
      <x:c r="J413" s="151" t="str">
        <x:f>IFERROR(VLOOKUP(F413,'Base Sectores'!$A$5:$J$47,5,FALSE),"")</x:f>
      </x:c>
      <x:c r="K413" s="151" t="str">
        <x:f>IFERROR(VLOOKUP(F413,'Base Sectores'!$A$5:$J$47,6,FALSE),"")</x:f>
      </x:c>
      <x:c r="L413" s="151" t="str">
        <x:f>IFERROR(VLOOKUP(F413,'Base Sectores'!$A$5:$J$47,7,FALSE),"")</x:f>
      </x:c>
      <x:c r="M413" s="151" t="str">
        <x:f>IFERROR(VLOOKUP(F413,'Base Sectores'!$A$5:$J$47,9,FALSE),"")</x:f>
      </x:c>
      <x:c r="N413" s="154"/>
      <x:c r="O413" s="151" t="str">
        <x:f>IFERROR(VLOOKUP(N413,'Configuracion'!$D$4:$H$15,2,FALSE),"")</x:f>
      </x:c>
      <x:c r="P413" s="151" t="str">
        <x:f>IFERROR(VLOOKUP(N413,'Configuracion'!$D$4:$H$15,3,FALSE),"")</x:f>
      </x:c>
      <x:c r="Q413" s="155"/>
      <x:c r="R413" s="156" t="str">
        <x:f>IFERROR(VLOOKUP(N413,'Configuracion'!$D$4:$H$15,4,FALSE),"")</x:f>
      </x:c>
      <x:c r="S413" s="153"/>
      <x:c r="T413" s="153"/>
      <x:c r="U413" s="156" t="str">
        <x:f>IF(OR(S413="",T413=""),"",MOD(T413-S413,1)*24)</x:f>
      </x:c>
      <x:c r="V413" s="154"/>
      <x:c r="W413" s="154"/>
      <x:c r="X413" s="151" t="str">
        <x:f>IFERROR(VLOOKUP(N413,'Configuracion'!$D$4:$H$15,5,FALSE),"")</x:f>
      </x:c>
      <x:c r="Y413" s="151" t="str">
        <x:f>IFERROR(VLOOKUP(V413,'Cuadrillas'!$A$5:$J$14,2,FALSE),"")</x:f>
      </x:c>
      <x:c r="Z413" s="154"/>
      <x:c r="AA413" s="154"/>
      <x:c r="AB413" s="154"/>
      <x:c r="AC413" s="153"/>
      <x:c r="AD413" s="153"/>
      <x:c r="AE413" s="156" t="str">
        <x:f>IF(OR(AC413="",AD413=""),"",MOD(AD413-AC413,1)*24)</x:f>
      </x:c>
      <x:c r="AF413" s="154"/>
      <x:c r="AG413" s="156" t="str">
        <x:f>IF(AE413="","",MAX(0,AE413-IF(AF413="",0,AF413/60)))</x:f>
      </x:c>
      <x:c r="AH413" s="155"/>
      <x:c r="AI413" s="154"/>
      <x:c r="AJ413" s="154"/>
      <x:c r="AK413" s="156" t="n">
        <x:f>IFERROR(U413*W413,"")</x:f>
        <x:v>0</x:v>
      </x:c>
      <x:c r="AL413" s="156" t="n">
        <x:f>IFERROR(AE413*AI413,"")</x:f>
        <x:v>0</x:v>
      </x:c>
      <x:c r="AM413" s="157" t="str">
        <x:f>IFERROR(AH413/Q413,"")</x:f>
      </x:c>
      <x:c r="AN413" s="156" t="str">
        <x:f>IFERROR(AH413/AG413,"")</x:f>
      </x:c>
      <x:c r="AO413" s="156" t="str">
        <x:f>IFERROR(AL413/AH413,"")</x:f>
      </x:c>
      <x:c r="AP413" s="157" t="str">
        <x:f>IFERROR(AG413/AE413,"")</x:f>
      </x:c>
      <x:c r="AQ413" s="157" t="str">
        <x:f>IFERROR(AN413/(R413/'Configuracion'!$B$13),"")</x:f>
      </x:c>
      <x:c r="AR413" s="156" t="n">
        <x:f>IFERROR(AE413-U413,"")</x:f>
        <x:v>0</x:v>
      </x:c>
      <x:c r="AS413" s="154"/>
      <x:c r="AT413" s="154"/>
      <x:c r="AU413" s="154"/>
      <x:c r="AV413" s="154"/>
      <x:c r="AW413" s="152"/>
      <x:c r="AX413" s="154"/>
      <x:c r="AY413" s="154"/>
      <x:c r="AZ413" s="151"/>
      <x:c r="BA413" s="151"/>
    </x:row>
    <x:row r="414">
      <x:c r="A414" s="151" t="str">
        <x:f>IF(B414="","",TEXT(B414,"yyyymmdd")&amp;"-"&amp;TEXT(COUNTIF($B$5:B414,B414),"000"))</x:f>
      </x:c>
      <x:c r="B414" s="152"/>
      <x:c r="C414" s="153"/>
      <x:c r="D414" s="151" t="str">
        <x:f>IF(B414="","",'Configuracion'!$B$4)</x:f>
      </x:c>
      <x:c r="E414" s="154"/>
      <x:c r="F414" s="154"/>
      <x:c r="G414" s="151" t="str">
        <x:f>IFERROR(VLOOKUP(F414,'Base Sectores'!$A$5:$J$47,2,FALSE),"")</x:f>
      </x:c>
      <x:c r="H414" s="151" t="str">
        <x:f>IFERROR(VLOOKUP(F414,'Base Sectores'!$A$5:$J$47,3,FALSE),"")</x:f>
      </x:c>
      <x:c r="I414" s="151" t="str">
        <x:f>IFERROR(VLOOKUP(F414,'Base Sectores'!$A$5:$J$47,4,FALSE),"")</x:f>
      </x:c>
      <x:c r="J414" s="151" t="str">
        <x:f>IFERROR(VLOOKUP(F414,'Base Sectores'!$A$5:$J$47,5,FALSE),"")</x:f>
      </x:c>
      <x:c r="K414" s="151" t="str">
        <x:f>IFERROR(VLOOKUP(F414,'Base Sectores'!$A$5:$J$47,6,FALSE),"")</x:f>
      </x:c>
      <x:c r="L414" s="151" t="str">
        <x:f>IFERROR(VLOOKUP(F414,'Base Sectores'!$A$5:$J$47,7,FALSE),"")</x:f>
      </x:c>
      <x:c r="M414" s="151" t="str">
        <x:f>IFERROR(VLOOKUP(F414,'Base Sectores'!$A$5:$J$47,9,FALSE),"")</x:f>
      </x:c>
      <x:c r="N414" s="154"/>
      <x:c r="O414" s="151" t="str">
        <x:f>IFERROR(VLOOKUP(N414,'Configuracion'!$D$4:$H$15,2,FALSE),"")</x:f>
      </x:c>
      <x:c r="P414" s="151" t="str">
        <x:f>IFERROR(VLOOKUP(N414,'Configuracion'!$D$4:$H$15,3,FALSE),"")</x:f>
      </x:c>
      <x:c r="Q414" s="155"/>
      <x:c r="R414" s="156" t="str">
        <x:f>IFERROR(VLOOKUP(N414,'Configuracion'!$D$4:$H$15,4,FALSE),"")</x:f>
      </x:c>
      <x:c r="S414" s="153"/>
      <x:c r="T414" s="153"/>
      <x:c r="U414" s="156" t="str">
        <x:f>IF(OR(S414="",T414=""),"",MOD(T414-S414,1)*24)</x:f>
      </x:c>
      <x:c r="V414" s="154"/>
      <x:c r="W414" s="154"/>
      <x:c r="X414" s="151" t="str">
        <x:f>IFERROR(VLOOKUP(N414,'Configuracion'!$D$4:$H$15,5,FALSE),"")</x:f>
      </x:c>
      <x:c r="Y414" s="151" t="str">
        <x:f>IFERROR(VLOOKUP(V414,'Cuadrillas'!$A$5:$J$14,2,FALSE),"")</x:f>
      </x:c>
      <x:c r="Z414" s="154"/>
      <x:c r="AA414" s="154"/>
      <x:c r="AB414" s="154"/>
      <x:c r="AC414" s="153"/>
      <x:c r="AD414" s="153"/>
      <x:c r="AE414" s="156" t="str">
        <x:f>IF(OR(AC414="",AD414=""),"",MOD(AD414-AC414,1)*24)</x:f>
      </x:c>
      <x:c r="AF414" s="154"/>
      <x:c r="AG414" s="156" t="str">
        <x:f>IF(AE414="","",MAX(0,AE414-IF(AF414="",0,AF414/60)))</x:f>
      </x:c>
      <x:c r="AH414" s="155"/>
      <x:c r="AI414" s="154"/>
      <x:c r="AJ414" s="154"/>
      <x:c r="AK414" s="156" t="n">
        <x:f>IFERROR(U414*W414,"")</x:f>
        <x:v>0</x:v>
      </x:c>
      <x:c r="AL414" s="156" t="n">
        <x:f>IFERROR(AE414*AI414,"")</x:f>
        <x:v>0</x:v>
      </x:c>
      <x:c r="AM414" s="157" t="str">
        <x:f>IFERROR(AH414/Q414,"")</x:f>
      </x:c>
      <x:c r="AN414" s="156" t="str">
        <x:f>IFERROR(AH414/AG414,"")</x:f>
      </x:c>
      <x:c r="AO414" s="156" t="str">
        <x:f>IFERROR(AL414/AH414,"")</x:f>
      </x:c>
      <x:c r="AP414" s="157" t="str">
        <x:f>IFERROR(AG414/AE414,"")</x:f>
      </x:c>
      <x:c r="AQ414" s="157" t="str">
        <x:f>IFERROR(AN414/(R414/'Configuracion'!$B$13),"")</x:f>
      </x:c>
      <x:c r="AR414" s="156" t="n">
        <x:f>IFERROR(AE414-U414,"")</x:f>
        <x:v>0</x:v>
      </x:c>
      <x:c r="AS414" s="154"/>
      <x:c r="AT414" s="154"/>
      <x:c r="AU414" s="154"/>
      <x:c r="AV414" s="154"/>
      <x:c r="AW414" s="152"/>
      <x:c r="AX414" s="154"/>
      <x:c r="AY414" s="154"/>
      <x:c r="AZ414" s="151"/>
      <x:c r="BA414" s="151"/>
    </x:row>
    <x:row r="415">
      <x:c r="A415" s="151" t="str">
        <x:f>IF(B415="","",TEXT(B415,"yyyymmdd")&amp;"-"&amp;TEXT(COUNTIF($B$5:B415,B415),"000"))</x:f>
      </x:c>
      <x:c r="B415" s="152"/>
      <x:c r="C415" s="153"/>
      <x:c r="D415" s="151" t="str">
        <x:f>IF(B415="","",'Configuracion'!$B$4)</x:f>
      </x:c>
      <x:c r="E415" s="154"/>
      <x:c r="F415" s="154"/>
      <x:c r="G415" s="151" t="str">
        <x:f>IFERROR(VLOOKUP(F415,'Base Sectores'!$A$5:$J$47,2,FALSE),"")</x:f>
      </x:c>
      <x:c r="H415" s="151" t="str">
        <x:f>IFERROR(VLOOKUP(F415,'Base Sectores'!$A$5:$J$47,3,FALSE),"")</x:f>
      </x:c>
      <x:c r="I415" s="151" t="str">
        <x:f>IFERROR(VLOOKUP(F415,'Base Sectores'!$A$5:$J$47,4,FALSE),"")</x:f>
      </x:c>
      <x:c r="J415" s="151" t="str">
        <x:f>IFERROR(VLOOKUP(F415,'Base Sectores'!$A$5:$J$47,5,FALSE),"")</x:f>
      </x:c>
      <x:c r="K415" s="151" t="str">
        <x:f>IFERROR(VLOOKUP(F415,'Base Sectores'!$A$5:$J$47,6,FALSE),"")</x:f>
      </x:c>
      <x:c r="L415" s="151" t="str">
        <x:f>IFERROR(VLOOKUP(F415,'Base Sectores'!$A$5:$J$47,7,FALSE),"")</x:f>
      </x:c>
      <x:c r="M415" s="151" t="str">
        <x:f>IFERROR(VLOOKUP(F415,'Base Sectores'!$A$5:$J$47,9,FALSE),"")</x:f>
      </x:c>
      <x:c r="N415" s="154"/>
      <x:c r="O415" s="151" t="str">
        <x:f>IFERROR(VLOOKUP(N415,'Configuracion'!$D$4:$H$15,2,FALSE),"")</x:f>
      </x:c>
      <x:c r="P415" s="151" t="str">
        <x:f>IFERROR(VLOOKUP(N415,'Configuracion'!$D$4:$H$15,3,FALSE),"")</x:f>
      </x:c>
      <x:c r="Q415" s="155"/>
      <x:c r="R415" s="156" t="str">
        <x:f>IFERROR(VLOOKUP(N415,'Configuracion'!$D$4:$H$15,4,FALSE),"")</x:f>
      </x:c>
      <x:c r="S415" s="153"/>
      <x:c r="T415" s="153"/>
      <x:c r="U415" s="156" t="str">
        <x:f>IF(OR(S415="",T415=""),"",MOD(T415-S415,1)*24)</x:f>
      </x:c>
      <x:c r="V415" s="154"/>
      <x:c r="W415" s="154"/>
      <x:c r="X415" s="151" t="str">
        <x:f>IFERROR(VLOOKUP(N415,'Configuracion'!$D$4:$H$15,5,FALSE),"")</x:f>
      </x:c>
      <x:c r="Y415" s="151" t="str">
        <x:f>IFERROR(VLOOKUP(V415,'Cuadrillas'!$A$5:$J$14,2,FALSE),"")</x:f>
      </x:c>
      <x:c r="Z415" s="154"/>
      <x:c r="AA415" s="154"/>
      <x:c r="AB415" s="154"/>
      <x:c r="AC415" s="153"/>
      <x:c r="AD415" s="153"/>
      <x:c r="AE415" s="156" t="str">
        <x:f>IF(OR(AC415="",AD415=""),"",MOD(AD415-AC415,1)*24)</x:f>
      </x:c>
      <x:c r="AF415" s="154"/>
      <x:c r="AG415" s="156" t="str">
        <x:f>IF(AE415="","",MAX(0,AE415-IF(AF415="",0,AF415/60)))</x:f>
      </x:c>
      <x:c r="AH415" s="155"/>
      <x:c r="AI415" s="154"/>
      <x:c r="AJ415" s="154"/>
      <x:c r="AK415" s="156" t="n">
        <x:f>IFERROR(U415*W415,"")</x:f>
        <x:v>0</x:v>
      </x:c>
      <x:c r="AL415" s="156" t="n">
        <x:f>IFERROR(AE415*AI415,"")</x:f>
        <x:v>0</x:v>
      </x:c>
      <x:c r="AM415" s="157" t="str">
        <x:f>IFERROR(AH415/Q415,"")</x:f>
      </x:c>
      <x:c r="AN415" s="156" t="str">
        <x:f>IFERROR(AH415/AG415,"")</x:f>
      </x:c>
      <x:c r="AO415" s="156" t="str">
        <x:f>IFERROR(AL415/AH415,"")</x:f>
      </x:c>
      <x:c r="AP415" s="157" t="str">
        <x:f>IFERROR(AG415/AE415,"")</x:f>
      </x:c>
      <x:c r="AQ415" s="157" t="str">
        <x:f>IFERROR(AN415/(R415/'Configuracion'!$B$13),"")</x:f>
      </x:c>
      <x:c r="AR415" s="156" t="n">
        <x:f>IFERROR(AE415-U415,"")</x:f>
        <x:v>0</x:v>
      </x:c>
      <x:c r="AS415" s="154"/>
      <x:c r="AT415" s="154"/>
      <x:c r="AU415" s="154"/>
      <x:c r="AV415" s="154"/>
      <x:c r="AW415" s="152"/>
      <x:c r="AX415" s="154"/>
      <x:c r="AY415" s="154"/>
      <x:c r="AZ415" s="151"/>
      <x:c r="BA415" s="151"/>
    </x:row>
    <x:row r="416">
      <x:c r="A416" s="151" t="str">
        <x:f>IF(B416="","",TEXT(B416,"yyyymmdd")&amp;"-"&amp;TEXT(COUNTIF($B$5:B416,B416),"000"))</x:f>
      </x:c>
      <x:c r="B416" s="152"/>
      <x:c r="C416" s="153"/>
      <x:c r="D416" s="151" t="str">
        <x:f>IF(B416="","",'Configuracion'!$B$4)</x:f>
      </x:c>
      <x:c r="E416" s="154"/>
      <x:c r="F416" s="154"/>
      <x:c r="G416" s="151" t="str">
        <x:f>IFERROR(VLOOKUP(F416,'Base Sectores'!$A$5:$J$47,2,FALSE),"")</x:f>
      </x:c>
      <x:c r="H416" s="151" t="str">
        <x:f>IFERROR(VLOOKUP(F416,'Base Sectores'!$A$5:$J$47,3,FALSE),"")</x:f>
      </x:c>
      <x:c r="I416" s="151" t="str">
        <x:f>IFERROR(VLOOKUP(F416,'Base Sectores'!$A$5:$J$47,4,FALSE),"")</x:f>
      </x:c>
      <x:c r="J416" s="151" t="str">
        <x:f>IFERROR(VLOOKUP(F416,'Base Sectores'!$A$5:$J$47,5,FALSE),"")</x:f>
      </x:c>
      <x:c r="K416" s="151" t="str">
        <x:f>IFERROR(VLOOKUP(F416,'Base Sectores'!$A$5:$J$47,6,FALSE),"")</x:f>
      </x:c>
      <x:c r="L416" s="151" t="str">
        <x:f>IFERROR(VLOOKUP(F416,'Base Sectores'!$A$5:$J$47,7,FALSE),"")</x:f>
      </x:c>
      <x:c r="M416" s="151" t="str">
        <x:f>IFERROR(VLOOKUP(F416,'Base Sectores'!$A$5:$J$47,9,FALSE),"")</x:f>
      </x:c>
      <x:c r="N416" s="154"/>
      <x:c r="O416" s="151" t="str">
        <x:f>IFERROR(VLOOKUP(N416,'Configuracion'!$D$4:$H$15,2,FALSE),"")</x:f>
      </x:c>
      <x:c r="P416" s="151" t="str">
        <x:f>IFERROR(VLOOKUP(N416,'Configuracion'!$D$4:$H$15,3,FALSE),"")</x:f>
      </x:c>
      <x:c r="Q416" s="155"/>
      <x:c r="R416" s="156" t="str">
        <x:f>IFERROR(VLOOKUP(N416,'Configuracion'!$D$4:$H$15,4,FALSE),"")</x:f>
      </x:c>
      <x:c r="S416" s="153"/>
      <x:c r="T416" s="153"/>
      <x:c r="U416" s="156" t="str">
        <x:f>IF(OR(S416="",T416=""),"",MOD(T416-S416,1)*24)</x:f>
      </x:c>
      <x:c r="V416" s="154"/>
      <x:c r="W416" s="154"/>
      <x:c r="X416" s="151" t="str">
        <x:f>IFERROR(VLOOKUP(N416,'Configuracion'!$D$4:$H$15,5,FALSE),"")</x:f>
      </x:c>
      <x:c r="Y416" s="151" t="str">
        <x:f>IFERROR(VLOOKUP(V416,'Cuadrillas'!$A$5:$J$14,2,FALSE),"")</x:f>
      </x:c>
      <x:c r="Z416" s="154"/>
      <x:c r="AA416" s="154"/>
      <x:c r="AB416" s="154"/>
      <x:c r="AC416" s="153"/>
      <x:c r="AD416" s="153"/>
      <x:c r="AE416" s="156" t="str">
        <x:f>IF(OR(AC416="",AD416=""),"",MOD(AD416-AC416,1)*24)</x:f>
      </x:c>
      <x:c r="AF416" s="154"/>
      <x:c r="AG416" s="156" t="str">
        <x:f>IF(AE416="","",MAX(0,AE416-IF(AF416="",0,AF416/60)))</x:f>
      </x:c>
      <x:c r="AH416" s="155"/>
      <x:c r="AI416" s="154"/>
      <x:c r="AJ416" s="154"/>
      <x:c r="AK416" s="156" t="n">
        <x:f>IFERROR(U416*W416,"")</x:f>
        <x:v>0</x:v>
      </x:c>
      <x:c r="AL416" s="156" t="n">
        <x:f>IFERROR(AE416*AI416,"")</x:f>
        <x:v>0</x:v>
      </x:c>
      <x:c r="AM416" s="157" t="str">
        <x:f>IFERROR(AH416/Q416,"")</x:f>
      </x:c>
      <x:c r="AN416" s="156" t="str">
        <x:f>IFERROR(AH416/AG416,"")</x:f>
      </x:c>
      <x:c r="AO416" s="156" t="str">
        <x:f>IFERROR(AL416/AH416,"")</x:f>
      </x:c>
      <x:c r="AP416" s="157" t="str">
        <x:f>IFERROR(AG416/AE416,"")</x:f>
      </x:c>
      <x:c r="AQ416" s="157" t="str">
        <x:f>IFERROR(AN416/(R416/'Configuracion'!$B$13),"")</x:f>
      </x:c>
      <x:c r="AR416" s="156" t="n">
        <x:f>IFERROR(AE416-U416,"")</x:f>
        <x:v>0</x:v>
      </x:c>
      <x:c r="AS416" s="154"/>
      <x:c r="AT416" s="154"/>
      <x:c r="AU416" s="154"/>
      <x:c r="AV416" s="154"/>
      <x:c r="AW416" s="152"/>
      <x:c r="AX416" s="154"/>
      <x:c r="AY416" s="154"/>
      <x:c r="AZ416" s="151"/>
      <x:c r="BA416" s="151"/>
    </x:row>
    <x:row r="417">
      <x:c r="A417" s="151" t="str">
        <x:f>IF(B417="","",TEXT(B417,"yyyymmdd")&amp;"-"&amp;TEXT(COUNTIF($B$5:B417,B417),"000"))</x:f>
      </x:c>
      <x:c r="B417" s="152"/>
      <x:c r="C417" s="153"/>
      <x:c r="D417" s="151" t="str">
        <x:f>IF(B417="","",'Configuracion'!$B$4)</x:f>
      </x:c>
      <x:c r="E417" s="154"/>
      <x:c r="F417" s="154"/>
      <x:c r="G417" s="151" t="str">
        <x:f>IFERROR(VLOOKUP(F417,'Base Sectores'!$A$5:$J$47,2,FALSE),"")</x:f>
      </x:c>
      <x:c r="H417" s="151" t="str">
        <x:f>IFERROR(VLOOKUP(F417,'Base Sectores'!$A$5:$J$47,3,FALSE),"")</x:f>
      </x:c>
      <x:c r="I417" s="151" t="str">
        <x:f>IFERROR(VLOOKUP(F417,'Base Sectores'!$A$5:$J$47,4,FALSE),"")</x:f>
      </x:c>
      <x:c r="J417" s="151" t="str">
        <x:f>IFERROR(VLOOKUP(F417,'Base Sectores'!$A$5:$J$47,5,FALSE),"")</x:f>
      </x:c>
      <x:c r="K417" s="151" t="str">
        <x:f>IFERROR(VLOOKUP(F417,'Base Sectores'!$A$5:$J$47,6,FALSE),"")</x:f>
      </x:c>
      <x:c r="L417" s="151" t="str">
        <x:f>IFERROR(VLOOKUP(F417,'Base Sectores'!$A$5:$J$47,7,FALSE),"")</x:f>
      </x:c>
      <x:c r="M417" s="151" t="str">
        <x:f>IFERROR(VLOOKUP(F417,'Base Sectores'!$A$5:$J$47,9,FALSE),"")</x:f>
      </x:c>
      <x:c r="N417" s="154"/>
      <x:c r="O417" s="151" t="str">
        <x:f>IFERROR(VLOOKUP(N417,'Configuracion'!$D$4:$H$15,2,FALSE),"")</x:f>
      </x:c>
      <x:c r="P417" s="151" t="str">
        <x:f>IFERROR(VLOOKUP(N417,'Configuracion'!$D$4:$H$15,3,FALSE),"")</x:f>
      </x:c>
      <x:c r="Q417" s="155"/>
      <x:c r="R417" s="156" t="str">
        <x:f>IFERROR(VLOOKUP(N417,'Configuracion'!$D$4:$H$15,4,FALSE),"")</x:f>
      </x:c>
      <x:c r="S417" s="153"/>
      <x:c r="T417" s="153"/>
      <x:c r="U417" s="156" t="str">
        <x:f>IF(OR(S417="",T417=""),"",MOD(T417-S417,1)*24)</x:f>
      </x:c>
      <x:c r="V417" s="154"/>
      <x:c r="W417" s="154"/>
      <x:c r="X417" s="151" t="str">
        <x:f>IFERROR(VLOOKUP(N417,'Configuracion'!$D$4:$H$15,5,FALSE),"")</x:f>
      </x:c>
      <x:c r="Y417" s="151" t="str">
        <x:f>IFERROR(VLOOKUP(V417,'Cuadrillas'!$A$5:$J$14,2,FALSE),"")</x:f>
      </x:c>
      <x:c r="Z417" s="154"/>
      <x:c r="AA417" s="154"/>
      <x:c r="AB417" s="154"/>
      <x:c r="AC417" s="153"/>
      <x:c r="AD417" s="153"/>
      <x:c r="AE417" s="156" t="str">
        <x:f>IF(OR(AC417="",AD417=""),"",MOD(AD417-AC417,1)*24)</x:f>
      </x:c>
      <x:c r="AF417" s="154"/>
      <x:c r="AG417" s="156" t="str">
        <x:f>IF(AE417="","",MAX(0,AE417-IF(AF417="",0,AF417/60)))</x:f>
      </x:c>
      <x:c r="AH417" s="155"/>
      <x:c r="AI417" s="154"/>
      <x:c r="AJ417" s="154"/>
      <x:c r="AK417" s="156" t="n">
        <x:f>IFERROR(U417*W417,"")</x:f>
        <x:v>0</x:v>
      </x:c>
      <x:c r="AL417" s="156" t="n">
        <x:f>IFERROR(AE417*AI417,"")</x:f>
        <x:v>0</x:v>
      </x:c>
      <x:c r="AM417" s="157" t="str">
        <x:f>IFERROR(AH417/Q417,"")</x:f>
      </x:c>
      <x:c r="AN417" s="156" t="str">
        <x:f>IFERROR(AH417/AG417,"")</x:f>
      </x:c>
      <x:c r="AO417" s="156" t="str">
        <x:f>IFERROR(AL417/AH417,"")</x:f>
      </x:c>
      <x:c r="AP417" s="157" t="str">
        <x:f>IFERROR(AG417/AE417,"")</x:f>
      </x:c>
      <x:c r="AQ417" s="157" t="str">
        <x:f>IFERROR(AN417/(R417/'Configuracion'!$B$13),"")</x:f>
      </x:c>
      <x:c r="AR417" s="156" t="n">
        <x:f>IFERROR(AE417-U417,"")</x:f>
        <x:v>0</x:v>
      </x:c>
      <x:c r="AS417" s="154"/>
      <x:c r="AT417" s="154"/>
      <x:c r="AU417" s="154"/>
      <x:c r="AV417" s="154"/>
      <x:c r="AW417" s="152"/>
      <x:c r="AX417" s="154"/>
      <x:c r="AY417" s="154"/>
      <x:c r="AZ417" s="151"/>
      <x:c r="BA417" s="151"/>
    </x:row>
    <x:row r="418">
      <x:c r="A418" s="151" t="str">
        <x:f>IF(B418="","",TEXT(B418,"yyyymmdd")&amp;"-"&amp;TEXT(COUNTIF($B$5:B418,B418),"000"))</x:f>
      </x:c>
      <x:c r="B418" s="152"/>
      <x:c r="C418" s="153"/>
      <x:c r="D418" s="151" t="str">
        <x:f>IF(B418="","",'Configuracion'!$B$4)</x:f>
      </x:c>
      <x:c r="E418" s="154"/>
      <x:c r="F418" s="154"/>
      <x:c r="G418" s="151" t="str">
        <x:f>IFERROR(VLOOKUP(F418,'Base Sectores'!$A$5:$J$47,2,FALSE),"")</x:f>
      </x:c>
      <x:c r="H418" s="151" t="str">
        <x:f>IFERROR(VLOOKUP(F418,'Base Sectores'!$A$5:$J$47,3,FALSE),"")</x:f>
      </x:c>
      <x:c r="I418" s="151" t="str">
        <x:f>IFERROR(VLOOKUP(F418,'Base Sectores'!$A$5:$J$47,4,FALSE),"")</x:f>
      </x:c>
      <x:c r="J418" s="151" t="str">
        <x:f>IFERROR(VLOOKUP(F418,'Base Sectores'!$A$5:$J$47,5,FALSE),"")</x:f>
      </x:c>
      <x:c r="K418" s="151" t="str">
        <x:f>IFERROR(VLOOKUP(F418,'Base Sectores'!$A$5:$J$47,6,FALSE),"")</x:f>
      </x:c>
      <x:c r="L418" s="151" t="str">
        <x:f>IFERROR(VLOOKUP(F418,'Base Sectores'!$A$5:$J$47,7,FALSE),"")</x:f>
      </x:c>
      <x:c r="M418" s="151" t="str">
        <x:f>IFERROR(VLOOKUP(F418,'Base Sectores'!$A$5:$J$47,9,FALSE),"")</x:f>
      </x:c>
      <x:c r="N418" s="154"/>
      <x:c r="O418" s="151" t="str">
        <x:f>IFERROR(VLOOKUP(N418,'Configuracion'!$D$4:$H$15,2,FALSE),"")</x:f>
      </x:c>
      <x:c r="P418" s="151" t="str">
        <x:f>IFERROR(VLOOKUP(N418,'Configuracion'!$D$4:$H$15,3,FALSE),"")</x:f>
      </x:c>
      <x:c r="Q418" s="155"/>
      <x:c r="R418" s="156" t="str">
        <x:f>IFERROR(VLOOKUP(N418,'Configuracion'!$D$4:$H$15,4,FALSE),"")</x:f>
      </x:c>
      <x:c r="S418" s="153"/>
      <x:c r="T418" s="153"/>
      <x:c r="U418" s="156" t="str">
        <x:f>IF(OR(S418="",T418=""),"",MOD(T418-S418,1)*24)</x:f>
      </x:c>
      <x:c r="V418" s="154"/>
      <x:c r="W418" s="154"/>
      <x:c r="X418" s="151" t="str">
        <x:f>IFERROR(VLOOKUP(N418,'Configuracion'!$D$4:$H$15,5,FALSE),"")</x:f>
      </x:c>
      <x:c r="Y418" s="151" t="str">
        <x:f>IFERROR(VLOOKUP(V418,'Cuadrillas'!$A$5:$J$14,2,FALSE),"")</x:f>
      </x:c>
      <x:c r="Z418" s="154"/>
      <x:c r="AA418" s="154"/>
      <x:c r="AB418" s="154"/>
      <x:c r="AC418" s="153"/>
      <x:c r="AD418" s="153"/>
      <x:c r="AE418" s="156" t="str">
        <x:f>IF(OR(AC418="",AD418=""),"",MOD(AD418-AC418,1)*24)</x:f>
      </x:c>
      <x:c r="AF418" s="154"/>
      <x:c r="AG418" s="156" t="str">
        <x:f>IF(AE418="","",MAX(0,AE418-IF(AF418="",0,AF418/60)))</x:f>
      </x:c>
      <x:c r="AH418" s="155"/>
      <x:c r="AI418" s="154"/>
      <x:c r="AJ418" s="154"/>
      <x:c r="AK418" s="156" t="n">
        <x:f>IFERROR(U418*W418,"")</x:f>
        <x:v>0</x:v>
      </x:c>
      <x:c r="AL418" s="156" t="n">
        <x:f>IFERROR(AE418*AI418,"")</x:f>
        <x:v>0</x:v>
      </x:c>
      <x:c r="AM418" s="157" t="str">
        <x:f>IFERROR(AH418/Q418,"")</x:f>
      </x:c>
      <x:c r="AN418" s="156" t="str">
        <x:f>IFERROR(AH418/AG418,"")</x:f>
      </x:c>
      <x:c r="AO418" s="156" t="str">
        <x:f>IFERROR(AL418/AH418,"")</x:f>
      </x:c>
      <x:c r="AP418" s="157" t="str">
        <x:f>IFERROR(AG418/AE418,"")</x:f>
      </x:c>
      <x:c r="AQ418" s="157" t="str">
        <x:f>IFERROR(AN418/(R418/'Configuracion'!$B$13),"")</x:f>
      </x:c>
      <x:c r="AR418" s="156" t="n">
        <x:f>IFERROR(AE418-U418,"")</x:f>
        <x:v>0</x:v>
      </x:c>
      <x:c r="AS418" s="154"/>
      <x:c r="AT418" s="154"/>
      <x:c r="AU418" s="154"/>
      <x:c r="AV418" s="154"/>
      <x:c r="AW418" s="152"/>
      <x:c r="AX418" s="154"/>
      <x:c r="AY418" s="154"/>
      <x:c r="AZ418" s="151"/>
      <x:c r="BA418" s="151"/>
    </x:row>
    <x:row r="419">
      <x:c r="A419" s="151" t="str">
        <x:f>IF(B419="","",TEXT(B419,"yyyymmdd")&amp;"-"&amp;TEXT(COUNTIF($B$5:B419,B419),"000"))</x:f>
      </x:c>
      <x:c r="B419" s="152"/>
      <x:c r="C419" s="153"/>
      <x:c r="D419" s="151" t="str">
        <x:f>IF(B419="","",'Configuracion'!$B$4)</x:f>
      </x:c>
      <x:c r="E419" s="154"/>
      <x:c r="F419" s="154"/>
      <x:c r="G419" s="151" t="str">
        <x:f>IFERROR(VLOOKUP(F419,'Base Sectores'!$A$5:$J$47,2,FALSE),"")</x:f>
      </x:c>
      <x:c r="H419" s="151" t="str">
        <x:f>IFERROR(VLOOKUP(F419,'Base Sectores'!$A$5:$J$47,3,FALSE),"")</x:f>
      </x:c>
      <x:c r="I419" s="151" t="str">
        <x:f>IFERROR(VLOOKUP(F419,'Base Sectores'!$A$5:$J$47,4,FALSE),"")</x:f>
      </x:c>
      <x:c r="J419" s="151" t="str">
        <x:f>IFERROR(VLOOKUP(F419,'Base Sectores'!$A$5:$J$47,5,FALSE),"")</x:f>
      </x:c>
      <x:c r="K419" s="151" t="str">
        <x:f>IFERROR(VLOOKUP(F419,'Base Sectores'!$A$5:$J$47,6,FALSE),"")</x:f>
      </x:c>
      <x:c r="L419" s="151" t="str">
        <x:f>IFERROR(VLOOKUP(F419,'Base Sectores'!$A$5:$J$47,7,FALSE),"")</x:f>
      </x:c>
      <x:c r="M419" s="151" t="str">
        <x:f>IFERROR(VLOOKUP(F419,'Base Sectores'!$A$5:$J$47,9,FALSE),"")</x:f>
      </x:c>
      <x:c r="N419" s="154"/>
      <x:c r="O419" s="151" t="str">
        <x:f>IFERROR(VLOOKUP(N419,'Configuracion'!$D$4:$H$15,2,FALSE),"")</x:f>
      </x:c>
      <x:c r="P419" s="151" t="str">
        <x:f>IFERROR(VLOOKUP(N419,'Configuracion'!$D$4:$H$15,3,FALSE),"")</x:f>
      </x:c>
      <x:c r="Q419" s="155"/>
      <x:c r="R419" s="156" t="str">
        <x:f>IFERROR(VLOOKUP(N419,'Configuracion'!$D$4:$H$15,4,FALSE),"")</x:f>
      </x:c>
      <x:c r="S419" s="153"/>
      <x:c r="T419" s="153"/>
      <x:c r="U419" s="156" t="str">
        <x:f>IF(OR(S419="",T419=""),"",MOD(T419-S419,1)*24)</x:f>
      </x:c>
      <x:c r="V419" s="154"/>
      <x:c r="W419" s="154"/>
      <x:c r="X419" s="151" t="str">
        <x:f>IFERROR(VLOOKUP(N419,'Configuracion'!$D$4:$H$15,5,FALSE),"")</x:f>
      </x:c>
      <x:c r="Y419" s="151" t="str">
        <x:f>IFERROR(VLOOKUP(V419,'Cuadrillas'!$A$5:$J$14,2,FALSE),"")</x:f>
      </x:c>
      <x:c r="Z419" s="154"/>
      <x:c r="AA419" s="154"/>
      <x:c r="AB419" s="154"/>
      <x:c r="AC419" s="153"/>
      <x:c r="AD419" s="153"/>
      <x:c r="AE419" s="156" t="str">
        <x:f>IF(OR(AC419="",AD419=""),"",MOD(AD419-AC419,1)*24)</x:f>
      </x:c>
      <x:c r="AF419" s="154"/>
      <x:c r="AG419" s="156" t="str">
        <x:f>IF(AE419="","",MAX(0,AE419-IF(AF419="",0,AF419/60)))</x:f>
      </x:c>
      <x:c r="AH419" s="155"/>
      <x:c r="AI419" s="154"/>
      <x:c r="AJ419" s="154"/>
      <x:c r="AK419" s="156" t="n">
        <x:f>IFERROR(U419*W419,"")</x:f>
        <x:v>0</x:v>
      </x:c>
      <x:c r="AL419" s="156" t="n">
        <x:f>IFERROR(AE419*AI419,"")</x:f>
        <x:v>0</x:v>
      </x:c>
      <x:c r="AM419" s="157" t="str">
        <x:f>IFERROR(AH419/Q419,"")</x:f>
      </x:c>
      <x:c r="AN419" s="156" t="str">
        <x:f>IFERROR(AH419/AG419,"")</x:f>
      </x:c>
      <x:c r="AO419" s="156" t="str">
        <x:f>IFERROR(AL419/AH419,"")</x:f>
      </x:c>
      <x:c r="AP419" s="157" t="str">
        <x:f>IFERROR(AG419/AE419,"")</x:f>
      </x:c>
      <x:c r="AQ419" s="157" t="str">
        <x:f>IFERROR(AN419/(R419/'Configuracion'!$B$13),"")</x:f>
      </x:c>
      <x:c r="AR419" s="156" t="n">
        <x:f>IFERROR(AE419-U419,"")</x:f>
        <x:v>0</x:v>
      </x:c>
      <x:c r="AS419" s="154"/>
      <x:c r="AT419" s="154"/>
      <x:c r="AU419" s="154"/>
      <x:c r="AV419" s="154"/>
      <x:c r="AW419" s="152"/>
      <x:c r="AX419" s="154"/>
      <x:c r="AY419" s="154"/>
      <x:c r="AZ419" s="151"/>
      <x:c r="BA419" s="151"/>
    </x:row>
    <x:row r="420">
      <x:c r="A420" s="151" t="str">
        <x:f>IF(B420="","",TEXT(B420,"yyyymmdd")&amp;"-"&amp;TEXT(COUNTIF($B$5:B420,B420),"000"))</x:f>
      </x:c>
      <x:c r="B420" s="152"/>
      <x:c r="C420" s="153"/>
      <x:c r="D420" s="151" t="str">
        <x:f>IF(B420="","",'Configuracion'!$B$4)</x:f>
      </x:c>
      <x:c r="E420" s="154"/>
      <x:c r="F420" s="154"/>
      <x:c r="G420" s="151" t="str">
        <x:f>IFERROR(VLOOKUP(F420,'Base Sectores'!$A$5:$J$47,2,FALSE),"")</x:f>
      </x:c>
      <x:c r="H420" s="151" t="str">
        <x:f>IFERROR(VLOOKUP(F420,'Base Sectores'!$A$5:$J$47,3,FALSE),"")</x:f>
      </x:c>
      <x:c r="I420" s="151" t="str">
        <x:f>IFERROR(VLOOKUP(F420,'Base Sectores'!$A$5:$J$47,4,FALSE),"")</x:f>
      </x:c>
      <x:c r="J420" s="151" t="str">
        <x:f>IFERROR(VLOOKUP(F420,'Base Sectores'!$A$5:$J$47,5,FALSE),"")</x:f>
      </x:c>
      <x:c r="K420" s="151" t="str">
        <x:f>IFERROR(VLOOKUP(F420,'Base Sectores'!$A$5:$J$47,6,FALSE),"")</x:f>
      </x:c>
      <x:c r="L420" s="151" t="str">
        <x:f>IFERROR(VLOOKUP(F420,'Base Sectores'!$A$5:$J$47,7,FALSE),"")</x:f>
      </x:c>
      <x:c r="M420" s="151" t="str">
        <x:f>IFERROR(VLOOKUP(F420,'Base Sectores'!$A$5:$J$47,9,FALSE),"")</x:f>
      </x:c>
      <x:c r="N420" s="154"/>
      <x:c r="O420" s="151" t="str">
        <x:f>IFERROR(VLOOKUP(N420,'Configuracion'!$D$4:$H$15,2,FALSE),"")</x:f>
      </x:c>
      <x:c r="P420" s="151" t="str">
        <x:f>IFERROR(VLOOKUP(N420,'Configuracion'!$D$4:$H$15,3,FALSE),"")</x:f>
      </x:c>
      <x:c r="Q420" s="155"/>
      <x:c r="R420" s="156" t="str">
        <x:f>IFERROR(VLOOKUP(N420,'Configuracion'!$D$4:$H$15,4,FALSE),"")</x:f>
      </x:c>
      <x:c r="S420" s="153"/>
      <x:c r="T420" s="153"/>
      <x:c r="U420" s="156" t="str">
        <x:f>IF(OR(S420="",T420=""),"",MOD(T420-S420,1)*24)</x:f>
      </x:c>
      <x:c r="V420" s="154"/>
      <x:c r="W420" s="154"/>
      <x:c r="X420" s="151" t="str">
        <x:f>IFERROR(VLOOKUP(N420,'Configuracion'!$D$4:$H$15,5,FALSE),"")</x:f>
      </x:c>
      <x:c r="Y420" s="151" t="str">
        <x:f>IFERROR(VLOOKUP(V420,'Cuadrillas'!$A$5:$J$14,2,FALSE),"")</x:f>
      </x:c>
      <x:c r="Z420" s="154"/>
      <x:c r="AA420" s="154"/>
      <x:c r="AB420" s="154"/>
      <x:c r="AC420" s="153"/>
      <x:c r="AD420" s="153"/>
      <x:c r="AE420" s="156" t="str">
        <x:f>IF(OR(AC420="",AD420=""),"",MOD(AD420-AC420,1)*24)</x:f>
      </x:c>
      <x:c r="AF420" s="154"/>
      <x:c r="AG420" s="156" t="str">
        <x:f>IF(AE420="","",MAX(0,AE420-IF(AF420="",0,AF420/60)))</x:f>
      </x:c>
      <x:c r="AH420" s="155"/>
      <x:c r="AI420" s="154"/>
      <x:c r="AJ420" s="154"/>
      <x:c r="AK420" s="156" t="n">
        <x:f>IFERROR(U420*W420,"")</x:f>
        <x:v>0</x:v>
      </x:c>
      <x:c r="AL420" s="156" t="n">
        <x:f>IFERROR(AE420*AI420,"")</x:f>
        <x:v>0</x:v>
      </x:c>
      <x:c r="AM420" s="157" t="str">
        <x:f>IFERROR(AH420/Q420,"")</x:f>
      </x:c>
      <x:c r="AN420" s="156" t="str">
        <x:f>IFERROR(AH420/AG420,"")</x:f>
      </x:c>
      <x:c r="AO420" s="156" t="str">
        <x:f>IFERROR(AL420/AH420,"")</x:f>
      </x:c>
      <x:c r="AP420" s="157" t="str">
        <x:f>IFERROR(AG420/AE420,"")</x:f>
      </x:c>
      <x:c r="AQ420" s="157" t="str">
        <x:f>IFERROR(AN420/(R420/'Configuracion'!$B$13),"")</x:f>
      </x:c>
      <x:c r="AR420" s="156" t="n">
        <x:f>IFERROR(AE420-U420,"")</x:f>
        <x:v>0</x:v>
      </x:c>
      <x:c r="AS420" s="154"/>
      <x:c r="AT420" s="154"/>
      <x:c r="AU420" s="154"/>
      <x:c r="AV420" s="154"/>
      <x:c r="AW420" s="152"/>
      <x:c r="AX420" s="154"/>
      <x:c r="AY420" s="154"/>
      <x:c r="AZ420" s="151"/>
      <x:c r="BA420" s="151"/>
    </x:row>
    <x:row r="421">
      <x:c r="A421" s="151" t="str">
        <x:f>IF(B421="","",TEXT(B421,"yyyymmdd")&amp;"-"&amp;TEXT(COUNTIF($B$5:B421,B421),"000"))</x:f>
      </x:c>
      <x:c r="B421" s="152"/>
      <x:c r="C421" s="153"/>
      <x:c r="D421" s="151" t="str">
        <x:f>IF(B421="","",'Configuracion'!$B$4)</x:f>
      </x:c>
      <x:c r="E421" s="154"/>
      <x:c r="F421" s="154"/>
      <x:c r="G421" s="151" t="str">
        <x:f>IFERROR(VLOOKUP(F421,'Base Sectores'!$A$5:$J$47,2,FALSE),"")</x:f>
      </x:c>
      <x:c r="H421" s="151" t="str">
        <x:f>IFERROR(VLOOKUP(F421,'Base Sectores'!$A$5:$J$47,3,FALSE),"")</x:f>
      </x:c>
      <x:c r="I421" s="151" t="str">
        <x:f>IFERROR(VLOOKUP(F421,'Base Sectores'!$A$5:$J$47,4,FALSE),"")</x:f>
      </x:c>
      <x:c r="J421" s="151" t="str">
        <x:f>IFERROR(VLOOKUP(F421,'Base Sectores'!$A$5:$J$47,5,FALSE),"")</x:f>
      </x:c>
      <x:c r="K421" s="151" t="str">
        <x:f>IFERROR(VLOOKUP(F421,'Base Sectores'!$A$5:$J$47,6,FALSE),"")</x:f>
      </x:c>
      <x:c r="L421" s="151" t="str">
        <x:f>IFERROR(VLOOKUP(F421,'Base Sectores'!$A$5:$J$47,7,FALSE),"")</x:f>
      </x:c>
      <x:c r="M421" s="151" t="str">
        <x:f>IFERROR(VLOOKUP(F421,'Base Sectores'!$A$5:$J$47,9,FALSE),"")</x:f>
      </x:c>
      <x:c r="N421" s="154"/>
      <x:c r="O421" s="151" t="str">
        <x:f>IFERROR(VLOOKUP(N421,'Configuracion'!$D$4:$H$15,2,FALSE),"")</x:f>
      </x:c>
      <x:c r="P421" s="151" t="str">
        <x:f>IFERROR(VLOOKUP(N421,'Configuracion'!$D$4:$H$15,3,FALSE),"")</x:f>
      </x:c>
      <x:c r="Q421" s="155"/>
      <x:c r="R421" s="156" t="str">
        <x:f>IFERROR(VLOOKUP(N421,'Configuracion'!$D$4:$H$15,4,FALSE),"")</x:f>
      </x:c>
      <x:c r="S421" s="153"/>
      <x:c r="T421" s="153"/>
      <x:c r="U421" s="156" t="str">
        <x:f>IF(OR(S421="",T421=""),"",MOD(T421-S421,1)*24)</x:f>
      </x:c>
      <x:c r="V421" s="154"/>
      <x:c r="W421" s="154"/>
      <x:c r="X421" s="151" t="str">
        <x:f>IFERROR(VLOOKUP(N421,'Configuracion'!$D$4:$H$15,5,FALSE),"")</x:f>
      </x:c>
      <x:c r="Y421" s="151" t="str">
        <x:f>IFERROR(VLOOKUP(V421,'Cuadrillas'!$A$5:$J$14,2,FALSE),"")</x:f>
      </x:c>
      <x:c r="Z421" s="154"/>
      <x:c r="AA421" s="154"/>
      <x:c r="AB421" s="154"/>
      <x:c r="AC421" s="153"/>
      <x:c r="AD421" s="153"/>
      <x:c r="AE421" s="156" t="str">
        <x:f>IF(OR(AC421="",AD421=""),"",MOD(AD421-AC421,1)*24)</x:f>
      </x:c>
      <x:c r="AF421" s="154"/>
      <x:c r="AG421" s="156" t="str">
        <x:f>IF(AE421="","",MAX(0,AE421-IF(AF421="",0,AF421/60)))</x:f>
      </x:c>
      <x:c r="AH421" s="155"/>
      <x:c r="AI421" s="154"/>
      <x:c r="AJ421" s="154"/>
      <x:c r="AK421" s="156" t="n">
        <x:f>IFERROR(U421*W421,"")</x:f>
        <x:v>0</x:v>
      </x:c>
      <x:c r="AL421" s="156" t="n">
        <x:f>IFERROR(AE421*AI421,"")</x:f>
        <x:v>0</x:v>
      </x:c>
      <x:c r="AM421" s="157" t="str">
        <x:f>IFERROR(AH421/Q421,"")</x:f>
      </x:c>
      <x:c r="AN421" s="156" t="str">
        <x:f>IFERROR(AH421/AG421,"")</x:f>
      </x:c>
      <x:c r="AO421" s="156" t="str">
        <x:f>IFERROR(AL421/AH421,"")</x:f>
      </x:c>
      <x:c r="AP421" s="157" t="str">
        <x:f>IFERROR(AG421/AE421,"")</x:f>
      </x:c>
      <x:c r="AQ421" s="157" t="str">
        <x:f>IFERROR(AN421/(R421/'Configuracion'!$B$13),"")</x:f>
      </x:c>
      <x:c r="AR421" s="156" t="n">
        <x:f>IFERROR(AE421-U421,"")</x:f>
        <x:v>0</x:v>
      </x:c>
      <x:c r="AS421" s="154"/>
      <x:c r="AT421" s="154"/>
      <x:c r="AU421" s="154"/>
      <x:c r="AV421" s="154"/>
      <x:c r="AW421" s="152"/>
      <x:c r="AX421" s="154"/>
      <x:c r="AY421" s="154"/>
      <x:c r="AZ421" s="151"/>
      <x:c r="BA421" s="151"/>
    </x:row>
    <x:row r="422">
      <x:c r="A422" s="151" t="str">
        <x:f>IF(B422="","",TEXT(B422,"yyyymmdd")&amp;"-"&amp;TEXT(COUNTIF($B$5:B422,B422),"000"))</x:f>
      </x:c>
      <x:c r="B422" s="152"/>
      <x:c r="C422" s="153"/>
      <x:c r="D422" s="151" t="str">
        <x:f>IF(B422="","",'Configuracion'!$B$4)</x:f>
      </x:c>
      <x:c r="E422" s="154"/>
      <x:c r="F422" s="154"/>
      <x:c r="G422" s="151" t="str">
        <x:f>IFERROR(VLOOKUP(F422,'Base Sectores'!$A$5:$J$47,2,FALSE),"")</x:f>
      </x:c>
      <x:c r="H422" s="151" t="str">
        <x:f>IFERROR(VLOOKUP(F422,'Base Sectores'!$A$5:$J$47,3,FALSE),"")</x:f>
      </x:c>
      <x:c r="I422" s="151" t="str">
        <x:f>IFERROR(VLOOKUP(F422,'Base Sectores'!$A$5:$J$47,4,FALSE),"")</x:f>
      </x:c>
      <x:c r="J422" s="151" t="str">
        <x:f>IFERROR(VLOOKUP(F422,'Base Sectores'!$A$5:$J$47,5,FALSE),"")</x:f>
      </x:c>
      <x:c r="K422" s="151" t="str">
        <x:f>IFERROR(VLOOKUP(F422,'Base Sectores'!$A$5:$J$47,6,FALSE),"")</x:f>
      </x:c>
      <x:c r="L422" s="151" t="str">
        <x:f>IFERROR(VLOOKUP(F422,'Base Sectores'!$A$5:$J$47,7,FALSE),"")</x:f>
      </x:c>
      <x:c r="M422" s="151" t="str">
        <x:f>IFERROR(VLOOKUP(F422,'Base Sectores'!$A$5:$J$47,9,FALSE),"")</x:f>
      </x:c>
      <x:c r="N422" s="154"/>
      <x:c r="O422" s="151" t="str">
        <x:f>IFERROR(VLOOKUP(N422,'Configuracion'!$D$4:$H$15,2,FALSE),"")</x:f>
      </x:c>
      <x:c r="P422" s="151" t="str">
        <x:f>IFERROR(VLOOKUP(N422,'Configuracion'!$D$4:$H$15,3,FALSE),"")</x:f>
      </x:c>
      <x:c r="Q422" s="155"/>
      <x:c r="R422" s="156" t="str">
        <x:f>IFERROR(VLOOKUP(N422,'Configuracion'!$D$4:$H$15,4,FALSE),"")</x:f>
      </x:c>
      <x:c r="S422" s="153"/>
      <x:c r="T422" s="153"/>
      <x:c r="U422" s="156" t="str">
        <x:f>IF(OR(S422="",T422=""),"",MOD(T422-S422,1)*24)</x:f>
      </x:c>
      <x:c r="V422" s="154"/>
      <x:c r="W422" s="154"/>
      <x:c r="X422" s="151" t="str">
        <x:f>IFERROR(VLOOKUP(N422,'Configuracion'!$D$4:$H$15,5,FALSE),"")</x:f>
      </x:c>
      <x:c r="Y422" s="151" t="str">
        <x:f>IFERROR(VLOOKUP(V422,'Cuadrillas'!$A$5:$J$14,2,FALSE),"")</x:f>
      </x:c>
      <x:c r="Z422" s="154"/>
      <x:c r="AA422" s="154"/>
      <x:c r="AB422" s="154"/>
      <x:c r="AC422" s="153"/>
      <x:c r="AD422" s="153"/>
      <x:c r="AE422" s="156" t="str">
        <x:f>IF(OR(AC422="",AD422=""),"",MOD(AD422-AC422,1)*24)</x:f>
      </x:c>
      <x:c r="AF422" s="154"/>
      <x:c r="AG422" s="156" t="str">
        <x:f>IF(AE422="","",MAX(0,AE422-IF(AF422="",0,AF422/60)))</x:f>
      </x:c>
      <x:c r="AH422" s="155"/>
      <x:c r="AI422" s="154"/>
      <x:c r="AJ422" s="154"/>
      <x:c r="AK422" s="156" t="n">
        <x:f>IFERROR(U422*W422,"")</x:f>
        <x:v>0</x:v>
      </x:c>
      <x:c r="AL422" s="156" t="n">
        <x:f>IFERROR(AE422*AI422,"")</x:f>
        <x:v>0</x:v>
      </x:c>
      <x:c r="AM422" s="157" t="str">
        <x:f>IFERROR(AH422/Q422,"")</x:f>
      </x:c>
      <x:c r="AN422" s="156" t="str">
        <x:f>IFERROR(AH422/AG422,"")</x:f>
      </x:c>
      <x:c r="AO422" s="156" t="str">
        <x:f>IFERROR(AL422/AH422,"")</x:f>
      </x:c>
      <x:c r="AP422" s="157" t="str">
        <x:f>IFERROR(AG422/AE422,"")</x:f>
      </x:c>
      <x:c r="AQ422" s="157" t="str">
        <x:f>IFERROR(AN422/(R422/'Configuracion'!$B$13),"")</x:f>
      </x:c>
      <x:c r="AR422" s="156" t="n">
        <x:f>IFERROR(AE422-U422,"")</x:f>
        <x:v>0</x:v>
      </x:c>
      <x:c r="AS422" s="154"/>
      <x:c r="AT422" s="154"/>
      <x:c r="AU422" s="154"/>
      <x:c r="AV422" s="154"/>
      <x:c r="AW422" s="152"/>
      <x:c r="AX422" s="154"/>
      <x:c r="AY422" s="154"/>
      <x:c r="AZ422" s="151"/>
      <x:c r="BA422" s="151"/>
    </x:row>
    <x:row r="423">
      <x:c r="A423" s="151" t="str">
        <x:f>IF(B423="","",TEXT(B423,"yyyymmdd")&amp;"-"&amp;TEXT(COUNTIF($B$5:B423,B423),"000"))</x:f>
      </x:c>
      <x:c r="B423" s="152"/>
      <x:c r="C423" s="153"/>
      <x:c r="D423" s="151" t="str">
        <x:f>IF(B423="","",'Configuracion'!$B$4)</x:f>
      </x:c>
      <x:c r="E423" s="154"/>
      <x:c r="F423" s="154"/>
      <x:c r="G423" s="151" t="str">
        <x:f>IFERROR(VLOOKUP(F423,'Base Sectores'!$A$5:$J$47,2,FALSE),"")</x:f>
      </x:c>
      <x:c r="H423" s="151" t="str">
        <x:f>IFERROR(VLOOKUP(F423,'Base Sectores'!$A$5:$J$47,3,FALSE),"")</x:f>
      </x:c>
      <x:c r="I423" s="151" t="str">
        <x:f>IFERROR(VLOOKUP(F423,'Base Sectores'!$A$5:$J$47,4,FALSE),"")</x:f>
      </x:c>
      <x:c r="J423" s="151" t="str">
        <x:f>IFERROR(VLOOKUP(F423,'Base Sectores'!$A$5:$J$47,5,FALSE),"")</x:f>
      </x:c>
      <x:c r="K423" s="151" t="str">
        <x:f>IFERROR(VLOOKUP(F423,'Base Sectores'!$A$5:$J$47,6,FALSE),"")</x:f>
      </x:c>
      <x:c r="L423" s="151" t="str">
        <x:f>IFERROR(VLOOKUP(F423,'Base Sectores'!$A$5:$J$47,7,FALSE),"")</x:f>
      </x:c>
      <x:c r="M423" s="151" t="str">
        <x:f>IFERROR(VLOOKUP(F423,'Base Sectores'!$A$5:$J$47,9,FALSE),"")</x:f>
      </x:c>
      <x:c r="N423" s="154"/>
      <x:c r="O423" s="151" t="str">
        <x:f>IFERROR(VLOOKUP(N423,'Configuracion'!$D$4:$H$15,2,FALSE),"")</x:f>
      </x:c>
      <x:c r="P423" s="151" t="str">
        <x:f>IFERROR(VLOOKUP(N423,'Configuracion'!$D$4:$H$15,3,FALSE),"")</x:f>
      </x:c>
      <x:c r="Q423" s="155"/>
      <x:c r="R423" s="156" t="str">
        <x:f>IFERROR(VLOOKUP(N423,'Configuracion'!$D$4:$H$15,4,FALSE),"")</x:f>
      </x:c>
      <x:c r="S423" s="153"/>
      <x:c r="T423" s="153"/>
      <x:c r="U423" s="156" t="str">
        <x:f>IF(OR(S423="",T423=""),"",MOD(T423-S423,1)*24)</x:f>
      </x:c>
      <x:c r="V423" s="154"/>
      <x:c r="W423" s="154"/>
      <x:c r="X423" s="151" t="str">
        <x:f>IFERROR(VLOOKUP(N423,'Configuracion'!$D$4:$H$15,5,FALSE),"")</x:f>
      </x:c>
      <x:c r="Y423" s="151" t="str">
        <x:f>IFERROR(VLOOKUP(V423,'Cuadrillas'!$A$5:$J$14,2,FALSE),"")</x:f>
      </x:c>
      <x:c r="Z423" s="154"/>
      <x:c r="AA423" s="154"/>
      <x:c r="AB423" s="154"/>
      <x:c r="AC423" s="153"/>
      <x:c r="AD423" s="153"/>
      <x:c r="AE423" s="156" t="str">
        <x:f>IF(OR(AC423="",AD423=""),"",MOD(AD423-AC423,1)*24)</x:f>
      </x:c>
      <x:c r="AF423" s="154"/>
      <x:c r="AG423" s="156" t="str">
        <x:f>IF(AE423="","",MAX(0,AE423-IF(AF423="",0,AF423/60)))</x:f>
      </x:c>
      <x:c r="AH423" s="155"/>
      <x:c r="AI423" s="154"/>
      <x:c r="AJ423" s="154"/>
      <x:c r="AK423" s="156" t="n">
        <x:f>IFERROR(U423*W423,"")</x:f>
        <x:v>0</x:v>
      </x:c>
      <x:c r="AL423" s="156" t="n">
        <x:f>IFERROR(AE423*AI423,"")</x:f>
        <x:v>0</x:v>
      </x:c>
      <x:c r="AM423" s="157" t="str">
        <x:f>IFERROR(AH423/Q423,"")</x:f>
      </x:c>
      <x:c r="AN423" s="156" t="str">
        <x:f>IFERROR(AH423/AG423,"")</x:f>
      </x:c>
      <x:c r="AO423" s="156" t="str">
        <x:f>IFERROR(AL423/AH423,"")</x:f>
      </x:c>
      <x:c r="AP423" s="157" t="str">
        <x:f>IFERROR(AG423/AE423,"")</x:f>
      </x:c>
      <x:c r="AQ423" s="157" t="str">
        <x:f>IFERROR(AN423/(R423/'Configuracion'!$B$13),"")</x:f>
      </x:c>
      <x:c r="AR423" s="156" t="n">
        <x:f>IFERROR(AE423-U423,"")</x:f>
        <x:v>0</x:v>
      </x:c>
      <x:c r="AS423" s="154"/>
      <x:c r="AT423" s="154"/>
      <x:c r="AU423" s="154"/>
      <x:c r="AV423" s="154"/>
      <x:c r="AW423" s="152"/>
      <x:c r="AX423" s="154"/>
      <x:c r="AY423" s="154"/>
      <x:c r="AZ423" s="151"/>
      <x:c r="BA423" s="151"/>
    </x:row>
    <x:row r="424">
      <x:c r="A424" s="151" t="str">
        <x:f>IF(B424="","",TEXT(B424,"yyyymmdd")&amp;"-"&amp;TEXT(COUNTIF($B$5:B424,B424),"000"))</x:f>
      </x:c>
      <x:c r="B424" s="152"/>
      <x:c r="C424" s="153"/>
      <x:c r="D424" s="151" t="str">
        <x:f>IF(B424="","",'Configuracion'!$B$4)</x:f>
      </x:c>
      <x:c r="E424" s="154"/>
      <x:c r="F424" s="154"/>
      <x:c r="G424" s="151" t="str">
        <x:f>IFERROR(VLOOKUP(F424,'Base Sectores'!$A$5:$J$47,2,FALSE),"")</x:f>
      </x:c>
      <x:c r="H424" s="151" t="str">
        <x:f>IFERROR(VLOOKUP(F424,'Base Sectores'!$A$5:$J$47,3,FALSE),"")</x:f>
      </x:c>
      <x:c r="I424" s="151" t="str">
        <x:f>IFERROR(VLOOKUP(F424,'Base Sectores'!$A$5:$J$47,4,FALSE),"")</x:f>
      </x:c>
      <x:c r="J424" s="151" t="str">
        <x:f>IFERROR(VLOOKUP(F424,'Base Sectores'!$A$5:$J$47,5,FALSE),"")</x:f>
      </x:c>
      <x:c r="K424" s="151" t="str">
        <x:f>IFERROR(VLOOKUP(F424,'Base Sectores'!$A$5:$J$47,6,FALSE),"")</x:f>
      </x:c>
      <x:c r="L424" s="151" t="str">
        <x:f>IFERROR(VLOOKUP(F424,'Base Sectores'!$A$5:$J$47,7,FALSE),"")</x:f>
      </x:c>
      <x:c r="M424" s="151" t="str">
        <x:f>IFERROR(VLOOKUP(F424,'Base Sectores'!$A$5:$J$47,9,FALSE),"")</x:f>
      </x:c>
      <x:c r="N424" s="154"/>
      <x:c r="O424" s="151" t="str">
        <x:f>IFERROR(VLOOKUP(N424,'Configuracion'!$D$4:$H$15,2,FALSE),"")</x:f>
      </x:c>
      <x:c r="P424" s="151" t="str">
        <x:f>IFERROR(VLOOKUP(N424,'Configuracion'!$D$4:$H$15,3,FALSE),"")</x:f>
      </x:c>
      <x:c r="Q424" s="155"/>
      <x:c r="R424" s="156" t="str">
        <x:f>IFERROR(VLOOKUP(N424,'Configuracion'!$D$4:$H$15,4,FALSE),"")</x:f>
      </x:c>
      <x:c r="S424" s="153"/>
      <x:c r="T424" s="153"/>
      <x:c r="U424" s="156" t="str">
        <x:f>IF(OR(S424="",T424=""),"",MOD(T424-S424,1)*24)</x:f>
      </x:c>
      <x:c r="V424" s="154"/>
      <x:c r="W424" s="154"/>
      <x:c r="X424" s="151" t="str">
        <x:f>IFERROR(VLOOKUP(N424,'Configuracion'!$D$4:$H$15,5,FALSE),"")</x:f>
      </x:c>
      <x:c r="Y424" s="151" t="str">
        <x:f>IFERROR(VLOOKUP(V424,'Cuadrillas'!$A$5:$J$14,2,FALSE),"")</x:f>
      </x:c>
      <x:c r="Z424" s="154"/>
      <x:c r="AA424" s="154"/>
      <x:c r="AB424" s="154"/>
      <x:c r="AC424" s="153"/>
      <x:c r="AD424" s="153"/>
      <x:c r="AE424" s="156" t="str">
        <x:f>IF(OR(AC424="",AD424=""),"",MOD(AD424-AC424,1)*24)</x:f>
      </x:c>
      <x:c r="AF424" s="154"/>
      <x:c r="AG424" s="156" t="str">
        <x:f>IF(AE424="","",MAX(0,AE424-IF(AF424="",0,AF424/60)))</x:f>
      </x:c>
      <x:c r="AH424" s="155"/>
      <x:c r="AI424" s="154"/>
      <x:c r="AJ424" s="154"/>
      <x:c r="AK424" s="156" t="n">
        <x:f>IFERROR(U424*W424,"")</x:f>
        <x:v>0</x:v>
      </x:c>
      <x:c r="AL424" s="156" t="n">
        <x:f>IFERROR(AE424*AI424,"")</x:f>
        <x:v>0</x:v>
      </x:c>
      <x:c r="AM424" s="157" t="str">
        <x:f>IFERROR(AH424/Q424,"")</x:f>
      </x:c>
      <x:c r="AN424" s="156" t="str">
        <x:f>IFERROR(AH424/AG424,"")</x:f>
      </x:c>
      <x:c r="AO424" s="156" t="str">
        <x:f>IFERROR(AL424/AH424,"")</x:f>
      </x:c>
      <x:c r="AP424" s="157" t="str">
        <x:f>IFERROR(AG424/AE424,"")</x:f>
      </x:c>
      <x:c r="AQ424" s="157" t="str">
        <x:f>IFERROR(AN424/(R424/'Configuracion'!$B$13),"")</x:f>
      </x:c>
      <x:c r="AR424" s="156" t="n">
        <x:f>IFERROR(AE424-U424,"")</x:f>
        <x:v>0</x:v>
      </x:c>
      <x:c r="AS424" s="154"/>
      <x:c r="AT424" s="154"/>
      <x:c r="AU424" s="154"/>
      <x:c r="AV424" s="154"/>
      <x:c r="AW424" s="152"/>
      <x:c r="AX424" s="154"/>
      <x:c r="AY424" s="154"/>
      <x:c r="AZ424" s="151"/>
      <x:c r="BA424" s="151"/>
    </x:row>
    <x:row r="425">
      <x:c r="A425" s="151" t="str">
        <x:f>IF(B425="","",TEXT(B425,"yyyymmdd")&amp;"-"&amp;TEXT(COUNTIF($B$5:B425,B425),"000"))</x:f>
      </x:c>
      <x:c r="B425" s="152"/>
      <x:c r="C425" s="153"/>
      <x:c r="D425" s="151" t="str">
        <x:f>IF(B425="","",'Configuracion'!$B$4)</x:f>
      </x:c>
      <x:c r="E425" s="154"/>
      <x:c r="F425" s="154"/>
      <x:c r="G425" s="151" t="str">
        <x:f>IFERROR(VLOOKUP(F425,'Base Sectores'!$A$5:$J$47,2,FALSE),"")</x:f>
      </x:c>
      <x:c r="H425" s="151" t="str">
        <x:f>IFERROR(VLOOKUP(F425,'Base Sectores'!$A$5:$J$47,3,FALSE),"")</x:f>
      </x:c>
      <x:c r="I425" s="151" t="str">
        <x:f>IFERROR(VLOOKUP(F425,'Base Sectores'!$A$5:$J$47,4,FALSE),"")</x:f>
      </x:c>
      <x:c r="J425" s="151" t="str">
        <x:f>IFERROR(VLOOKUP(F425,'Base Sectores'!$A$5:$J$47,5,FALSE),"")</x:f>
      </x:c>
      <x:c r="K425" s="151" t="str">
        <x:f>IFERROR(VLOOKUP(F425,'Base Sectores'!$A$5:$J$47,6,FALSE),"")</x:f>
      </x:c>
      <x:c r="L425" s="151" t="str">
        <x:f>IFERROR(VLOOKUP(F425,'Base Sectores'!$A$5:$J$47,7,FALSE),"")</x:f>
      </x:c>
      <x:c r="M425" s="151" t="str">
        <x:f>IFERROR(VLOOKUP(F425,'Base Sectores'!$A$5:$J$47,9,FALSE),"")</x:f>
      </x:c>
      <x:c r="N425" s="154"/>
      <x:c r="O425" s="151" t="str">
        <x:f>IFERROR(VLOOKUP(N425,'Configuracion'!$D$4:$H$15,2,FALSE),"")</x:f>
      </x:c>
      <x:c r="P425" s="151" t="str">
        <x:f>IFERROR(VLOOKUP(N425,'Configuracion'!$D$4:$H$15,3,FALSE),"")</x:f>
      </x:c>
      <x:c r="Q425" s="155"/>
      <x:c r="R425" s="156" t="str">
        <x:f>IFERROR(VLOOKUP(N425,'Configuracion'!$D$4:$H$15,4,FALSE),"")</x:f>
      </x:c>
      <x:c r="S425" s="153"/>
      <x:c r="T425" s="153"/>
      <x:c r="U425" s="156" t="str">
        <x:f>IF(OR(S425="",T425=""),"",MOD(T425-S425,1)*24)</x:f>
      </x:c>
      <x:c r="V425" s="154"/>
      <x:c r="W425" s="154"/>
      <x:c r="X425" s="151" t="str">
        <x:f>IFERROR(VLOOKUP(N425,'Configuracion'!$D$4:$H$15,5,FALSE),"")</x:f>
      </x:c>
      <x:c r="Y425" s="151" t="str">
        <x:f>IFERROR(VLOOKUP(V425,'Cuadrillas'!$A$5:$J$14,2,FALSE),"")</x:f>
      </x:c>
      <x:c r="Z425" s="154"/>
      <x:c r="AA425" s="154"/>
      <x:c r="AB425" s="154"/>
      <x:c r="AC425" s="153"/>
      <x:c r="AD425" s="153"/>
      <x:c r="AE425" s="156" t="str">
        <x:f>IF(OR(AC425="",AD425=""),"",MOD(AD425-AC425,1)*24)</x:f>
      </x:c>
      <x:c r="AF425" s="154"/>
      <x:c r="AG425" s="156" t="str">
        <x:f>IF(AE425="","",MAX(0,AE425-IF(AF425="",0,AF425/60)))</x:f>
      </x:c>
      <x:c r="AH425" s="155"/>
      <x:c r="AI425" s="154"/>
      <x:c r="AJ425" s="154"/>
      <x:c r="AK425" s="156" t="n">
        <x:f>IFERROR(U425*W425,"")</x:f>
        <x:v>0</x:v>
      </x:c>
      <x:c r="AL425" s="156" t="n">
        <x:f>IFERROR(AE425*AI425,"")</x:f>
        <x:v>0</x:v>
      </x:c>
      <x:c r="AM425" s="157" t="str">
        <x:f>IFERROR(AH425/Q425,"")</x:f>
      </x:c>
      <x:c r="AN425" s="156" t="str">
        <x:f>IFERROR(AH425/AG425,"")</x:f>
      </x:c>
      <x:c r="AO425" s="156" t="str">
        <x:f>IFERROR(AL425/AH425,"")</x:f>
      </x:c>
      <x:c r="AP425" s="157" t="str">
        <x:f>IFERROR(AG425/AE425,"")</x:f>
      </x:c>
      <x:c r="AQ425" s="157" t="str">
        <x:f>IFERROR(AN425/(R425/'Configuracion'!$B$13),"")</x:f>
      </x:c>
      <x:c r="AR425" s="156" t="n">
        <x:f>IFERROR(AE425-U425,"")</x:f>
        <x:v>0</x:v>
      </x:c>
      <x:c r="AS425" s="154"/>
      <x:c r="AT425" s="154"/>
      <x:c r="AU425" s="154"/>
      <x:c r="AV425" s="154"/>
      <x:c r="AW425" s="152"/>
      <x:c r="AX425" s="154"/>
      <x:c r="AY425" s="154"/>
      <x:c r="AZ425" s="151"/>
      <x:c r="BA425" s="151"/>
    </x:row>
    <x:row r="426">
      <x:c r="A426" s="151" t="str">
        <x:f>IF(B426="","",TEXT(B426,"yyyymmdd")&amp;"-"&amp;TEXT(COUNTIF($B$5:B426,B426),"000"))</x:f>
      </x:c>
      <x:c r="B426" s="152"/>
      <x:c r="C426" s="153"/>
      <x:c r="D426" s="151" t="str">
        <x:f>IF(B426="","",'Configuracion'!$B$4)</x:f>
      </x:c>
      <x:c r="E426" s="154"/>
      <x:c r="F426" s="154"/>
      <x:c r="G426" s="151" t="str">
        <x:f>IFERROR(VLOOKUP(F426,'Base Sectores'!$A$5:$J$47,2,FALSE),"")</x:f>
      </x:c>
      <x:c r="H426" s="151" t="str">
        <x:f>IFERROR(VLOOKUP(F426,'Base Sectores'!$A$5:$J$47,3,FALSE),"")</x:f>
      </x:c>
      <x:c r="I426" s="151" t="str">
        <x:f>IFERROR(VLOOKUP(F426,'Base Sectores'!$A$5:$J$47,4,FALSE),"")</x:f>
      </x:c>
      <x:c r="J426" s="151" t="str">
        <x:f>IFERROR(VLOOKUP(F426,'Base Sectores'!$A$5:$J$47,5,FALSE),"")</x:f>
      </x:c>
      <x:c r="K426" s="151" t="str">
        <x:f>IFERROR(VLOOKUP(F426,'Base Sectores'!$A$5:$J$47,6,FALSE),"")</x:f>
      </x:c>
      <x:c r="L426" s="151" t="str">
        <x:f>IFERROR(VLOOKUP(F426,'Base Sectores'!$A$5:$J$47,7,FALSE),"")</x:f>
      </x:c>
      <x:c r="M426" s="151" t="str">
        <x:f>IFERROR(VLOOKUP(F426,'Base Sectores'!$A$5:$J$47,9,FALSE),"")</x:f>
      </x:c>
      <x:c r="N426" s="154"/>
      <x:c r="O426" s="151" t="str">
        <x:f>IFERROR(VLOOKUP(N426,'Configuracion'!$D$4:$H$15,2,FALSE),"")</x:f>
      </x:c>
      <x:c r="P426" s="151" t="str">
        <x:f>IFERROR(VLOOKUP(N426,'Configuracion'!$D$4:$H$15,3,FALSE),"")</x:f>
      </x:c>
      <x:c r="Q426" s="155"/>
      <x:c r="R426" s="156" t="str">
        <x:f>IFERROR(VLOOKUP(N426,'Configuracion'!$D$4:$H$15,4,FALSE),"")</x:f>
      </x:c>
      <x:c r="S426" s="153"/>
      <x:c r="T426" s="153"/>
      <x:c r="U426" s="156" t="str">
        <x:f>IF(OR(S426="",T426=""),"",MOD(T426-S426,1)*24)</x:f>
      </x:c>
      <x:c r="V426" s="154"/>
      <x:c r="W426" s="154"/>
      <x:c r="X426" s="151" t="str">
        <x:f>IFERROR(VLOOKUP(N426,'Configuracion'!$D$4:$H$15,5,FALSE),"")</x:f>
      </x:c>
      <x:c r="Y426" s="151" t="str">
        <x:f>IFERROR(VLOOKUP(V426,'Cuadrillas'!$A$5:$J$14,2,FALSE),"")</x:f>
      </x:c>
      <x:c r="Z426" s="154"/>
      <x:c r="AA426" s="154"/>
      <x:c r="AB426" s="154"/>
      <x:c r="AC426" s="153"/>
      <x:c r="AD426" s="153"/>
      <x:c r="AE426" s="156" t="str">
        <x:f>IF(OR(AC426="",AD426=""),"",MOD(AD426-AC426,1)*24)</x:f>
      </x:c>
      <x:c r="AF426" s="154"/>
      <x:c r="AG426" s="156" t="str">
        <x:f>IF(AE426="","",MAX(0,AE426-IF(AF426="",0,AF426/60)))</x:f>
      </x:c>
      <x:c r="AH426" s="155"/>
      <x:c r="AI426" s="154"/>
      <x:c r="AJ426" s="154"/>
      <x:c r="AK426" s="156" t="n">
        <x:f>IFERROR(U426*W426,"")</x:f>
        <x:v>0</x:v>
      </x:c>
      <x:c r="AL426" s="156" t="n">
        <x:f>IFERROR(AE426*AI426,"")</x:f>
        <x:v>0</x:v>
      </x:c>
      <x:c r="AM426" s="157" t="str">
        <x:f>IFERROR(AH426/Q426,"")</x:f>
      </x:c>
      <x:c r="AN426" s="156" t="str">
        <x:f>IFERROR(AH426/AG426,"")</x:f>
      </x:c>
      <x:c r="AO426" s="156" t="str">
        <x:f>IFERROR(AL426/AH426,"")</x:f>
      </x:c>
      <x:c r="AP426" s="157" t="str">
        <x:f>IFERROR(AG426/AE426,"")</x:f>
      </x:c>
      <x:c r="AQ426" s="157" t="str">
        <x:f>IFERROR(AN426/(R426/'Configuracion'!$B$13),"")</x:f>
      </x:c>
      <x:c r="AR426" s="156" t="n">
        <x:f>IFERROR(AE426-U426,"")</x:f>
        <x:v>0</x:v>
      </x:c>
      <x:c r="AS426" s="154"/>
      <x:c r="AT426" s="154"/>
      <x:c r="AU426" s="154"/>
      <x:c r="AV426" s="154"/>
      <x:c r="AW426" s="152"/>
      <x:c r="AX426" s="154"/>
      <x:c r="AY426" s="154"/>
      <x:c r="AZ426" s="151"/>
      <x:c r="BA426" s="151"/>
    </x:row>
    <x:row r="427">
      <x:c r="A427" s="151" t="str">
        <x:f>IF(B427="","",TEXT(B427,"yyyymmdd")&amp;"-"&amp;TEXT(COUNTIF($B$5:B427,B427),"000"))</x:f>
      </x:c>
      <x:c r="B427" s="152"/>
      <x:c r="C427" s="153"/>
      <x:c r="D427" s="151" t="str">
        <x:f>IF(B427="","",'Configuracion'!$B$4)</x:f>
      </x:c>
      <x:c r="E427" s="154"/>
      <x:c r="F427" s="154"/>
      <x:c r="G427" s="151" t="str">
        <x:f>IFERROR(VLOOKUP(F427,'Base Sectores'!$A$5:$J$47,2,FALSE),"")</x:f>
      </x:c>
      <x:c r="H427" s="151" t="str">
        <x:f>IFERROR(VLOOKUP(F427,'Base Sectores'!$A$5:$J$47,3,FALSE),"")</x:f>
      </x:c>
      <x:c r="I427" s="151" t="str">
        <x:f>IFERROR(VLOOKUP(F427,'Base Sectores'!$A$5:$J$47,4,FALSE),"")</x:f>
      </x:c>
      <x:c r="J427" s="151" t="str">
        <x:f>IFERROR(VLOOKUP(F427,'Base Sectores'!$A$5:$J$47,5,FALSE),"")</x:f>
      </x:c>
      <x:c r="K427" s="151" t="str">
        <x:f>IFERROR(VLOOKUP(F427,'Base Sectores'!$A$5:$J$47,6,FALSE),"")</x:f>
      </x:c>
      <x:c r="L427" s="151" t="str">
        <x:f>IFERROR(VLOOKUP(F427,'Base Sectores'!$A$5:$J$47,7,FALSE),"")</x:f>
      </x:c>
      <x:c r="M427" s="151" t="str">
        <x:f>IFERROR(VLOOKUP(F427,'Base Sectores'!$A$5:$J$47,9,FALSE),"")</x:f>
      </x:c>
      <x:c r="N427" s="154"/>
      <x:c r="O427" s="151" t="str">
        <x:f>IFERROR(VLOOKUP(N427,'Configuracion'!$D$4:$H$15,2,FALSE),"")</x:f>
      </x:c>
      <x:c r="P427" s="151" t="str">
        <x:f>IFERROR(VLOOKUP(N427,'Configuracion'!$D$4:$H$15,3,FALSE),"")</x:f>
      </x:c>
      <x:c r="Q427" s="155"/>
      <x:c r="R427" s="156" t="str">
        <x:f>IFERROR(VLOOKUP(N427,'Configuracion'!$D$4:$H$15,4,FALSE),"")</x:f>
      </x:c>
      <x:c r="S427" s="153"/>
      <x:c r="T427" s="153"/>
      <x:c r="U427" s="156" t="str">
        <x:f>IF(OR(S427="",T427=""),"",MOD(T427-S427,1)*24)</x:f>
      </x:c>
      <x:c r="V427" s="154"/>
      <x:c r="W427" s="154"/>
      <x:c r="X427" s="151" t="str">
        <x:f>IFERROR(VLOOKUP(N427,'Configuracion'!$D$4:$H$15,5,FALSE),"")</x:f>
      </x:c>
      <x:c r="Y427" s="151" t="str">
        <x:f>IFERROR(VLOOKUP(V427,'Cuadrillas'!$A$5:$J$14,2,FALSE),"")</x:f>
      </x:c>
      <x:c r="Z427" s="154"/>
      <x:c r="AA427" s="154"/>
      <x:c r="AB427" s="154"/>
      <x:c r="AC427" s="153"/>
      <x:c r="AD427" s="153"/>
      <x:c r="AE427" s="156" t="str">
        <x:f>IF(OR(AC427="",AD427=""),"",MOD(AD427-AC427,1)*24)</x:f>
      </x:c>
      <x:c r="AF427" s="154"/>
      <x:c r="AG427" s="156" t="str">
        <x:f>IF(AE427="","",MAX(0,AE427-IF(AF427="",0,AF427/60)))</x:f>
      </x:c>
      <x:c r="AH427" s="155"/>
      <x:c r="AI427" s="154"/>
      <x:c r="AJ427" s="154"/>
      <x:c r="AK427" s="156" t="n">
        <x:f>IFERROR(U427*W427,"")</x:f>
        <x:v>0</x:v>
      </x:c>
      <x:c r="AL427" s="156" t="n">
        <x:f>IFERROR(AE427*AI427,"")</x:f>
        <x:v>0</x:v>
      </x:c>
      <x:c r="AM427" s="157" t="str">
        <x:f>IFERROR(AH427/Q427,"")</x:f>
      </x:c>
      <x:c r="AN427" s="156" t="str">
        <x:f>IFERROR(AH427/AG427,"")</x:f>
      </x:c>
      <x:c r="AO427" s="156" t="str">
        <x:f>IFERROR(AL427/AH427,"")</x:f>
      </x:c>
      <x:c r="AP427" s="157" t="str">
        <x:f>IFERROR(AG427/AE427,"")</x:f>
      </x:c>
      <x:c r="AQ427" s="157" t="str">
        <x:f>IFERROR(AN427/(R427/'Configuracion'!$B$13),"")</x:f>
      </x:c>
      <x:c r="AR427" s="156" t="n">
        <x:f>IFERROR(AE427-U427,"")</x:f>
        <x:v>0</x:v>
      </x:c>
      <x:c r="AS427" s="154"/>
      <x:c r="AT427" s="154"/>
      <x:c r="AU427" s="154"/>
      <x:c r="AV427" s="154"/>
      <x:c r="AW427" s="152"/>
      <x:c r="AX427" s="154"/>
      <x:c r="AY427" s="154"/>
      <x:c r="AZ427" s="151"/>
      <x:c r="BA427" s="151"/>
    </x:row>
    <x:row r="428">
      <x:c r="A428" s="151" t="str">
        <x:f>IF(B428="","",TEXT(B428,"yyyymmdd")&amp;"-"&amp;TEXT(COUNTIF($B$5:B428,B428),"000"))</x:f>
      </x:c>
      <x:c r="B428" s="152"/>
      <x:c r="C428" s="153"/>
      <x:c r="D428" s="151" t="str">
        <x:f>IF(B428="","",'Configuracion'!$B$4)</x:f>
      </x:c>
      <x:c r="E428" s="154"/>
      <x:c r="F428" s="154"/>
      <x:c r="G428" s="151" t="str">
        <x:f>IFERROR(VLOOKUP(F428,'Base Sectores'!$A$5:$J$47,2,FALSE),"")</x:f>
      </x:c>
      <x:c r="H428" s="151" t="str">
        <x:f>IFERROR(VLOOKUP(F428,'Base Sectores'!$A$5:$J$47,3,FALSE),"")</x:f>
      </x:c>
      <x:c r="I428" s="151" t="str">
        <x:f>IFERROR(VLOOKUP(F428,'Base Sectores'!$A$5:$J$47,4,FALSE),"")</x:f>
      </x:c>
      <x:c r="J428" s="151" t="str">
        <x:f>IFERROR(VLOOKUP(F428,'Base Sectores'!$A$5:$J$47,5,FALSE),"")</x:f>
      </x:c>
      <x:c r="K428" s="151" t="str">
        <x:f>IFERROR(VLOOKUP(F428,'Base Sectores'!$A$5:$J$47,6,FALSE),"")</x:f>
      </x:c>
      <x:c r="L428" s="151" t="str">
        <x:f>IFERROR(VLOOKUP(F428,'Base Sectores'!$A$5:$J$47,7,FALSE),"")</x:f>
      </x:c>
      <x:c r="M428" s="151" t="str">
        <x:f>IFERROR(VLOOKUP(F428,'Base Sectores'!$A$5:$J$47,9,FALSE),"")</x:f>
      </x:c>
      <x:c r="N428" s="154"/>
      <x:c r="O428" s="151" t="str">
        <x:f>IFERROR(VLOOKUP(N428,'Configuracion'!$D$4:$H$15,2,FALSE),"")</x:f>
      </x:c>
      <x:c r="P428" s="151" t="str">
        <x:f>IFERROR(VLOOKUP(N428,'Configuracion'!$D$4:$H$15,3,FALSE),"")</x:f>
      </x:c>
      <x:c r="Q428" s="155"/>
      <x:c r="R428" s="156" t="str">
        <x:f>IFERROR(VLOOKUP(N428,'Configuracion'!$D$4:$H$15,4,FALSE),"")</x:f>
      </x:c>
      <x:c r="S428" s="153"/>
      <x:c r="T428" s="153"/>
      <x:c r="U428" s="156" t="str">
        <x:f>IF(OR(S428="",T428=""),"",MOD(T428-S428,1)*24)</x:f>
      </x:c>
      <x:c r="V428" s="154"/>
      <x:c r="W428" s="154"/>
      <x:c r="X428" s="151" t="str">
        <x:f>IFERROR(VLOOKUP(N428,'Configuracion'!$D$4:$H$15,5,FALSE),"")</x:f>
      </x:c>
      <x:c r="Y428" s="151" t="str">
        <x:f>IFERROR(VLOOKUP(V428,'Cuadrillas'!$A$5:$J$14,2,FALSE),"")</x:f>
      </x:c>
      <x:c r="Z428" s="154"/>
      <x:c r="AA428" s="154"/>
      <x:c r="AB428" s="154"/>
      <x:c r="AC428" s="153"/>
      <x:c r="AD428" s="153"/>
      <x:c r="AE428" s="156" t="str">
        <x:f>IF(OR(AC428="",AD428=""),"",MOD(AD428-AC428,1)*24)</x:f>
      </x:c>
      <x:c r="AF428" s="154"/>
      <x:c r="AG428" s="156" t="str">
        <x:f>IF(AE428="","",MAX(0,AE428-IF(AF428="",0,AF428/60)))</x:f>
      </x:c>
      <x:c r="AH428" s="155"/>
      <x:c r="AI428" s="154"/>
      <x:c r="AJ428" s="154"/>
      <x:c r="AK428" s="156" t="n">
        <x:f>IFERROR(U428*W428,"")</x:f>
        <x:v>0</x:v>
      </x:c>
      <x:c r="AL428" s="156" t="n">
        <x:f>IFERROR(AE428*AI428,"")</x:f>
        <x:v>0</x:v>
      </x:c>
      <x:c r="AM428" s="157" t="str">
        <x:f>IFERROR(AH428/Q428,"")</x:f>
      </x:c>
      <x:c r="AN428" s="156" t="str">
        <x:f>IFERROR(AH428/AG428,"")</x:f>
      </x:c>
      <x:c r="AO428" s="156" t="str">
        <x:f>IFERROR(AL428/AH428,"")</x:f>
      </x:c>
      <x:c r="AP428" s="157" t="str">
        <x:f>IFERROR(AG428/AE428,"")</x:f>
      </x:c>
      <x:c r="AQ428" s="157" t="str">
        <x:f>IFERROR(AN428/(R428/'Configuracion'!$B$13),"")</x:f>
      </x:c>
      <x:c r="AR428" s="156" t="n">
        <x:f>IFERROR(AE428-U428,"")</x:f>
        <x:v>0</x:v>
      </x:c>
      <x:c r="AS428" s="154"/>
      <x:c r="AT428" s="154"/>
      <x:c r="AU428" s="154"/>
      <x:c r="AV428" s="154"/>
      <x:c r="AW428" s="152"/>
      <x:c r="AX428" s="154"/>
      <x:c r="AY428" s="154"/>
      <x:c r="AZ428" s="151"/>
      <x:c r="BA428" s="151"/>
    </x:row>
    <x:row r="429">
      <x:c r="A429" s="151" t="str">
        <x:f>IF(B429="","",TEXT(B429,"yyyymmdd")&amp;"-"&amp;TEXT(COUNTIF($B$5:B429,B429),"000"))</x:f>
      </x:c>
      <x:c r="B429" s="152"/>
      <x:c r="C429" s="153"/>
      <x:c r="D429" s="151" t="str">
        <x:f>IF(B429="","",'Configuracion'!$B$4)</x:f>
      </x:c>
      <x:c r="E429" s="154"/>
      <x:c r="F429" s="154"/>
      <x:c r="G429" s="151" t="str">
        <x:f>IFERROR(VLOOKUP(F429,'Base Sectores'!$A$5:$J$47,2,FALSE),"")</x:f>
      </x:c>
      <x:c r="H429" s="151" t="str">
        <x:f>IFERROR(VLOOKUP(F429,'Base Sectores'!$A$5:$J$47,3,FALSE),"")</x:f>
      </x:c>
      <x:c r="I429" s="151" t="str">
        <x:f>IFERROR(VLOOKUP(F429,'Base Sectores'!$A$5:$J$47,4,FALSE),"")</x:f>
      </x:c>
      <x:c r="J429" s="151" t="str">
        <x:f>IFERROR(VLOOKUP(F429,'Base Sectores'!$A$5:$J$47,5,FALSE),"")</x:f>
      </x:c>
      <x:c r="K429" s="151" t="str">
        <x:f>IFERROR(VLOOKUP(F429,'Base Sectores'!$A$5:$J$47,6,FALSE),"")</x:f>
      </x:c>
      <x:c r="L429" s="151" t="str">
        <x:f>IFERROR(VLOOKUP(F429,'Base Sectores'!$A$5:$J$47,7,FALSE),"")</x:f>
      </x:c>
      <x:c r="M429" s="151" t="str">
        <x:f>IFERROR(VLOOKUP(F429,'Base Sectores'!$A$5:$J$47,9,FALSE),"")</x:f>
      </x:c>
      <x:c r="N429" s="154"/>
      <x:c r="O429" s="151" t="str">
        <x:f>IFERROR(VLOOKUP(N429,'Configuracion'!$D$4:$H$15,2,FALSE),"")</x:f>
      </x:c>
      <x:c r="P429" s="151" t="str">
        <x:f>IFERROR(VLOOKUP(N429,'Configuracion'!$D$4:$H$15,3,FALSE),"")</x:f>
      </x:c>
      <x:c r="Q429" s="155"/>
      <x:c r="R429" s="156" t="str">
        <x:f>IFERROR(VLOOKUP(N429,'Configuracion'!$D$4:$H$15,4,FALSE),"")</x:f>
      </x:c>
      <x:c r="S429" s="153"/>
      <x:c r="T429" s="153"/>
      <x:c r="U429" s="156" t="str">
        <x:f>IF(OR(S429="",T429=""),"",MOD(T429-S429,1)*24)</x:f>
      </x:c>
      <x:c r="V429" s="154"/>
      <x:c r="W429" s="154"/>
      <x:c r="X429" s="151" t="str">
        <x:f>IFERROR(VLOOKUP(N429,'Configuracion'!$D$4:$H$15,5,FALSE),"")</x:f>
      </x:c>
      <x:c r="Y429" s="151" t="str">
        <x:f>IFERROR(VLOOKUP(V429,'Cuadrillas'!$A$5:$J$14,2,FALSE),"")</x:f>
      </x:c>
      <x:c r="Z429" s="154"/>
      <x:c r="AA429" s="154"/>
      <x:c r="AB429" s="154"/>
      <x:c r="AC429" s="153"/>
      <x:c r="AD429" s="153"/>
      <x:c r="AE429" s="156" t="str">
        <x:f>IF(OR(AC429="",AD429=""),"",MOD(AD429-AC429,1)*24)</x:f>
      </x:c>
      <x:c r="AF429" s="154"/>
      <x:c r="AG429" s="156" t="str">
        <x:f>IF(AE429="","",MAX(0,AE429-IF(AF429="",0,AF429/60)))</x:f>
      </x:c>
      <x:c r="AH429" s="155"/>
      <x:c r="AI429" s="154"/>
      <x:c r="AJ429" s="154"/>
      <x:c r="AK429" s="156" t="n">
        <x:f>IFERROR(U429*W429,"")</x:f>
        <x:v>0</x:v>
      </x:c>
      <x:c r="AL429" s="156" t="n">
        <x:f>IFERROR(AE429*AI429,"")</x:f>
        <x:v>0</x:v>
      </x:c>
      <x:c r="AM429" s="157" t="str">
        <x:f>IFERROR(AH429/Q429,"")</x:f>
      </x:c>
      <x:c r="AN429" s="156" t="str">
        <x:f>IFERROR(AH429/AG429,"")</x:f>
      </x:c>
      <x:c r="AO429" s="156" t="str">
        <x:f>IFERROR(AL429/AH429,"")</x:f>
      </x:c>
      <x:c r="AP429" s="157" t="str">
        <x:f>IFERROR(AG429/AE429,"")</x:f>
      </x:c>
      <x:c r="AQ429" s="157" t="str">
        <x:f>IFERROR(AN429/(R429/'Configuracion'!$B$13),"")</x:f>
      </x:c>
      <x:c r="AR429" s="156" t="n">
        <x:f>IFERROR(AE429-U429,"")</x:f>
        <x:v>0</x:v>
      </x:c>
      <x:c r="AS429" s="154"/>
      <x:c r="AT429" s="154"/>
      <x:c r="AU429" s="154"/>
      <x:c r="AV429" s="154"/>
      <x:c r="AW429" s="152"/>
      <x:c r="AX429" s="154"/>
      <x:c r="AY429" s="154"/>
      <x:c r="AZ429" s="151"/>
      <x:c r="BA429" s="151"/>
    </x:row>
    <x:row r="430">
      <x:c r="A430" s="151" t="str">
        <x:f>IF(B430="","",TEXT(B430,"yyyymmdd")&amp;"-"&amp;TEXT(COUNTIF($B$5:B430,B430),"000"))</x:f>
      </x:c>
      <x:c r="B430" s="152"/>
      <x:c r="C430" s="153"/>
      <x:c r="D430" s="151" t="str">
        <x:f>IF(B430="","",'Configuracion'!$B$4)</x:f>
      </x:c>
      <x:c r="E430" s="154"/>
      <x:c r="F430" s="154"/>
      <x:c r="G430" s="151" t="str">
        <x:f>IFERROR(VLOOKUP(F430,'Base Sectores'!$A$5:$J$47,2,FALSE),"")</x:f>
      </x:c>
      <x:c r="H430" s="151" t="str">
        <x:f>IFERROR(VLOOKUP(F430,'Base Sectores'!$A$5:$J$47,3,FALSE),"")</x:f>
      </x:c>
      <x:c r="I430" s="151" t="str">
        <x:f>IFERROR(VLOOKUP(F430,'Base Sectores'!$A$5:$J$47,4,FALSE),"")</x:f>
      </x:c>
      <x:c r="J430" s="151" t="str">
        <x:f>IFERROR(VLOOKUP(F430,'Base Sectores'!$A$5:$J$47,5,FALSE),"")</x:f>
      </x:c>
      <x:c r="K430" s="151" t="str">
        <x:f>IFERROR(VLOOKUP(F430,'Base Sectores'!$A$5:$J$47,6,FALSE),"")</x:f>
      </x:c>
      <x:c r="L430" s="151" t="str">
        <x:f>IFERROR(VLOOKUP(F430,'Base Sectores'!$A$5:$J$47,7,FALSE),"")</x:f>
      </x:c>
      <x:c r="M430" s="151" t="str">
        <x:f>IFERROR(VLOOKUP(F430,'Base Sectores'!$A$5:$J$47,9,FALSE),"")</x:f>
      </x:c>
      <x:c r="N430" s="154"/>
      <x:c r="O430" s="151" t="str">
        <x:f>IFERROR(VLOOKUP(N430,'Configuracion'!$D$4:$H$15,2,FALSE),"")</x:f>
      </x:c>
      <x:c r="P430" s="151" t="str">
        <x:f>IFERROR(VLOOKUP(N430,'Configuracion'!$D$4:$H$15,3,FALSE),"")</x:f>
      </x:c>
      <x:c r="Q430" s="155"/>
      <x:c r="R430" s="156" t="str">
        <x:f>IFERROR(VLOOKUP(N430,'Configuracion'!$D$4:$H$15,4,FALSE),"")</x:f>
      </x:c>
      <x:c r="S430" s="153"/>
      <x:c r="T430" s="153"/>
      <x:c r="U430" s="156" t="str">
        <x:f>IF(OR(S430="",T430=""),"",MOD(T430-S430,1)*24)</x:f>
      </x:c>
      <x:c r="V430" s="154"/>
      <x:c r="W430" s="154"/>
      <x:c r="X430" s="151" t="str">
        <x:f>IFERROR(VLOOKUP(N430,'Configuracion'!$D$4:$H$15,5,FALSE),"")</x:f>
      </x:c>
      <x:c r="Y430" s="151" t="str">
        <x:f>IFERROR(VLOOKUP(V430,'Cuadrillas'!$A$5:$J$14,2,FALSE),"")</x:f>
      </x:c>
      <x:c r="Z430" s="154"/>
      <x:c r="AA430" s="154"/>
      <x:c r="AB430" s="154"/>
      <x:c r="AC430" s="153"/>
      <x:c r="AD430" s="153"/>
      <x:c r="AE430" s="156" t="str">
        <x:f>IF(OR(AC430="",AD430=""),"",MOD(AD430-AC430,1)*24)</x:f>
      </x:c>
      <x:c r="AF430" s="154"/>
      <x:c r="AG430" s="156" t="str">
        <x:f>IF(AE430="","",MAX(0,AE430-IF(AF430="",0,AF430/60)))</x:f>
      </x:c>
      <x:c r="AH430" s="155"/>
      <x:c r="AI430" s="154"/>
      <x:c r="AJ430" s="154"/>
      <x:c r="AK430" s="156" t="n">
        <x:f>IFERROR(U430*W430,"")</x:f>
        <x:v>0</x:v>
      </x:c>
      <x:c r="AL430" s="156" t="n">
        <x:f>IFERROR(AE430*AI430,"")</x:f>
        <x:v>0</x:v>
      </x:c>
      <x:c r="AM430" s="157" t="str">
        <x:f>IFERROR(AH430/Q430,"")</x:f>
      </x:c>
      <x:c r="AN430" s="156" t="str">
        <x:f>IFERROR(AH430/AG430,"")</x:f>
      </x:c>
      <x:c r="AO430" s="156" t="str">
        <x:f>IFERROR(AL430/AH430,"")</x:f>
      </x:c>
      <x:c r="AP430" s="157" t="str">
        <x:f>IFERROR(AG430/AE430,"")</x:f>
      </x:c>
      <x:c r="AQ430" s="157" t="str">
        <x:f>IFERROR(AN430/(R430/'Configuracion'!$B$13),"")</x:f>
      </x:c>
      <x:c r="AR430" s="156" t="n">
        <x:f>IFERROR(AE430-U430,"")</x:f>
        <x:v>0</x:v>
      </x:c>
      <x:c r="AS430" s="154"/>
      <x:c r="AT430" s="154"/>
      <x:c r="AU430" s="154"/>
      <x:c r="AV430" s="154"/>
      <x:c r="AW430" s="152"/>
      <x:c r="AX430" s="154"/>
      <x:c r="AY430" s="154"/>
      <x:c r="AZ430" s="151"/>
      <x:c r="BA430" s="151"/>
    </x:row>
    <x:row r="431">
      <x:c r="A431" s="151" t="str">
        <x:f>IF(B431="","",TEXT(B431,"yyyymmdd")&amp;"-"&amp;TEXT(COUNTIF($B$5:B431,B431),"000"))</x:f>
      </x:c>
      <x:c r="B431" s="152"/>
      <x:c r="C431" s="153"/>
      <x:c r="D431" s="151" t="str">
        <x:f>IF(B431="","",'Configuracion'!$B$4)</x:f>
      </x:c>
      <x:c r="E431" s="154"/>
      <x:c r="F431" s="154"/>
      <x:c r="G431" s="151" t="str">
        <x:f>IFERROR(VLOOKUP(F431,'Base Sectores'!$A$5:$J$47,2,FALSE),"")</x:f>
      </x:c>
      <x:c r="H431" s="151" t="str">
        <x:f>IFERROR(VLOOKUP(F431,'Base Sectores'!$A$5:$J$47,3,FALSE),"")</x:f>
      </x:c>
      <x:c r="I431" s="151" t="str">
        <x:f>IFERROR(VLOOKUP(F431,'Base Sectores'!$A$5:$J$47,4,FALSE),"")</x:f>
      </x:c>
      <x:c r="J431" s="151" t="str">
        <x:f>IFERROR(VLOOKUP(F431,'Base Sectores'!$A$5:$J$47,5,FALSE),"")</x:f>
      </x:c>
      <x:c r="K431" s="151" t="str">
        <x:f>IFERROR(VLOOKUP(F431,'Base Sectores'!$A$5:$J$47,6,FALSE),"")</x:f>
      </x:c>
      <x:c r="L431" s="151" t="str">
        <x:f>IFERROR(VLOOKUP(F431,'Base Sectores'!$A$5:$J$47,7,FALSE),"")</x:f>
      </x:c>
      <x:c r="M431" s="151" t="str">
        <x:f>IFERROR(VLOOKUP(F431,'Base Sectores'!$A$5:$J$47,9,FALSE),"")</x:f>
      </x:c>
      <x:c r="N431" s="154"/>
      <x:c r="O431" s="151" t="str">
        <x:f>IFERROR(VLOOKUP(N431,'Configuracion'!$D$4:$H$15,2,FALSE),"")</x:f>
      </x:c>
      <x:c r="P431" s="151" t="str">
        <x:f>IFERROR(VLOOKUP(N431,'Configuracion'!$D$4:$H$15,3,FALSE),"")</x:f>
      </x:c>
      <x:c r="Q431" s="155"/>
      <x:c r="R431" s="156" t="str">
        <x:f>IFERROR(VLOOKUP(N431,'Configuracion'!$D$4:$H$15,4,FALSE),"")</x:f>
      </x:c>
      <x:c r="S431" s="153"/>
      <x:c r="T431" s="153"/>
      <x:c r="U431" s="156" t="str">
        <x:f>IF(OR(S431="",T431=""),"",MOD(T431-S431,1)*24)</x:f>
      </x:c>
      <x:c r="V431" s="154"/>
      <x:c r="W431" s="154"/>
      <x:c r="X431" s="151" t="str">
        <x:f>IFERROR(VLOOKUP(N431,'Configuracion'!$D$4:$H$15,5,FALSE),"")</x:f>
      </x:c>
      <x:c r="Y431" s="151" t="str">
        <x:f>IFERROR(VLOOKUP(V431,'Cuadrillas'!$A$5:$J$14,2,FALSE),"")</x:f>
      </x:c>
      <x:c r="Z431" s="154"/>
      <x:c r="AA431" s="154"/>
      <x:c r="AB431" s="154"/>
      <x:c r="AC431" s="153"/>
      <x:c r="AD431" s="153"/>
      <x:c r="AE431" s="156" t="str">
        <x:f>IF(OR(AC431="",AD431=""),"",MOD(AD431-AC431,1)*24)</x:f>
      </x:c>
      <x:c r="AF431" s="154"/>
      <x:c r="AG431" s="156" t="str">
        <x:f>IF(AE431="","",MAX(0,AE431-IF(AF431="",0,AF431/60)))</x:f>
      </x:c>
      <x:c r="AH431" s="155"/>
      <x:c r="AI431" s="154"/>
      <x:c r="AJ431" s="154"/>
      <x:c r="AK431" s="156" t="n">
        <x:f>IFERROR(U431*W431,"")</x:f>
        <x:v>0</x:v>
      </x:c>
      <x:c r="AL431" s="156" t="n">
        <x:f>IFERROR(AE431*AI431,"")</x:f>
        <x:v>0</x:v>
      </x:c>
      <x:c r="AM431" s="157" t="str">
        <x:f>IFERROR(AH431/Q431,"")</x:f>
      </x:c>
      <x:c r="AN431" s="156" t="str">
        <x:f>IFERROR(AH431/AG431,"")</x:f>
      </x:c>
      <x:c r="AO431" s="156" t="str">
        <x:f>IFERROR(AL431/AH431,"")</x:f>
      </x:c>
      <x:c r="AP431" s="157" t="str">
        <x:f>IFERROR(AG431/AE431,"")</x:f>
      </x:c>
      <x:c r="AQ431" s="157" t="str">
        <x:f>IFERROR(AN431/(R431/'Configuracion'!$B$13),"")</x:f>
      </x:c>
      <x:c r="AR431" s="156" t="n">
        <x:f>IFERROR(AE431-U431,"")</x:f>
        <x:v>0</x:v>
      </x:c>
      <x:c r="AS431" s="154"/>
      <x:c r="AT431" s="154"/>
      <x:c r="AU431" s="154"/>
      <x:c r="AV431" s="154"/>
      <x:c r="AW431" s="152"/>
      <x:c r="AX431" s="154"/>
      <x:c r="AY431" s="154"/>
      <x:c r="AZ431" s="151"/>
      <x:c r="BA431" s="151"/>
    </x:row>
    <x:row r="432">
      <x:c r="A432" s="151" t="str">
        <x:f>IF(B432="","",TEXT(B432,"yyyymmdd")&amp;"-"&amp;TEXT(COUNTIF($B$5:B432,B432),"000"))</x:f>
      </x:c>
      <x:c r="B432" s="152"/>
      <x:c r="C432" s="153"/>
      <x:c r="D432" s="151" t="str">
        <x:f>IF(B432="","",'Configuracion'!$B$4)</x:f>
      </x:c>
      <x:c r="E432" s="154"/>
      <x:c r="F432" s="154"/>
      <x:c r="G432" s="151" t="str">
        <x:f>IFERROR(VLOOKUP(F432,'Base Sectores'!$A$5:$J$47,2,FALSE),"")</x:f>
      </x:c>
      <x:c r="H432" s="151" t="str">
        <x:f>IFERROR(VLOOKUP(F432,'Base Sectores'!$A$5:$J$47,3,FALSE),"")</x:f>
      </x:c>
      <x:c r="I432" s="151" t="str">
        <x:f>IFERROR(VLOOKUP(F432,'Base Sectores'!$A$5:$J$47,4,FALSE),"")</x:f>
      </x:c>
      <x:c r="J432" s="151" t="str">
        <x:f>IFERROR(VLOOKUP(F432,'Base Sectores'!$A$5:$J$47,5,FALSE),"")</x:f>
      </x:c>
      <x:c r="K432" s="151" t="str">
        <x:f>IFERROR(VLOOKUP(F432,'Base Sectores'!$A$5:$J$47,6,FALSE),"")</x:f>
      </x:c>
      <x:c r="L432" s="151" t="str">
        <x:f>IFERROR(VLOOKUP(F432,'Base Sectores'!$A$5:$J$47,7,FALSE),"")</x:f>
      </x:c>
      <x:c r="M432" s="151" t="str">
        <x:f>IFERROR(VLOOKUP(F432,'Base Sectores'!$A$5:$J$47,9,FALSE),"")</x:f>
      </x:c>
      <x:c r="N432" s="154"/>
      <x:c r="O432" s="151" t="str">
        <x:f>IFERROR(VLOOKUP(N432,'Configuracion'!$D$4:$H$15,2,FALSE),"")</x:f>
      </x:c>
      <x:c r="P432" s="151" t="str">
        <x:f>IFERROR(VLOOKUP(N432,'Configuracion'!$D$4:$H$15,3,FALSE),"")</x:f>
      </x:c>
      <x:c r="Q432" s="155"/>
      <x:c r="R432" s="156" t="str">
        <x:f>IFERROR(VLOOKUP(N432,'Configuracion'!$D$4:$H$15,4,FALSE),"")</x:f>
      </x:c>
      <x:c r="S432" s="153"/>
      <x:c r="T432" s="153"/>
      <x:c r="U432" s="156" t="str">
        <x:f>IF(OR(S432="",T432=""),"",MOD(T432-S432,1)*24)</x:f>
      </x:c>
      <x:c r="V432" s="154"/>
      <x:c r="W432" s="154"/>
      <x:c r="X432" s="151" t="str">
        <x:f>IFERROR(VLOOKUP(N432,'Configuracion'!$D$4:$H$15,5,FALSE),"")</x:f>
      </x:c>
      <x:c r="Y432" s="151" t="str">
        <x:f>IFERROR(VLOOKUP(V432,'Cuadrillas'!$A$5:$J$14,2,FALSE),"")</x:f>
      </x:c>
      <x:c r="Z432" s="154"/>
      <x:c r="AA432" s="154"/>
      <x:c r="AB432" s="154"/>
      <x:c r="AC432" s="153"/>
      <x:c r="AD432" s="153"/>
      <x:c r="AE432" s="156" t="str">
        <x:f>IF(OR(AC432="",AD432=""),"",MOD(AD432-AC432,1)*24)</x:f>
      </x:c>
      <x:c r="AF432" s="154"/>
      <x:c r="AG432" s="156" t="str">
        <x:f>IF(AE432="","",MAX(0,AE432-IF(AF432="",0,AF432/60)))</x:f>
      </x:c>
      <x:c r="AH432" s="155"/>
      <x:c r="AI432" s="154"/>
      <x:c r="AJ432" s="154"/>
      <x:c r="AK432" s="156" t="n">
        <x:f>IFERROR(U432*W432,"")</x:f>
        <x:v>0</x:v>
      </x:c>
      <x:c r="AL432" s="156" t="n">
        <x:f>IFERROR(AE432*AI432,"")</x:f>
        <x:v>0</x:v>
      </x:c>
      <x:c r="AM432" s="157" t="str">
        <x:f>IFERROR(AH432/Q432,"")</x:f>
      </x:c>
      <x:c r="AN432" s="156" t="str">
        <x:f>IFERROR(AH432/AG432,"")</x:f>
      </x:c>
      <x:c r="AO432" s="156" t="str">
        <x:f>IFERROR(AL432/AH432,"")</x:f>
      </x:c>
      <x:c r="AP432" s="157" t="str">
        <x:f>IFERROR(AG432/AE432,"")</x:f>
      </x:c>
      <x:c r="AQ432" s="157" t="str">
        <x:f>IFERROR(AN432/(R432/'Configuracion'!$B$13),"")</x:f>
      </x:c>
      <x:c r="AR432" s="156" t="n">
        <x:f>IFERROR(AE432-U432,"")</x:f>
        <x:v>0</x:v>
      </x:c>
      <x:c r="AS432" s="154"/>
      <x:c r="AT432" s="154"/>
      <x:c r="AU432" s="154"/>
      <x:c r="AV432" s="154"/>
      <x:c r="AW432" s="152"/>
      <x:c r="AX432" s="154"/>
      <x:c r="AY432" s="154"/>
      <x:c r="AZ432" s="151"/>
      <x:c r="BA432" s="151"/>
    </x:row>
    <x:row r="433">
      <x:c r="A433" s="151" t="str">
        <x:f>IF(B433="","",TEXT(B433,"yyyymmdd")&amp;"-"&amp;TEXT(COUNTIF($B$5:B433,B433),"000"))</x:f>
      </x:c>
      <x:c r="B433" s="152"/>
      <x:c r="C433" s="153"/>
      <x:c r="D433" s="151" t="str">
        <x:f>IF(B433="","",'Configuracion'!$B$4)</x:f>
      </x:c>
      <x:c r="E433" s="154"/>
      <x:c r="F433" s="154"/>
      <x:c r="G433" s="151" t="str">
        <x:f>IFERROR(VLOOKUP(F433,'Base Sectores'!$A$5:$J$47,2,FALSE),"")</x:f>
      </x:c>
      <x:c r="H433" s="151" t="str">
        <x:f>IFERROR(VLOOKUP(F433,'Base Sectores'!$A$5:$J$47,3,FALSE),"")</x:f>
      </x:c>
      <x:c r="I433" s="151" t="str">
        <x:f>IFERROR(VLOOKUP(F433,'Base Sectores'!$A$5:$J$47,4,FALSE),"")</x:f>
      </x:c>
      <x:c r="J433" s="151" t="str">
        <x:f>IFERROR(VLOOKUP(F433,'Base Sectores'!$A$5:$J$47,5,FALSE),"")</x:f>
      </x:c>
      <x:c r="K433" s="151" t="str">
        <x:f>IFERROR(VLOOKUP(F433,'Base Sectores'!$A$5:$J$47,6,FALSE),"")</x:f>
      </x:c>
      <x:c r="L433" s="151" t="str">
        <x:f>IFERROR(VLOOKUP(F433,'Base Sectores'!$A$5:$J$47,7,FALSE),"")</x:f>
      </x:c>
      <x:c r="M433" s="151" t="str">
        <x:f>IFERROR(VLOOKUP(F433,'Base Sectores'!$A$5:$J$47,9,FALSE),"")</x:f>
      </x:c>
      <x:c r="N433" s="154"/>
      <x:c r="O433" s="151" t="str">
        <x:f>IFERROR(VLOOKUP(N433,'Configuracion'!$D$4:$H$15,2,FALSE),"")</x:f>
      </x:c>
      <x:c r="P433" s="151" t="str">
        <x:f>IFERROR(VLOOKUP(N433,'Configuracion'!$D$4:$H$15,3,FALSE),"")</x:f>
      </x:c>
      <x:c r="Q433" s="155"/>
      <x:c r="R433" s="156" t="str">
        <x:f>IFERROR(VLOOKUP(N433,'Configuracion'!$D$4:$H$15,4,FALSE),"")</x:f>
      </x:c>
      <x:c r="S433" s="153"/>
      <x:c r="T433" s="153"/>
      <x:c r="U433" s="156" t="str">
        <x:f>IF(OR(S433="",T433=""),"",MOD(T433-S433,1)*24)</x:f>
      </x:c>
      <x:c r="V433" s="154"/>
      <x:c r="W433" s="154"/>
      <x:c r="X433" s="151" t="str">
        <x:f>IFERROR(VLOOKUP(N433,'Configuracion'!$D$4:$H$15,5,FALSE),"")</x:f>
      </x:c>
      <x:c r="Y433" s="151" t="str">
        <x:f>IFERROR(VLOOKUP(V433,'Cuadrillas'!$A$5:$J$14,2,FALSE),"")</x:f>
      </x:c>
      <x:c r="Z433" s="154"/>
      <x:c r="AA433" s="154"/>
      <x:c r="AB433" s="154"/>
      <x:c r="AC433" s="153"/>
      <x:c r="AD433" s="153"/>
      <x:c r="AE433" s="156" t="str">
        <x:f>IF(OR(AC433="",AD433=""),"",MOD(AD433-AC433,1)*24)</x:f>
      </x:c>
      <x:c r="AF433" s="154"/>
      <x:c r="AG433" s="156" t="str">
        <x:f>IF(AE433="","",MAX(0,AE433-IF(AF433="",0,AF433/60)))</x:f>
      </x:c>
      <x:c r="AH433" s="155"/>
      <x:c r="AI433" s="154"/>
      <x:c r="AJ433" s="154"/>
      <x:c r="AK433" s="156" t="n">
        <x:f>IFERROR(U433*W433,"")</x:f>
        <x:v>0</x:v>
      </x:c>
      <x:c r="AL433" s="156" t="n">
        <x:f>IFERROR(AE433*AI433,"")</x:f>
        <x:v>0</x:v>
      </x:c>
      <x:c r="AM433" s="157" t="str">
        <x:f>IFERROR(AH433/Q433,"")</x:f>
      </x:c>
      <x:c r="AN433" s="156" t="str">
        <x:f>IFERROR(AH433/AG433,"")</x:f>
      </x:c>
      <x:c r="AO433" s="156" t="str">
        <x:f>IFERROR(AL433/AH433,"")</x:f>
      </x:c>
      <x:c r="AP433" s="157" t="str">
        <x:f>IFERROR(AG433/AE433,"")</x:f>
      </x:c>
      <x:c r="AQ433" s="157" t="str">
        <x:f>IFERROR(AN433/(R433/'Configuracion'!$B$13),"")</x:f>
      </x:c>
      <x:c r="AR433" s="156" t="n">
        <x:f>IFERROR(AE433-U433,"")</x:f>
        <x:v>0</x:v>
      </x:c>
      <x:c r="AS433" s="154"/>
      <x:c r="AT433" s="154"/>
      <x:c r="AU433" s="154"/>
      <x:c r="AV433" s="154"/>
      <x:c r="AW433" s="152"/>
      <x:c r="AX433" s="154"/>
      <x:c r="AY433" s="154"/>
      <x:c r="AZ433" s="151"/>
      <x:c r="BA433" s="151"/>
    </x:row>
    <x:row r="434">
      <x:c r="A434" s="151" t="str">
        <x:f>IF(B434="","",TEXT(B434,"yyyymmdd")&amp;"-"&amp;TEXT(COUNTIF($B$5:B434,B434),"000"))</x:f>
      </x:c>
      <x:c r="B434" s="152"/>
      <x:c r="C434" s="153"/>
      <x:c r="D434" s="151" t="str">
        <x:f>IF(B434="","",'Configuracion'!$B$4)</x:f>
      </x:c>
      <x:c r="E434" s="154"/>
      <x:c r="F434" s="154"/>
      <x:c r="G434" s="151" t="str">
        <x:f>IFERROR(VLOOKUP(F434,'Base Sectores'!$A$5:$J$47,2,FALSE),"")</x:f>
      </x:c>
      <x:c r="H434" s="151" t="str">
        <x:f>IFERROR(VLOOKUP(F434,'Base Sectores'!$A$5:$J$47,3,FALSE),"")</x:f>
      </x:c>
      <x:c r="I434" s="151" t="str">
        <x:f>IFERROR(VLOOKUP(F434,'Base Sectores'!$A$5:$J$47,4,FALSE),"")</x:f>
      </x:c>
      <x:c r="J434" s="151" t="str">
        <x:f>IFERROR(VLOOKUP(F434,'Base Sectores'!$A$5:$J$47,5,FALSE),"")</x:f>
      </x:c>
      <x:c r="K434" s="151" t="str">
        <x:f>IFERROR(VLOOKUP(F434,'Base Sectores'!$A$5:$J$47,6,FALSE),"")</x:f>
      </x:c>
      <x:c r="L434" s="151" t="str">
        <x:f>IFERROR(VLOOKUP(F434,'Base Sectores'!$A$5:$J$47,7,FALSE),"")</x:f>
      </x:c>
      <x:c r="M434" s="151" t="str">
        <x:f>IFERROR(VLOOKUP(F434,'Base Sectores'!$A$5:$J$47,9,FALSE),"")</x:f>
      </x:c>
      <x:c r="N434" s="154"/>
      <x:c r="O434" s="151" t="str">
        <x:f>IFERROR(VLOOKUP(N434,'Configuracion'!$D$4:$H$15,2,FALSE),"")</x:f>
      </x:c>
      <x:c r="P434" s="151" t="str">
        <x:f>IFERROR(VLOOKUP(N434,'Configuracion'!$D$4:$H$15,3,FALSE),"")</x:f>
      </x:c>
      <x:c r="Q434" s="155"/>
      <x:c r="R434" s="156" t="str">
        <x:f>IFERROR(VLOOKUP(N434,'Configuracion'!$D$4:$H$15,4,FALSE),"")</x:f>
      </x:c>
      <x:c r="S434" s="153"/>
      <x:c r="T434" s="153"/>
      <x:c r="U434" s="156" t="str">
        <x:f>IF(OR(S434="",T434=""),"",MOD(T434-S434,1)*24)</x:f>
      </x:c>
      <x:c r="V434" s="154"/>
      <x:c r="W434" s="154"/>
      <x:c r="X434" s="151" t="str">
        <x:f>IFERROR(VLOOKUP(N434,'Configuracion'!$D$4:$H$15,5,FALSE),"")</x:f>
      </x:c>
      <x:c r="Y434" s="151" t="str">
        <x:f>IFERROR(VLOOKUP(V434,'Cuadrillas'!$A$5:$J$14,2,FALSE),"")</x:f>
      </x:c>
      <x:c r="Z434" s="154"/>
      <x:c r="AA434" s="154"/>
      <x:c r="AB434" s="154"/>
      <x:c r="AC434" s="153"/>
      <x:c r="AD434" s="153"/>
      <x:c r="AE434" s="156" t="str">
        <x:f>IF(OR(AC434="",AD434=""),"",MOD(AD434-AC434,1)*24)</x:f>
      </x:c>
      <x:c r="AF434" s="154"/>
      <x:c r="AG434" s="156" t="str">
        <x:f>IF(AE434="","",MAX(0,AE434-IF(AF434="",0,AF434/60)))</x:f>
      </x:c>
      <x:c r="AH434" s="155"/>
      <x:c r="AI434" s="154"/>
      <x:c r="AJ434" s="154"/>
      <x:c r="AK434" s="156" t="n">
        <x:f>IFERROR(U434*W434,"")</x:f>
        <x:v>0</x:v>
      </x:c>
      <x:c r="AL434" s="156" t="n">
        <x:f>IFERROR(AE434*AI434,"")</x:f>
        <x:v>0</x:v>
      </x:c>
      <x:c r="AM434" s="157" t="str">
        <x:f>IFERROR(AH434/Q434,"")</x:f>
      </x:c>
      <x:c r="AN434" s="156" t="str">
        <x:f>IFERROR(AH434/AG434,"")</x:f>
      </x:c>
      <x:c r="AO434" s="156" t="str">
        <x:f>IFERROR(AL434/AH434,"")</x:f>
      </x:c>
      <x:c r="AP434" s="157" t="str">
        <x:f>IFERROR(AG434/AE434,"")</x:f>
      </x:c>
      <x:c r="AQ434" s="157" t="str">
        <x:f>IFERROR(AN434/(R434/'Configuracion'!$B$13),"")</x:f>
      </x:c>
      <x:c r="AR434" s="156" t="n">
        <x:f>IFERROR(AE434-U434,"")</x:f>
        <x:v>0</x:v>
      </x:c>
      <x:c r="AS434" s="154"/>
      <x:c r="AT434" s="154"/>
      <x:c r="AU434" s="154"/>
      <x:c r="AV434" s="154"/>
      <x:c r="AW434" s="152"/>
      <x:c r="AX434" s="154"/>
      <x:c r="AY434" s="154"/>
      <x:c r="AZ434" s="151"/>
      <x:c r="BA434" s="151"/>
    </x:row>
    <x:row r="435">
      <x:c r="A435" s="151" t="str">
        <x:f>IF(B435="","",TEXT(B435,"yyyymmdd")&amp;"-"&amp;TEXT(COUNTIF($B$5:B435,B435),"000"))</x:f>
      </x:c>
      <x:c r="B435" s="152"/>
      <x:c r="C435" s="153"/>
      <x:c r="D435" s="151" t="str">
        <x:f>IF(B435="","",'Configuracion'!$B$4)</x:f>
      </x:c>
      <x:c r="E435" s="154"/>
      <x:c r="F435" s="154"/>
      <x:c r="G435" s="151" t="str">
        <x:f>IFERROR(VLOOKUP(F435,'Base Sectores'!$A$5:$J$47,2,FALSE),"")</x:f>
      </x:c>
      <x:c r="H435" s="151" t="str">
        <x:f>IFERROR(VLOOKUP(F435,'Base Sectores'!$A$5:$J$47,3,FALSE),"")</x:f>
      </x:c>
      <x:c r="I435" s="151" t="str">
        <x:f>IFERROR(VLOOKUP(F435,'Base Sectores'!$A$5:$J$47,4,FALSE),"")</x:f>
      </x:c>
      <x:c r="J435" s="151" t="str">
        <x:f>IFERROR(VLOOKUP(F435,'Base Sectores'!$A$5:$J$47,5,FALSE),"")</x:f>
      </x:c>
      <x:c r="K435" s="151" t="str">
        <x:f>IFERROR(VLOOKUP(F435,'Base Sectores'!$A$5:$J$47,6,FALSE),"")</x:f>
      </x:c>
      <x:c r="L435" s="151" t="str">
        <x:f>IFERROR(VLOOKUP(F435,'Base Sectores'!$A$5:$J$47,7,FALSE),"")</x:f>
      </x:c>
      <x:c r="M435" s="151" t="str">
        <x:f>IFERROR(VLOOKUP(F435,'Base Sectores'!$A$5:$J$47,9,FALSE),"")</x:f>
      </x:c>
      <x:c r="N435" s="154"/>
      <x:c r="O435" s="151" t="str">
        <x:f>IFERROR(VLOOKUP(N435,'Configuracion'!$D$4:$H$15,2,FALSE),"")</x:f>
      </x:c>
      <x:c r="P435" s="151" t="str">
        <x:f>IFERROR(VLOOKUP(N435,'Configuracion'!$D$4:$H$15,3,FALSE),"")</x:f>
      </x:c>
      <x:c r="Q435" s="155"/>
      <x:c r="R435" s="156" t="str">
        <x:f>IFERROR(VLOOKUP(N435,'Configuracion'!$D$4:$H$15,4,FALSE),"")</x:f>
      </x:c>
      <x:c r="S435" s="153"/>
      <x:c r="T435" s="153"/>
      <x:c r="U435" s="156" t="str">
        <x:f>IF(OR(S435="",T435=""),"",MOD(T435-S435,1)*24)</x:f>
      </x:c>
      <x:c r="V435" s="154"/>
      <x:c r="W435" s="154"/>
      <x:c r="X435" s="151" t="str">
        <x:f>IFERROR(VLOOKUP(N435,'Configuracion'!$D$4:$H$15,5,FALSE),"")</x:f>
      </x:c>
      <x:c r="Y435" s="151" t="str">
        <x:f>IFERROR(VLOOKUP(V435,'Cuadrillas'!$A$5:$J$14,2,FALSE),"")</x:f>
      </x:c>
      <x:c r="Z435" s="154"/>
      <x:c r="AA435" s="154"/>
      <x:c r="AB435" s="154"/>
      <x:c r="AC435" s="153"/>
      <x:c r="AD435" s="153"/>
      <x:c r="AE435" s="156" t="str">
        <x:f>IF(OR(AC435="",AD435=""),"",MOD(AD435-AC435,1)*24)</x:f>
      </x:c>
      <x:c r="AF435" s="154"/>
      <x:c r="AG435" s="156" t="str">
        <x:f>IF(AE435="","",MAX(0,AE435-IF(AF435="",0,AF435/60)))</x:f>
      </x:c>
      <x:c r="AH435" s="155"/>
      <x:c r="AI435" s="154"/>
      <x:c r="AJ435" s="154"/>
      <x:c r="AK435" s="156" t="n">
        <x:f>IFERROR(U435*W435,"")</x:f>
        <x:v>0</x:v>
      </x:c>
      <x:c r="AL435" s="156" t="n">
        <x:f>IFERROR(AE435*AI435,"")</x:f>
        <x:v>0</x:v>
      </x:c>
      <x:c r="AM435" s="157" t="str">
        <x:f>IFERROR(AH435/Q435,"")</x:f>
      </x:c>
      <x:c r="AN435" s="156" t="str">
        <x:f>IFERROR(AH435/AG435,"")</x:f>
      </x:c>
      <x:c r="AO435" s="156" t="str">
        <x:f>IFERROR(AL435/AH435,"")</x:f>
      </x:c>
      <x:c r="AP435" s="157" t="str">
        <x:f>IFERROR(AG435/AE435,"")</x:f>
      </x:c>
      <x:c r="AQ435" s="157" t="str">
        <x:f>IFERROR(AN435/(R435/'Configuracion'!$B$13),"")</x:f>
      </x:c>
      <x:c r="AR435" s="156" t="n">
        <x:f>IFERROR(AE435-U435,"")</x:f>
        <x:v>0</x:v>
      </x:c>
      <x:c r="AS435" s="154"/>
      <x:c r="AT435" s="154"/>
      <x:c r="AU435" s="154"/>
      <x:c r="AV435" s="154"/>
      <x:c r="AW435" s="152"/>
      <x:c r="AX435" s="154"/>
      <x:c r="AY435" s="154"/>
      <x:c r="AZ435" s="151"/>
      <x:c r="BA435" s="151"/>
    </x:row>
    <x:row r="436">
      <x:c r="A436" s="151" t="str">
        <x:f>IF(B436="","",TEXT(B436,"yyyymmdd")&amp;"-"&amp;TEXT(COUNTIF($B$5:B436,B436),"000"))</x:f>
      </x:c>
      <x:c r="B436" s="152"/>
      <x:c r="C436" s="153"/>
      <x:c r="D436" s="151" t="str">
        <x:f>IF(B436="","",'Configuracion'!$B$4)</x:f>
      </x:c>
      <x:c r="E436" s="154"/>
      <x:c r="F436" s="154"/>
      <x:c r="G436" s="151" t="str">
        <x:f>IFERROR(VLOOKUP(F436,'Base Sectores'!$A$5:$J$47,2,FALSE),"")</x:f>
      </x:c>
      <x:c r="H436" s="151" t="str">
        <x:f>IFERROR(VLOOKUP(F436,'Base Sectores'!$A$5:$J$47,3,FALSE),"")</x:f>
      </x:c>
      <x:c r="I436" s="151" t="str">
        <x:f>IFERROR(VLOOKUP(F436,'Base Sectores'!$A$5:$J$47,4,FALSE),"")</x:f>
      </x:c>
      <x:c r="J436" s="151" t="str">
        <x:f>IFERROR(VLOOKUP(F436,'Base Sectores'!$A$5:$J$47,5,FALSE),"")</x:f>
      </x:c>
      <x:c r="K436" s="151" t="str">
        <x:f>IFERROR(VLOOKUP(F436,'Base Sectores'!$A$5:$J$47,6,FALSE),"")</x:f>
      </x:c>
      <x:c r="L436" s="151" t="str">
        <x:f>IFERROR(VLOOKUP(F436,'Base Sectores'!$A$5:$J$47,7,FALSE),"")</x:f>
      </x:c>
      <x:c r="M436" s="151" t="str">
        <x:f>IFERROR(VLOOKUP(F436,'Base Sectores'!$A$5:$J$47,9,FALSE),"")</x:f>
      </x:c>
      <x:c r="N436" s="154"/>
      <x:c r="O436" s="151" t="str">
        <x:f>IFERROR(VLOOKUP(N436,'Configuracion'!$D$4:$H$15,2,FALSE),"")</x:f>
      </x:c>
      <x:c r="P436" s="151" t="str">
        <x:f>IFERROR(VLOOKUP(N436,'Configuracion'!$D$4:$H$15,3,FALSE),"")</x:f>
      </x:c>
      <x:c r="Q436" s="155"/>
      <x:c r="R436" s="156" t="str">
        <x:f>IFERROR(VLOOKUP(N436,'Configuracion'!$D$4:$H$15,4,FALSE),"")</x:f>
      </x:c>
      <x:c r="S436" s="153"/>
      <x:c r="T436" s="153"/>
      <x:c r="U436" s="156" t="str">
        <x:f>IF(OR(S436="",T436=""),"",MOD(T436-S436,1)*24)</x:f>
      </x:c>
      <x:c r="V436" s="154"/>
      <x:c r="W436" s="154"/>
      <x:c r="X436" s="151" t="str">
        <x:f>IFERROR(VLOOKUP(N436,'Configuracion'!$D$4:$H$15,5,FALSE),"")</x:f>
      </x:c>
      <x:c r="Y436" s="151" t="str">
        <x:f>IFERROR(VLOOKUP(V436,'Cuadrillas'!$A$5:$J$14,2,FALSE),"")</x:f>
      </x:c>
      <x:c r="Z436" s="154"/>
      <x:c r="AA436" s="154"/>
      <x:c r="AB436" s="154"/>
      <x:c r="AC436" s="153"/>
      <x:c r="AD436" s="153"/>
      <x:c r="AE436" s="156" t="str">
        <x:f>IF(OR(AC436="",AD436=""),"",MOD(AD436-AC436,1)*24)</x:f>
      </x:c>
      <x:c r="AF436" s="154"/>
      <x:c r="AG436" s="156" t="str">
        <x:f>IF(AE436="","",MAX(0,AE436-IF(AF436="",0,AF436/60)))</x:f>
      </x:c>
      <x:c r="AH436" s="155"/>
      <x:c r="AI436" s="154"/>
      <x:c r="AJ436" s="154"/>
      <x:c r="AK436" s="156" t="n">
        <x:f>IFERROR(U436*W436,"")</x:f>
        <x:v>0</x:v>
      </x:c>
      <x:c r="AL436" s="156" t="n">
        <x:f>IFERROR(AE436*AI436,"")</x:f>
        <x:v>0</x:v>
      </x:c>
      <x:c r="AM436" s="157" t="str">
        <x:f>IFERROR(AH436/Q436,"")</x:f>
      </x:c>
      <x:c r="AN436" s="156" t="str">
        <x:f>IFERROR(AH436/AG436,"")</x:f>
      </x:c>
      <x:c r="AO436" s="156" t="str">
        <x:f>IFERROR(AL436/AH436,"")</x:f>
      </x:c>
      <x:c r="AP436" s="157" t="str">
        <x:f>IFERROR(AG436/AE436,"")</x:f>
      </x:c>
      <x:c r="AQ436" s="157" t="str">
        <x:f>IFERROR(AN436/(R436/'Configuracion'!$B$13),"")</x:f>
      </x:c>
      <x:c r="AR436" s="156" t="n">
        <x:f>IFERROR(AE436-U436,"")</x:f>
        <x:v>0</x:v>
      </x:c>
      <x:c r="AS436" s="154"/>
      <x:c r="AT436" s="154"/>
      <x:c r="AU436" s="154"/>
      <x:c r="AV436" s="154"/>
      <x:c r="AW436" s="152"/>
      <x:c r="AX436" s="154"/>
      <x:c r="AY436" s="154"/>
      <x:c r="AZ436" s="151"/>
      <x:c r="BA436" s="151"/>
    </x:row>
    <x:row r="437">
      <x:c r="A437" s="151" t="str">
        <x:f>IF(B437="","",TEXT(B437,"yyyymmdd")&amp;"-"&amp;TEXT(COUNTIF($B$5:B437,B437),"000"))</x:f>
      </x:c>
      <x:c r="B437" s="152"/>
      <x:c r="C437" s="153"/>
      <x:c r="D437" s="151" t="str">
        <x:f>IF(B437="","",'Configuracion'!$B$4)</x:f>
      </x:c>
      <x:c r="E437" s="154"/>
      <x:c r="F437" s="154"/>
      <x:c r="G437" s="151" t="str">
        <x:f>IFERROR(VLOOKUP(F437,'Base Sectores'!$A$5:$J$47,2,FALSE),"")</x:f>
      </x:c>
      <x:c r="H437" s="151" t="str">
        <x:f>IFERROR(VLOOKUP(F437,'Base Sectores'!$A$5:$J$47,3,FALSE),"")</x:f>
      </x:c>
      <x:c r="I437" s="151" t="str">
        <x:f>IFERROR(VLOOKUP(F437,'Base Sectores'!$A$5:$J$47,4,FALSE),"")</x:f>
      </x:c>
      <x:c r="J437" s="151" t="str">
        <x:f>IFERROR(VLOOKUP(F437,'Base Sectores'!$A$5:$J$47,5,FALSE),"")</x:f>
      </x:c>
      <x:c r="K437" s="151" t="str">
        <x:f>IFERROR(VLOOKUP(F437,'Base Sectores'!$A$5:$J$47,6,FALSE),"")</x:f>
      </x:c>
      <x:c r="L437" s="151" t="str">
        <x:f>IFERROR(VLOOKUP(F437,'Base Sectores'!$A$5:$J$47,7,FALSE),"")</x:f>
      </x:c>
      <x:c r="M437" s="151" t="str">
        <x:f>IFERROR(VLOOKUP(F437,'Base Sectores'!$A$5:$J$47,9,FALSE),"")</x:f>
      </x:c>
      <x:c r="N437" s="154"/>
      <x:c r="O437" s="151" t="str">
        <x:f>IFERROR(VLOOKUP(N437,'Configuracion'!$D$4:$H$15,2,FALSE),"")</x:f>
      </x:c>
      <x:c r="P437" s="151" t="str">
        <x:f>IFERROR(VLOOKUP(N437,'Configuracion'!$D$4:$H$15,3,FALSE),"")</x:f>
      </x:c>
      <x:c r="Q437" s="155"/>
      <x:c r="R437" s="156" t="str">
        <x:f>IFERROR(VLOOKUP(N437,'Configuracion'!$D$4:$H$15,4,FALSE),"")</x:f>
      </x:c>
      <x:c r="S437" s="153"/>
      <x:c r="T437" s="153"/>
      <x:c r="U437" s="156" t="str">
        <x:f>IF(OR(S437="",T437=""),"",MOD(T437-S437,1)*24)</x:f>
      </x:c>
      <x:c r="V437" s="154"/>
      <x:c r="W437" s="154"/>
      <x:c r="X437" s="151" t="str">
        <x:f>IFERROR(VLOOKUP(N437,'Configuracion'!$D$4:$H$15,5,FALSE),"")</x:f>
      </x:c>
      <x:c r="Y437" s="151" t="str">
        <x:f>IFERROR(VLOOKUP(V437,'Cuadrillas'!$A$5:$J$14,2,FALSE),"")</x:f>
      </x:c>
      <x:c r="Z437" s="154"/>
      <x:c r="AA437" s="154"/>
      <x:c r="AB437" s="154"/>
      <x:c r="AC437" s="153"/>
      <x:c r="AD437" s="153"/>
      <x:c r="AE437" s="156" t="str">
        <x:f>IF(OR(AC437="",AD437=""),"",MOD(AD437-AC437,1)*24)</x:f>
      </x:c>
      <x:c r="AF437" s="154"/>
      <x:c r="AG437" s="156" t="str">
        <x:f>IF(AE437="","",MAX(0,AE437-IF(AF437="",0,AF437/60)))</x:f>
      </x:c>
      <x:c r="AH437" s="155"/>
      <x:c r="AI437" s="154"/>
      <x:c r="AJ437" s="154"/>
      <x:c r="AK437" s="156" t="n">
        <x:f>IFERROR(U437*W437,"")</x:f>
        <x:v>0</x:v>
      </x:c>
      <x:c r="AL437" s="156" t="n">
        <x:f>IFERROR(AE437*AI437,"")</x:f>
        <x:v>0</x:v>
      </x:c>
      <x:c r="AM437" s="157" t="str">
        <x:f>IFERROR(AH437/Q437,"")</x:f>
      </x:c>
      <x:c r="AN437" s="156" t="str">
        <x:f>IFERROR(AH437/AG437,"")</x:f>
      </x:c>
      <x:c r="AO437" s="156" t="str">
        <x:f>IFERROR(AL437/AH437,"")</x:f>
      </x:c>
      <x:c r="AP437" s="157" t="str">
        <x:f>IFERROR(AG437/AE437,"")</x:f>
      </x:c>
      <x:c r="AQ437" s="157" t="str">
        <x:f>IFERROR(AN437/(R437/'Configuracion'!$B$13),"")</x:f>
      </x:c>
      <x:c r="AR437" s="156" t="n">
        <x:f>IFERROR(AE437-U437,"")</x:f>
        <x:v>0</x:v>
      </x:c>
      <x:c r="AS437" s="154"/>
      <x:c r="AT437" s="154"/>
      <x:c r="AU437" s="154"/>
      <x:c r="AV437" s="154"/>
      <x:c r="AW437" s="152"/>
      <x:c r="AX437" s="154"/>
      <x:c r="AY437" s="154"/>
      <x:c r="AZ437" s="151"/>
      <x:c r="BA437" s="151"/>
    </x:row>
    <x:row r="438">
      <x:c r="A438" s="151" t="str">
        <x:f>IF(B438="","",TEXT(B438,"yyyymmdd")&amp;"-"&amp;TEXT(COUNTIF($B$5:B438,B438),"000"))</x:f>
      </x:c>
      <x:c r="B438" s="152"/>
      <x:c r="C438" s="153"/>
      <x:c r="D438" s="151" t="str">
        <x:f>IF(B438="","",'Configuracion'!$B$4)</x:f>
      </x:c>
      <x:c r="E438" s="154"/>
      <x:c r="F438" s="154"/>
      <x:c r="G438" s="151" t="str">
        <x:f>IFERROR(VLOOKUP(F438,'Base Sectores'!$A$5:$J$47,2,FALSE),"")</x:f>
      </x:c>
      <x:c r="H438" s="151" t="str">
        <x:f>IFERROR(VLOOKUP(F438,'Base Sectores'!$A$5:$J$47,3,FALSE),"")</x:f>
      </x:c>
      <x:c r="I438" s="151" t="str">
        <x:f>IFERROR(VLOOKUP(F438,'Base Sectores'!$A$5:$J$47,4,FALSE),"")</x:f>
      </x:c>
      <x:c r="J438" s="151" t="str">
        <x:f>IFERROR(VLOOKUP(F438,'Base Sectores'!$A$5:$J$47,5,FALSE),"")</x:f>
      </x:c>
      <x:c r="K438" s="151" t="str">
        <x:f>IFERROR(VLOOKUP(F438,'Base Sectores'!$A$5:$J$47,6,FALSE),"")</x:f>
      </x:c>
      <x:c r="L438" s="151" t="str">
        <x:f>IFERROR(VLOOKUP(F438,'Base Sectores'!$A$5:$J$47,7,FALSE),"")</x:f>
      </x:c>
      <x:c r="M438" s="151" t="str">
        <x:f>IFERROR(VLOOKUP(F438,'Base Sectores'!$A$5:$J$47,9,FALSE),"")</x:f>
      </x:c>
      <x:c r="N438" s="154"/>
      <x:c r="O438" s="151" t="str">
        <x:f>IFERROR(VLOOKUP(N438,'Configuracion'!$D$4:$H$15,2,FALSE),"")</x:f>
      </x:c>
      <x:c r="P438" s="151" t="str">
        <x:f>IFERROR(VLOOKUP(N438,'Configuracion'!$D$4:$H$15,3,FALSE),"")</x:f>
      </x:c>
      <x:c r="Q438" s="155"/>
      <x:c r="R438" s="156" t="str">
        <x:f>IFERROR(VLOOKUP(N438,'Configuracion'!$D$4:$H$15,4,FALSE),"")</x:f>
      </x:c>
      <x:c r="S438" s="153"/>
      <x:c r="T438" s="153"/>
      <x:c r="U438" s="156" t="str">
        <x:f>IF(OR(S438="",T438=""),"",MOD(T438-S438,1)*24)</x:f>
      </x:c>
      <x:c r="V438" s="154"/>
      <x:c r="W438" s="154"/>
      <x:c r="X438" s="151" t="str">
        <x:f>IFERROR(VLOOKUP(N438,'Configuracion'!$D$4:$H$15,5,FALSE),"")</x:f>
      </x:c>
      <x:c r="Y438" s="151" t="str">
        <x:f>IFERROR(VLOOKUP(V438,'Cuadrillas'!$A$5:$J$14,2,FALSE),"")</x:f>
      </x:c>
      <x:c r="Z438" s="154"/>
      <x:c r="AA438" s="154"/>
      <x:c r="AB438" s="154"/>
      <x:c r="AC438" s="153"/>
      <x:c r="AD438" s="153"/>
      <x:c r="AE438" s="156" t="str">
        <x:f>IF(OR(AC438="",AD438=""),"",MOD(AD438-AC438,1)*24)</x:f>
      </x:c>
      <x:c r="AF438" s="154"/>
      <x:c r="AG438" s="156" t="str">
        <x:f>IF(AE438="","",MAX(0,AE438-IF(AF438="",0,AF438/60)))</x:f>
      </x:c>
      <x:c r="AH438" s="155"/>
      <x:c r="AI438" s="154"/>
      <x:c r="AJ438" s="154"/>
      <x:c r="AK438" s="156" t="n">
        <x:f>IFERROR(U438*W438,"")</x:f>
        <x:v>0</x:v>
      </x:c>
      <x:c r="AL438" s="156" t="n">
        <x:f>IFERROR(AE438*AI438,"")</x:f>
        <x:v>0</x:v>
      </x:c>
      <x:c r="AM438" s="157" t="str">
        <x:f>IFERROR(AH438/Q438,"")</x:f>
      </x:c>
      <x:c r="AN438" s="156" t="str">
        <x:f>IFERROR(AH438/AG438,"")</x:f>
      </x:c>
      <x:c r="AO438" s="156" t="str">
        <x:f>IFERROR(AL438/AH438,"")</x:f>
      </x:c>
      <x:c r="AP438" s="157" t="str">
        <x:f>IFERROR(AG438/AE438,"")</x:f>
      </x:c>
      <x:c r="AQ438" s="157" t="str">
        <x:f>IFERROR(AN438/(R438/'Configuracion'!$B$13),"")</x:f>
      </x:c>
      <x:c r="AR438" s="156" t="n">
        <x:f>IFERROR(AE438-U438,"")</x:f>
        <x:v>0</x:v>
      </x:c>
      <x:c r="AS438" s="154"/>
      <x:c r="AT438" s="154"/>
      <x:c r="AU438" s="154"/>
      <x:c r="AV438" s="154"/>
      <x:c r="AW438" s="152"/>
      <x:c r="AX438" s="154"/>
      <x:c r="AY438" s="154"/>
      <x:c r="AZ438" s="151"/>
      <x:c r="BA438" s="151"/>
    </x:row>
    <x:row r="439">
      <x:c r="A439" s="151" t="str">
        <x:f>IF(B439="","",TEXT(B439,"yyyymmdd")&amp;"-"&amp;TEXT(COUNTIF($B$5:B439,B439),"000"))</x:f>
      </x:c>
      <x:c r="B439" s="152"/>
      <x:c r="C439" s="153"/>
      <x:c r="D439" s="151" t="str">
        <x:f>IF(B439="","",'Configuracion'!$B$4)</x:f>
      </x:c>
      <x:c r="E439" s="154"/>
      <x:c r="F439" s="154"/>
      <x:c r="G439" s="151" t="str">
        <x:f>IFERROR(VLOOKUP(F439,'Base Sectores'!$A$5:$J$47,2,FALSE),"")</x:f>
      </x:c>
      <x:c r="H439" s="151" t="str">
        <x:f>IFERROR(VLOOKUP(F439,'Base Sectores'!$A$5:$J$47,3,FALSE),"")</x:f>
      </x:c>
      <x:c r="I439" s="151" t="str">
        <x:f>IFERROR(VLOOKUP(F439,'Base Sectores'!$A$5:$J$47,4,FALSE),"")</x:f>
      </x:c>
      <x:c r="J439" s="151" t="str">
        <x:f>IFERROR(VLOOKUP(F439,'Base Sectores'!$A$5:$J$47,5,FALSE),"")</x:f>
      </x:c>
      <x:c r="K439" s="151" t="str">
        <x:f>IFERROR(VLOOKUP(F439,'Base Sectores'!$A$5:$J$47,6,FALSE),"")</x:f>
      </x:c>
      <x:c r="L439" s="151" t="str">
        <x:f>IFERROR(VLOOKUP(F439,'Base Sectores'!$A$5:$J$47,7,FALSE),"")</x:f>
      </x:c>
      <x:c r="M439" s="151" t="str">
        <x:f>IFERROR(VLOOKUP(F439,'Base Sectores'!$A$5:$J$47,9,FALSE),"")</x:f>
      </x:c>
      <x:c r="N439" s="154"/>
      <x:c r="O439" s="151" t="str">
        <x:f>IFERROR(VLOOKUP(N439,'Configuracion'!$D$4:$H$15,2,FALSE),"")</x:f>
      </x:c>
      <x:c r="P439" s="151" t="str">
        <x:f>IFERROR(VLOOKUP(N439,'Configuracion'!$D$4:$H$15,3,FALSE),"")</x:f>
      </x:c>
      <x:c r="Q439" s="155"/>
      <x:c r="R439" s="156" t="str">
        <x:f>IFERROR(VLOOKUP(N439,'Configuracion'!$D$4:$H$15,4,FALSE),"")</x:f>
      </x:c>
      <x:c r="S439" s="153"/>
      <x:c r="T439" s="153"/>
      <x:c r="U439" s="156" t="str">
        <x:f>IF(OR(S439="",T439=""),"",MOD(T439-S439,1)*24)</x:f>
      </x:c>
      <x:c r="V439" s="154"/>
      <x:c r="W439" s="154"/>
      <x:c r="X439" s="151" t="str">
        <x:f>IFERROR(VLOOKUP(N439,'Configuracion'!$D$4:$H$15,5,FALSE),"")</x:f>
      </x:c>
      <x:c r="Y439" s="151" t="str">
        <x:f>IFERROR(VLOOKUP(V439,'Cuadrillas'!$A$5:$J$14,2,FALSE),"")</x:f>
      </x:c>
      <x:c r="Z439" s="154"/>
      <x:c r="AA439" s="154"/>
      <x:c r="AB439" s="154"/>
      <x:c r="AC439" s="153"/>
      <x:c r="AD439" s="153"/>
      <x:c r="AE439" s="156" t="str">
        <x:f>IF(OR(AC439="",AD439=""),"",MOD(AD439-AC439,1)*24)</x:f>
      </x:c>
      <x:c r="AF439" s="154"/>
      <x:c r="AG439" s="156" t="str">
        <x:f>IF(AE439="","",MAX(0,AE439-IF(AF439="",0,AF439/60)))</x:f>
      </x:c>
      <x:c r="AH439" s="155"/>
      <x:c r="AI439" s="154"/>
      <x:c r="AJ439" s="154"/>
      <x:c r="AK439" s="156" t="n">
        <x:f>IFERROR(U439*W439,"")</x:f>
        <x:v>0</x:v>
      </x:c>
      <x:c r="AL439" s="156" t="n">
        <x:f>IFERROR(AE439*AI439,"")</x:f>
        <x:v>0</x:v>
      </x:c>
      <x:c r="AM439" s="157" t="str">
        <x:f>IFERROR(AH439/Q439,"")</x:f>
      </x:c>
      <x:c r="AN439" s="156" t="str">
        <x:f>IFERROR(AH439/AG439,"")</x:f>
      </x:c>
      <x:c r="AO439" s="156" t="str">
        <x:f>IFERROR(AL439/AH439,"")</x:f>
      </x:c>
      <x:c r="AP439" s="157" t="str">
        <x:f>IFERROR(AG439/AE439,"")</x:f>
      </x:c>
      <x:c r="AQ439" s="157" t="str">
        <x:f>IFERROR(AN439/(R439/'Configuracion'!$B$13),"")</x:f>
      </x:c>
      <x:c r="AR439" s="156" t="n">
        <x:f>IFERROR(AE439-U439,"")</x:f>
        <x:v>0</x:v>
      </x:c>
      <x:c r="AS439" s="154"/>
      <x:c r="AT439" s="154"/>
      <x:c r="AU439" s="154"/>
      <x:c r="AV439" s="154"/>
      <x:c r="AW439" s="152"/>
      <x:c r="AX439" s="154"/>
      <x:c r="AY439" s="154"/>
      <x:c r="AZ439" s="151"/>
      <x:c r="BA439" s="151"/>
    </x:row>
    <x:row r="440">
      <x:c r="A440" s="151" t="str">
        <x:f>IF(B440="","",TEXT(B440,"yyyymmdd")&amp;"-"&amp;TEXT(COUNTIF($B$5:B440,B440),"000"))</x:f>
      </x:c>
      <x:c r="B440" s="152"/>
      <x:c r="C440" s="153"/>
      <x:c r="D440" s="151" t="str">
        <x:f>IF(B440="","",'Configuracion'!$B$4)</x:f>
      </x:c>
      <x:c r="E440" s="154"/>
      <x:c r="F440" s="154"/>
      <x:c r="G440" s="151" t="str">
        <x:f>IFERROR(VLOOKUP(F440,'Base Sectores'!$A$5:$J$47,2,FALSE),"")</x:f>
      </x:c>
      <x:c r="H440" s="151" t="str">
        <x:f>IFERROR(VLOOKUP(F440,'Base Sectores'!$A$5:$J$47,3,FALSE),"")</x:f>
      </x:c>
      <x:c r="I440" s="151" t="str">
        <x:f>IFERROR(VLOOKUP(F440,'Base Sectores'!$A$5:$J$47,4,FALSE),"")</x:f>
      </x:c>
      <x:c r="J440" s="151" t="str">
        <x:f>IFERROR(VLOOKUP(F440,'Base Sectores'!$A$5:$J$47,5,FALSE),"")</x:f>
      </x:c>
      <x:c r="K440" s="151" t="str">
        <x:f>IFERROR(VLOOKUP(F440,'Base Sectores'!$A$5:$J$47,6,FALSE),"")</x:f>
      </x:c>
      <x:c r="L440" s="151" t="str">
        <x:f>IFERROR(VLOOKUP(F440,'Base Sectores'!$A$5:$J$47,7,FALSE),"")</x:f>
      </x:c>
      <x:c r="M440" s="151" t="str">
        <x:f>IFERROR(VLOOKUP(F440,'Base Sectores'!$A$5:$J$47,9,FALSE),"")</x:f>
      </x:c>
      <x:c r="N440" s="154"/>
      <x:c r="O440" s="151" t="str">
        <x:f>IFERROR(VLOOKUP(N440,'Configuracion'!$D$4:$H$15,2,FALSE),"")</x:f>
      </x:c>
      <x:c r="P440" s="151" t="str">
        <x:f>IFERROR(VLOOKUP(N440,'Configuracion'!$D$4:$H$15,3,FALSE),"")</x:f>
      </x:c>
      <x:c r="Q440" s="155"/>
      <x:c r="R440" s="156" t="str">
        <x:f>IFERROR(VLOOKUP(N440,'Configuracion'!$D$4:$H$15,4,FALSE),"")</x:f>
      </x:c>
      <x:c r="S440" s="153"/>
      <x:c r="T440" s="153"/>
      <x:c r="U440" s="156" t="str">
        <x:f>IF(OR(S440="",T440=""),"",MOD(T440-S440,1)*24)</x:f>
      </x:c>
      <x:c r="V440" s="154"/>
      <x:c r="W440" s="154"/>
      <x:c r="X440" s="151" t="str">
        <x:f>IFERROR(VLOOKUP(N440,'Configuracion'!$D$4:$H$15,5,FALSE),"")</x:f>
      </x:c>
      <x:c r="Y440" s="151" t="str">
        <x:f>IFERROR(VLOOKUP(V440,'Cuadrillas'!$A$5:$J$14,2,FALSE),"")</x:f>
      </x:c>
      <x:c r="Z440" s="154"/>
      <x:c r="AA440" s="154"/>
      <x:c r="AB440" s="154"/>
      <x:c r="AC440" s="153"/>
      <x:c r="AD440" s="153"/>
      <x:c r="AE440" s="156" t="str">
        <x:f>IF(OR(AC440="",AD440=""),"",MOD(AD440-AC440,1)*24)</x:f>
      </x:c>
      <x:c r="AF440" s="154"/>
      <x:c r="AG440" s="156" t="str">
        <x:f>IF(AE440="","",MAX(0,AE440-IF(AF440="",0,AF440/60)))</x:f>
      </x:c>
      <x:c r="AH440" s="155"/>
      <x:c r="AI440" s="154"/>
      <x:c r="AJ440" s="154"/>
      <x:c r="AK440" s="156" t="n">
        <x:f>IFERROR(U440*W440,"")</x:f>
        <x:v>0</x:v>
      </x:c>
      <x:c r="AL440" s="156" t="n">
        <x:f>IFERROR(AE440*AI440,"")</x:f>
        <x:v>0</x:v>
      </x:c>
      <x:c r="AM440" s="157" t="str">
        <x:f>IFERROR(AH440/Q440,"")</x:f>
      </x:c>
      <x:c r="AN440" s="156" t="str">
        <x:f>IFERROR(AH440/AG440,"")</x:f>
      </x:c>
      <x:c r="AO440" s="156" t="str">
        <x:f>IFERROR(AL440/AH440,"")</x:f>
      </x:c>
      <x:c r="AP440" s="157" t="str">
        <x:f>IFERROR(AG440/AE440,"")</x:f>
      </x:c>
      <x:c r="AQ440" s="157" t="str">
        <x:f>IFERROR(AN440/(R440/'Configuracion'!$B$13),"")</x:f>
      </x:c>
      <x:c r="AR440" s="156" t="n">
        <x:f>IFERROR(AE440-U440,"")</x:f>
        <x:v>0</x:v>
      </x:c>
      <x:c r="AS440" s="154"/>
      <x:c r="AT440" s="154"/>
      <x:c r="AU440" s="154"/>
      <x:c r="AV440" s="154"/>
      <x:c r="AW440" s="152"/>
      <x:c r="AX440" s="154"/>
      <x:c r="AY440" s="154"/>
      <x:c r="AZ440" s="151"/>
      <x:c r="BA440" s="151"/>
    </x:row>
    <x:row r="441">
      <x:c r="A441" s="151" t="str">
        <x:f>IF(B441="","",TEXT(B441,"yyyymmdd")&amp;"-"&amp;TEXT(COUNTIF($B$5:B441,B441),"000"))</x:f>
      </x:c>
      <x:c r="B441" s="152"/>
      <x:c r="C441" s="153"/>
      <x:c r="D441" s="151" t="str">
        <x:f>IF(B441="","",'Configuracion'!$B$4)</x:f>
      </x:c>
      <x:c r="E441" s="154"/>
      <x:c r="F441" s="154"/>
      <x:c r="G441" s="151" t="str">
        <x:f>IFERROR(VLOOKUP(F441,'Base Sectores'!$A$5:$J$47,2,FALSE),"")</x:f>
      </x:c>
      <x:c r="H441" s="151" t="str">
        <x:f>IFERROR(VLOOKUP(F441,'Base Sectores'!$A$5:$J$47,3,FALSE),"")</x:f>
      </x:c>
      <x:c r="I441" s="151" t="str">
        <x:f>IFERROR(VLOOKUP(F441,'Base Sectores'!$A$5:$J$47,4,FALSE),"")</x:f>
      </x:c>
      <x:c r="J441" s="151" t="str">
        <x:f>IFERROR(VLOOKUP(F441,'Base Sectores'!$A$5:$J$47,5,FALSE),"")</x:f>
      </x:c>
      <x:c r="K441" s="151" t="str">
        <x:f>IFERROR(VLOOKUP(F441,'Base Sectores'!$A$5:$J$47,6,FALSE),"")</x:f>
      </x:c>
      <x:c r="L441" s="151" t="str">
        <x:f>IFERROR(VLOOKUP(F441,'Base Sectores'!$A$5:$J$47,7,FALSE),"")</x:f>
      </x:c>
      <x:c r="M441" s="151" t="str">
        <x:f>IFERROR(VLOOKUP(F441,'Base Sectores'!$A$5:$J$47,9,FALSE),"")</x:f>
      </x:c>
      <x:c r="N441" s="154"/>
      <x:c r="O441" s="151" t="str">
        <x:f>IFERROR(VLOOKUP(N441,'Configuracion'!$D$4:$H$15,2,FALSE),"")</x:f>
      </x:c>
      <x:c r="P441" s="151" t="str">
        <x:f>IFERROR(VLOOKUP(N441,'Configuracion'!$D$4:$H$15,3,FALSE),"")</x:f>
      </x:c>
      <x:c r="Q441" s="155"/>
      <x:c r="R441" s="156" t="str">
        <x:f>IFERROR(VLOOKUP(N441,'Configuracion'!$D$4:$H$15,4,FALSE),"")</x:f>
      </x:c>
      <x:c r="S441" s="153"/>
      <x:c r="T441" s="153"/>
      <x:c r="U441" s="156" t="str">
        <x:f>IF(OR(S441="",T441=""),"",MOD(T441-S441,1)*24)</x:f>
      </x:c>
      <x:c r="V441" s="154"/>
      <x:c r="W441" s="154"/>
      <x:c r="X441" s="151" t="str">
        <x:f>IFERROR(VLOOKUP(N441,'Configuracion'!$D$4:$H$15,5,FALSE),"")</x:f>
      </x:c>
      <x:c r="Y441" s="151" t="str">
        <x:f>IFERROR(VLOOKUP(V441,'Cuadrillas'!$A$5:$J$14,2,FALSE),"")</x:f>
      </x:c>
      <x:c r="Z441" s="154"/>
      <x:c r="AA441" s="154"/>
      <x:c r="AB441" s="154"/>
      <x:c r="AC441" s="153"/>
      <x:c r="AD441" s="153"/>
      <x:c r="AE441" s="156" t="str">
        <x:f>IF(OR(AC441="",AD441=""),"",MOD(AD441-AC441,1)*24)</x:f>
      </x:c>
      <x:c r="AF441" s="154"/>
      <x:c r="AG441" s="156" t="str">
        <x:f>IF(AE441="","",MAX(0,AE441-IF(AF441="",0,AF441/60)))</x:f>
      </x:c>
      <x:c r="AH441" s="155"/>
      <x:c r="AI441" s="154"/>
      <x:c r="AJ441" s="154"/>
      <x:c r="AK441" s="156" t="n">
        <x:f>IFERROR(U441*W441,"")</x:f>
        <x:v>0</x:v>
      </x:c>
      <x:c r="AL441" s="156" t="n">
        <x:f>IFERROR(AE441*AI441,"")</x:f>
        <x:v>0</x:v>
      </x:c>
      <x:c r="AM441" s="157" t="str">
        <x:f>IFERROR(AH441/Q441,"")</x:f>
      </x:c>
      <x:c r="AN441" s="156" t="str">
        <x:f>IFERROR(AH441/AG441,"")</x:f>
      </x:c>
      <x:c r="AO441" s="156" t="str">
        <x:f>IFERROR(AL441/AH441,"")</x:f>
      </x:c>
      <x:c r="AP441" s="157" t="str">
        <x:f>IFERROR(AG441/AE441,"")</x:f>
      </x:c>
      <x:c r="AQ441" s="157" t="str">
        <x:f>IFERROR(AN441/(R441/'Configuracion'!$B$13),"")</x:f>
      </x:c>
      <x:c r="AR441" s="156" t="n">
        <x:f>IFERROR(AE441-U441,"")</x:f>
        <x:v>0</x:v>
      </x:c>
      <x:c r="AS441" s="154"/>
      <x:c r="AT441" s="154"/>
      <x:c r="AU441" s="154"/>
      <x:c r="AV441" s="154"/>
      <x:c r="AW441" s="152"/>
      <x:c r="AX441" s="154"/>
      <x:c r="AY441" s="154"/>
      <x:c r="AZ441" s="151"/>
      <x:c r="BA441" s="151"/>
    </x:row>
    <x:row r="442">
      <x:c r="A442" s="151" t="str">
        <x:f>IF(B442="","",TEXT(B442,"yyyymmdd")&amp;"-"&amp;TEXT(COUNTIF($B$5:B442,B442),"000"))</x:f>
      </x:c>
      <x:c r="B442" s="152"/>
      <x:c r="C442" s="153"/>
      <x:c r="D442" s="151" t="str">
        <x:f>IF(B442="","",'Configuracion'!$B$4)</x:f>
      </x:c>
      <x:c r="E442" s="154"/>
      <x:c r="F442" s="154"/>
      <x:c r="G442" s="151" t="str">
        <x:f>IFERROR(VLOOKUP(F442,'Base Sectores'!$A$5:$J$47,2,FALSE),"")</x:f>
      </x:c>
      <x:c r="H442" s="151" t="str">
        <x:f>IFERROR(VLOOKUP(F442,'Base Sectores'!$A$5:$J$47,3,FALSE),"")</x:f>
      </x:c>
      <x:c r="I442" s="151" t="str">
        <x:f>IFERROR(VLOOKUP(F442,'Base Sectores'!$A$5:$J$47,4,FALSE),"")</x:f>
      </x:c>
      <x:c r="J442" s="151" t="str">
        <x:f>IFERROR(VLOOKUP(F442,'Base Sectores'!$A$5:$J$47,5,FALSE),"")</x:f>
      </x:c>
      <x:c r="K442" s="151" t="str">
        <x:f>IFERROR(VLOOKUP(F442,'Base Sectores'!$A$5:$J$47,6,FALSE),"")</x:f>
      </x:c>
      <x:c r="L442" s="151" t="str">
        <x:f>IFERROR(VLOOKUP(F442,'Base Sectores'!$A$5:$J$47,7,FALSE),"")</x:f>
      </x:c>
      <x:c r="M442" s="151" t="str">
        <x:f>IFERROR(VLOOKUP(F442,'Base Sectores'!$A$5:$J$47,9,FALSE),"")</x:f>
      </x:c>
      <x:c r="N442" s="154"/>
      <x:c r="O442" s="151" t="str">
        <x:f>IFERROR(VLOOKUP(N442,'Configuracion'!$D$4:$H$15,2,FALSE),"")</x:f>
      </x:c>
      <x:c r="P442" s="151" t="str">
        <x:f>IFERROR(VLOOKUP(N442,'Configuracion'!$D$4:$H$15,3,FALSE),"")</x:f>
      </x:c>
      <x:c r="Q442" s="155"/>
      <x:c r="R442" s="156" t="str">
        <x:f>IFERROR(VLOOKUP(N442,'Configuracion'!$D$4:$H$15,4,FALSE),"")</x:f>
      </x:c>
      <x:c r="S442" s="153"/>
      <x:c r="T442" s="153"/>
      <x:c r="U442" s="156" t="str">
        <x:f>IF(OR(S442="",T442=""),"",MOD(T442-S442,1)*24)</x:f>
      </x:c>
      <x:c r="V442" s="154"/>
      <x:c r="W442" s="154"/>
      <x:c r="X442" s="151" t="str">
        <x:f>IFERROR(VLOOKUP(N442,'Configuracion'!$D$4:$H$15,5,FALSE),"")</x:f>
      </x:c>
      <x:c r="Y442" s="151" t="str">
        <x:f>IFERROR(VLOOKUP(V442,'Cuadrillas'!$A$5:$J$14,2,FALSE),"")</x:f>
      </x:c>
      <x:c r="Z442" s="154"/>
      <x:c r="AA442" s="154"/>
      <x:c r="AB442" s="154"/>
      <x:c r="AC442" s="153"/>
      <x:c r="AD442" s="153"/>
      <x:c r="AE442" s="156" t="str">
        <x:f>IF(OR(AC442="",AD442=""),"",MOD(AD442-AC442,1)*24)</x:f>
      </x:c>
      <x:c r="AF442" s="154"/>
      <x:c r="AG442" s="156" t="str">
        <x:f>IF(AE442="","",MAX(0,AE442-IF(AF442="",0,AF442/60)))</x:f>
      </x:c>
      <x:c r="AH442" s="155"/>
      <x:c r="AI442" s="154"/>
      <x:c r="AJ442" s="154"/>
      <x:c r="AK442" s="156" t="n">
        <x:f>IFERROR(U442*W442,"")</x:f>
        <x:v>0</x:v>
      </x:c>
      <x:c r="AL442" s="156" t="n">
        <x:f>IFERROR(AE442*AI442,"")</x:f>
        <x:v>0</x:v>
      </x:c>
      <x:c r="AM442" s="157" t="str">
        <x:f>IFERROR(AH442/Q442,"")</x:f>
      </x:c>
      <x:c r="AN442" s="156" t="str">
        <x:f>IFERROR(AH442/AG442,"")</x:f>
      </x:c>
      <x:c r="AO442" s="156" t="str">
        <x:f>IFERROR(AL442/AH442,"")</x:f>
      </x:c>
      <x:c r="AP442" s="157" t="str">
        <x:f>IFERROR(AG442/AE442,"")</x:f>
      </x:c>
      <x:c r="AQ442" s="157" t="str">
        <x:f>IFERROR(AN442/(R442/'Configuracion'!$B$13),"")</x:f>
      </x:c>
      <x:c r="AR442" s="156" t="n">
        <x:f>IFERROR(AE442-U442,"")</x:f>
        <x:v>0</x:v>
      </x:c>
      <x:c r="AS442" s="154"/>
      <x:c r="AT442" s="154"/>
      <x:c r="AU442" s="154"/>
      <x:c r="AV442" s="154"/>
      <x:c r="AW442" s="152"/>
      <x:c r="AX442" s="154"/>
      <x:c r="AY442" s="154"/>
      <x:c r="AZ442" s="151"/>
      <x:c r="BA442" s="151"/>
    </x:row>
    <x:row r="443">
      <x:c r="A443" s="151" t="str">
        <x:f>IF(B443="","",TEXT(B443,"yyyymmdd")&amp;"-"&amp;TEXT(COUNTIF($B$5:B443,B443),"000"))</x:f>
      </x:c>
      <x:c r="B443" s="152"/>
      <x:c r="C443" s="153"/>
      <x:c r="D443" s="151" t="str">
        <x:f>IF(B443="","",'Configuracion'!$B$4)</x:f>
      </x:c>
      <x:c r="E443" s="154"/>
      <x:c r="F443" s="154"/>
      <x:c r="G443" s="151" t="str">
        <x:f>IFERROR(VLOOKUP(F443,'Base Sectores'!$A$5:$J$47,2,FALSE),"")</x:f>
      </x:c>
      <x:c r="H443" s="151" t="str">
        <x:f>IFERROR(VLOOKUP(F443,'Base Sectores'!$A$5:$J$47,3,FALSE),"")</x:f>
      </x:c>
      <x:c r="I443" s="151" t="str">
        <x:f>IFERROR(VLOOKUP(F443,'Base Sectores'!$A$5:$J$47,4,FALSE),"")</x:f>
      </x:c>
      <x:c r="J443" s="151" t="str">
        <x:f>IFERROR(VLOOKUP(F443,'Base Sectores'!$A$5:$J$47,5,FALSE),"")</x:f>
      </x:c>
      <x:c r="K443" s="151" t="str">
        <x:f>IFERROR(VLOOKUP(F443,'Base Sectores'!$A$5:$J$47,6,FALSE),"")</x:f>
      </x:c>
      <x:c r="L443" s="151" t="str">
        <x:f>IFERROR(VLOOKUP(F443,'Base Sectores'!$A$5:$J$47,7,FALSE),"")</x:f>
      </x:c>
      <x:c r="M443" s="151" t="str">
        <x:f>IFERROR(VLOOKUP(F443,'Base Sectores'!$A$5:$J$47,9,FALSE),"")</x:f>
      </x:c>
      <x:c r="N443" s="154"/>
      <x:c r="O443" s="151" t="str">
        <x:f>IFERROR(VLOOKUP(N443,'Configuracion'!$D$4:$H$15,2,FALSE),"")</x:f>
      </x:c>
      <x:c r="P443" s="151" t="str">
        <x:f>IFERROR(VLOOKUP(N443,'Configuracion'!$D$4:$H$15,3,FALSE),"")</x:f>
      </x:c>
      <x:c r="Q443" s="155"/>
      <x:c r="R443" s="156" t="str">
        <x:f>IFERROR(VLOOKUP(N443,'Configuracion'!$D$4:$H$15,4,FALSE),"")</x:f>
      </x:c>
      <x:c r="S443" s="153"/>
      <x:c r="T443" s="153"/>
      <x:c r="U443" s="156" t="str">
        <x:f>IF(OR(S443="",T443=""),"",MOD(T443-S443,1)*24)</x:f>
      </x:c>
      <x:c r="V443" s="154"/>
      <x:c r="W443" s="154"/>
      <x:c r="X443" s="151" t="str">
        <x:f>IFERROR(VLOOKUP(N443,'Configuracion'!$D$4:$H$15,5,FALSE),"")</x:f>
      </x:c>
      <x:c r="Y443" s="151" t="str">
        <x:f>IFERROR(VLOOKUP(V443,'Cuadrillas'!$A$5:$J$14,2,FALSE),"")</x:f>
      </x:c>
      <x:c r="Z443" s="154"/>
      <x:c r="AA443" s="154"/>
      <x:c r="AB443" s="154"/>
      <x:c r="AC443" s="153"/>
      <x:c r="AD443" s="153"/>
      <x:c r="AE443" s="156" t="str">
        <x:f>IF(OR(AC443="",AD443=""),"",MOD(AD443-AC443,1)*24)</x:f>
      </x:c>
      <x:c r="AF443" s="154"/>
      <x:c r="AG443" s="156" t="str">
        <x:f>IF(AE443="","",MAX(0,AE443-IF(AF443="",0,AF443/60)))</x:f>
      </x:c>
      <x:c r="AH443" s="155"/>
      <x:c r="AI443" s="154"/>
      <x:c r="AJ443" s="154"/>
      <x:c r="AK443" s="156" t="n">
        <x:f>IFERROR(U443*W443,"")</x:f>
        <x:v>0</x:v>
      </x:c>
      <x:c r="AL443" s="156" t="n">
        <x:f>IFERROR(AE443*AI443,"")</x:f>
        <x:v>0</x:v>
      </x:c>
      <x:c r="AM443" s="157" t="str">
        <x:f>IFERROR(AH443/Q443,"")</x:f>
      </x:c>
      <x:c r="AN443" s="156" t="str">
        <x:f>IFERROR(AH443/AG443,"")</x:f>
      </x:c>
      <x:c r="AO443" s="156" t="str">
        <x:f>IFERROR(AL443/AH443,"")</x:f>
      </x:c>
      <x:c r="AP443" s="157" t="str">
        <x:f>IFERROR(AG443/AE443,"")</x:f>
      </x:c>
      <x:c r="AQ443" s="157" t="str">
        <x:f>IFERROR(AN443/(R443/'Configuracion'!$B$13),"")</x:f>
      </x:c>
      <x:c r="AR443" s="156" t="n">
        <x:f>IFERROR(AE443-U443,"")</x:f>
        <x:v>0</x:v>
      </x:c>
      <x:c r="AS443" s="154"/>
      <x:c r="AT443" s="154"/>
      <x:c r="AU443" s="154"/>
      <x:c r="AV443" s="154"/>
      <x:c r="AW443" s="152"/>
      <x:c r="AX443" s="154"/>
      <x:c r="AY443" s="154"/>
      <x:c r="AZ443" s="151"/>
      <x:c r="BA443" s="151"/>
    </x:row>
    <x:row r="444">
      <x:c r="A444" s="151" t="str">
        <x:f>IF(B444="","",TEXT(B444,"yyyymmdd")&amp;"-"&amp;TEXT(COUNTIF($B$5:B444,B444),"000"))</x:f>
      </x:c>
      <x:c r="B444" s="152"/>
      <x:c r="C444" s="153"/>
      <x:c r="D444" s="151" t="str">
        <x:f>IF(B444="","",'Configuracion'!$B$4)</x:f>
      </x:c>
      <x:c r="E444" s="154"/>
      <x:c r="F444" s="154"/>
      <x:c r="G444" s="151" t="str">
        <x:f>IFERROR(VLOOKUP(F444,'Base Sectores'!$A$5:$J$47,2,FALSE),"")</x:f>
      </x:c>
      <x:c r="H444" s="151" t="str">
        <x:f>IFERROR(VLOOKUP(F444,'Base Sectores'!$A$5:$J$47,3,FALSE),"")</x:f>
      </x:c>
      <x:c r="I444" s="151" t="str">
        <x:f>IFERROR(VLOOKUP(F444,'Base Sectores'!$A$5:$J$47,4,FALSE),"")</x:f>
      </x:c>
      <x:c r="J444" s="151" t="str">
        <x:f>IFERROR(VLOOKUP(F444,'Base Sectores'!$A$5:$J$47,5,FALSE),"")</x:f>
      </x:c>
      <x:c r="K444" s="151" t="str">
        <x:f>IFERROR(VLOOKUP(F444,'Base Sectores'!$A$5:$J$47,6,FALSE),"")</x:f>
      </x:c>
      <x:c r="L444" s="151" t="str">
        <x:f>IFERROR(VLOOKUP(F444,'Base Sectores'!$A$5:$J$47,7,FALSE),"")</x:f>
      </x:c>
      <x:c r="M444" s="151" t="str">
        <x:f>IFERROR(VLOOKUP(F444,'Base Sectores'!$A$5:$J$47,9,FALSE),"")</x:f>
      </x:c>
      <x:c r="N444" s="154"/>
      <x:c r="O444" s="151" t="str">
        <x:f>IFERROR(VLOOKUP(N444,'Configuracion'!$D$4:$H$15,2,FALSE),"")</x:f>
      </x:c>
      <x:c r="P444" s="151" t="str">
        <x:f>IFERROR(VLOOKUP(N444,'Configuracion'!$D$4:$H$15,3,FALSE),"")</x:f>
      </x:c>
      <x:c r="Q444" s="155"/>
      <x:c r="R444" s="156" t="str">
        <x:f>IFERROR(VLOOKUP(N444,'Configuracion'!$D$4:$H$15,4,FALSE),"")</x:f>
      </x:c>
      <x:c r="S444" s="153"/>
      <x:c r="T444" s="153"/>
      <x:c r="U444" s="156" t="str">
        <x:f>IF(OR(S444="",T444=""),"",MOD(T444-S444,1)*24)</x:f>
      </x:c>
      <x:c r="V444" s="154"/>
      <x:c r="W444" s="154"/>
      <x:c r="X444" s="151" t="str">
        <x:f>IFERROR(VLOOKUP(N444,'Configuracion'!$D$4:$H$15,5,FALSE),"")</x:f>
      </x:c>
      <x:c r="Y444" s="151" t="str">
        <x:f>IFERROR(VLOOKUP(V444,'Cuadrillas'!$A$5:$J$14,2,FALSE),"")</x:f>
      </x:c>
      <x:c r="Z444" s="154"/>
      <x:c r="AA444" s="154"/>
      <x:c r="AB444" s="154"/>
      <x:c r="AC444" s="153"/>
      <x:c r="AD444" s="153"/>
      <x:c r="AE444" s="156" t="str">
        <x:f>IF(OR(AC444="",AD444=""),"",MOD(AD444-AC444,1)*24)</x:f>
      </x:c>
      <x:c r="AF444" s="154"/>
      <x:c r="AG444" s="156" t="str">
        <x:f>IF(AE444="","",MAX(0,AE444-IF(AF444="",0,AF444/60)))</x:f>
      </x:c>
      <x:c r="AH444" s="155"/>
      <x:c r="AI444" s="154"/>
      <x:c r="AJ444" s="154"/>
      <x:c r="AK444" s="156" t="n">
        <x:f>IFERROR(U444*W444,"")</x:f>
        <x:v>0</x:v>
      </x:c>
      <x:c r="AL444" s="156" t="n">
        <x:f>IFERROR(AE444*AI444,"")</x:f>
        <x:v>0</x:v>
      </x:c>
      <x:c r="AM444" s="157" t="str">
        <x:f>IFERROR(AH444/Q444,"")</x:f>
      </x:c>
      <x:c r="AN444" s="156" t="str">
        <x:f>IFERROR(AH444/AG444,"")</x:f>
      </x:c>
      <x:c r="AO444" s="156" t="str">
        <x:f>IFERROR(AL444/AH444,"")</x:f>
      </x:c>
      <x:c r="AP444" s="157" t="str">
        <x:f>IFERROR(AG444/AE444,"")</x:f>
      </x:c>
      <x:c r="AQ444" s="157" t="str">
        <x:f>IFERROR(AN444/(R444/'Configuracion'!$B$13),"")</x:f>
      </x:c>
      <x:c r="AR444" s="156" t="n">
        <x:f>IFERROR(AE444-U444,"")</x:f>
        <x:v>0</x:v>
      </x:c>
      <x:c r="AS444" s="154"/>
      <x:c r="AT444" s="154"/>
      <x:c r="AU444" s="154"/>
      <x:c r="AV444" s="154"/>
      <x:c r="AW444" s="152"/>
      <x:c r="AX444" s="154"/>
      <x:c r="AY444" s="154"/>
      <x:c r="AZ444" s="151"/>
      <x:c r="BA444" s="151"/>
    </x:row>
    <x:row r="445">
      <x:c r="A445" s="151" t="str">
        <x:f>IF(B445="","",TEXT(B445,"yyyymmdd")&amp;"-"&amp;TEXT(COUNTIF($B$5:B445,B445),"000"))</x:f>
      </x:c>
      <x:c r="B445" s="152"/>
      <x:c r="C445" s="153"/>
      <x:c r="D445" s="151" t="str">
        <x:f>IF(B445="","",'Configuracion'!$B$4)</x:f>
      </x:c>
      <x:c r="E445" s="154"/>
      <x:c r="F445" s="154"/>
      <x:c r="G445" s="151" t="str">
        <x:f>IFERROR(VLOOKUP(F445,'Base Sectores'!$A$5:$J$47,2,FALSE),"")</x:f>
      </x:c>
      <x:c r="H445" s="151" t="str">
        <x:f>IFERROR(VLOOKUP(F445,'Base Sectores'!$A$5:$J$47,3,FALSE),"")</x:f>
      </x:c>
      <x:c r="I445" s="151" t="str">
        <x:f>IFERROR(VLOOKUP(F445,'Base Sectores'!$A$5:$J$47,4,FALSE),"")</x:f>
      </x:c>
      <x:c r="J445" s="151" t="str">
        <x:f>IFERROR(VLOOKUP(F445,'Base Sectores'!$A$5:$J$47,5,FALSE),"")</x:f>
      </x:c>
      <x:c r="K445" s="151" t="str">
        <x:f>IFERROR(VLOOKUP(F445,'Base Sectores'!$A$5:$J$47,6,FALSE),"")</x:f>
      </x:c>
      <x:c r="L445" s="151" t="str">
        <x:f>IFERROR(VLOOKUP(F445,'Base Sectores'!$A$5:$J$47,7,FALSE),"")</x:f>
      </x:c>
      <x:c r="M445" s="151" t="str">
        <x:f>IFERROR(VLOOKUP(F445,'Base Sectores'!$A$5:$J$47,9,FALSE),"")</x:f>
      </x:c>
      <x:c r="N445" s="154"/>
      <x:c r="O445" s="151" t="str">
        <x:f>IFERROR(VLOOKUP(N445,'Configuracion'!$D$4:$H$15,2,FALSE),"")</x:f>
      </x:c>
      <x:c r="P445" s="151" t="str">
        <x:f>IFERROR(VLOOKUP(N445,'Configuracion'!$D$4:$H$15,3,FALSE),"")</x:f>
      </x:c>
      <x:c r="Q445" s="155"/>
      <x:c r="R445" s="156" t="str">
        <x:f>IFERROR(VLOOKUP(N445,'Configuracion'!$D$4:$H$15,4,FALSE),"")</x:f>
      </x:c>
      <x:c r="S445" s="153"/>
      <x:c r="T445" s="153"/>
      <x:c r="U445" s="156" t="str">
        <x:f>IF(OR(S445="",T445=""),"",MOD(T445-S445,1)*24)</x:f>
      </x:c>
      <x:c r="V445" s="154"/>
      <x:c r="W445" s="154"/>
      <x:c r="X445" s="151" t="str">
        <x:f>IFERROR(VLOOKUP(N445,'Configuracion'!$D$4:$H$15,5,FALSE),"")</x:f>
      </x:c>
      <x:c r="Y445" s="151" t="str">
        <x:f>IFERROR(VLOOKUP(V445,'Cuadrillas'!$A$5:$J$14,2,FALSE),"")</x:f>
      </x:c>
      <x:c r="Z445" s="154"/>
      <x:c r="AA445" s="154"/>
      <x:c r="AB445" s="154"/>
      <x:c r="AC445" s="153"/>
      <x:c r="AD445" s="153"/>
      <x:c r="AE445" s="156" t="str">
        <x:f>IF(OR(AC445="",AD445=""),"",MOD(AD445-AC445,1)*24)</x:f>
      </x:c>
      <x:c r="AF445" s="154"/>
      <x:c r="AG445" s="156" t="str">
        <x:f>IF(AE445="","",MAX(0,AE445-IF(AF445="",0,AF445/60)))</x:f>
      </x:c>
      <x:c r="AH445" s="155"/>
      <x:c r="AI445" s="154"/>
      <x:c r="AJ445" s="154"/>
      <x:c r="AK445" s="156" t="n">
        <x:f>IFERROR(U445*W445,"")</x:f>
        <x:v>0</x:v>
      </x:c>
      <x:c r="AL445" s="156" t="n">
        <x:f>IFERROR(AE445*AI445,"")</x:f>
        <x:v>0</x:v>
      </x:c>
      <x:c r="AM445" s="157" t="str">
        <x:f>IFERROR(AH445/Q445,"")</x:f>
      </x:c>
      <x:c r="AN445" s="156" t="str">
        <x:f>IFERROR(AH445/AG445,"")</x:f>
      </x:c>
      <x:c r="AO445" s="156" t="str">
        <x:f>IFERROR(AL445/AH445,"")</x:f>
      </x:c>
      <x:c r="AP445" s="157" t="str">
        <x:f>IFERROR(AG445/AE445,"")</x:f>
      </x:c>
      <x:c r="AQ445" s="157" t="str">
        <x:f>IFERROR(AN445/(R445/'Configuracion'!$B$13),"")</x:f>
      </x:c>
      <x:c r="AR445" s="156" t="n">
        <x:f>IFERROR(AE445-U445,"")</x:f>
        <x:v>0</x:v>
      </x:c>
      <x:c r="AS445" s="154"/>
      <x:c r="AT445" s="154"/>
      <x:c r="AU445" s="154"/>
      <x:c r="AV445" s="154"/>
      <x:c r="AW445" s="152"/>
      <x:c r="AX445" s="154"/>
      <x:c r="AY445" s="154"/>
      <x:c r="AZ445" s="151"/>
      <x:c r="BA445" s="151"/>
    </x:row>
    <x:row r="446">
      <x:c r="A446" s="151" t="str">
        <x:f>IF(B446="","",TEXT(B446,"yyyymmdd")&amp;"-"&amp;TEXT(COUNTIF($B$5:B446,B446),"000"))</x:f>
      </x:c>
      <x:c r="B446" s="152"/>
      <x:c r="C446" s="153"/>
      <x:c r="D446" s="151" t="str">
        <x:f>IF(B446="","",'Configuracion'!$B$4)</x:f>
      </x:c>
      <x:c r="E446" s="154"/>
      <x:c r="F446" s="154"/>
      <x:c r="G446" s="151" t="str">
        <x:f>IFERROR(VLOOKUP(F446,'Base Sectores'!$A$5:$J$47,2,FALSE),"")</x:f>
      </x:c>
      <x:c r="H446" s="151" t="str">
        <x:f>IFERROR(VLOOKUP(F446,'Base Sectores'!$A$5:$J$47,3,FALSE),"")</x:f>
      </x:c>
      <x:c r="I446" s="151" t="str">
        <x:f>IFERROR(VLOOKUP(F446,'Base Sectores'!$A$5:$J$47,4,FALSE),"")</x:f>
      </x:c>
      <x:c r="J446" s="151" t="str">
        <x:f>IFERROR(VLOOKUP(F446,'Base Sectores'!$A$5:$J$47,5,FALSE),"")</x:f>
      </x:c>
      <x:c r="K446" s="151" t="str">
        <x:f>IFERROR(VLOOKUP(F446,'Base Sectores'!$A$5:$J$47,6,FALSE),"")</x:f>
      </x:c>
      <x:c r="L446" s="151" t="str">
        <x:f>IFERROR(VLOOKUP(F446,'Base Sectores'!$A$5:$J$47,7,FALSE),"")</x:f>
      </x:c>
      <x:c r="M446" s="151" t="str">
        <x:f>IFERROR(VLOOKUP(F446,'Base Sectores'!$A$5:$J$47,9,FALSE),"")</x:f>
      </x:c>
      <x:c r="N446" s="154"/>
      <x:c r="O446" s="151" t="str">
        <x:f>IFERROR(VLOOKUP(N446,'Configuracion'!$D$4:$H$15,2,FALSE),"")</x:f>
      </x:c>
      <x:c r="P446" s="151" t="str">
        <x:f>IFERROR(VLOOKUP(N446,'Configuracion'!$D$4:$H$15,3,FALSE),"")</x:f>
      </x:c>
      <x:c r="Q446" s="155"/>
      <x:c r="R446" s="156" t="str">
        <x:f>IFERROR(VLOOKUP(N446,'Configuracion'!$D$4:$H$15,4,FALSE),"")</x:f>
      </x:c>
      <x:c r="S446" s="153"/>
      <x:c r="T446" s="153"/>
      <x:c r="U446" s="156" t="str">
        <x:f>IF(OR(S446="",T446=""),"",MOD(T446-S446,1)*24)</x:f>
      </x:c>
      <x:c r="V446" s="154"/>
      <x:c r="W446" s="154"/>
      <x:c r="X446" s="151" t="str">
        <x:f>IFERROR(VLOOKUP(N446,'Configuracion'!$D$4:$H$15,5,FALSE),"")</x:f>
      </x:c>
      <x:c r="Y446" s="151" t="str">
        <x:f>IFERROR(VLOOKUP(V446,'Cuadrillas'!$A$5:$J$14,2,FALSE),"")</x:f>
      </x:c>
      <x:c r="Z446" s="154"/>
      <x:c r="AA446" s="154"/>
      <x:c r="AB446" s="154"/>
      <x:c r="AC446" s="153"/>
      <x:c r="AD446" s="153"/>
      <x:c r="AE446" s="156" t="str">
        <x:f>IF(OR(AC446="",AD446=""),"",MOD(AD446-AC446,1)*24)</x:f>
      </x:c>
      <x:c r="AF446" s="154"/>
      <x:c r="AG446" s="156" t="str">
        <x:f>IF(AE446="","",MAX(0,AE446-IF(AF446="",0,AF446/60)))</x:f>
      </x:c>
      <x:c r="AH446" s="155"/>
      <x:c r="AI446" s="154"/>
      <x:c r="AJ446" s="154"/>
      <x:c r="AK446" s="156" t="n">
        <x:f>IFERROR(U446*W446,"")</x:f>
        <x:v>0</x:v>
      </x:c>
      <x:c r="AL446" s="156" t="n">
        <x:f>IFERROR(AE446*AI446,"")</x:f>
        <x:v>0</x:v>
      </x:c>
      <x:c r="AM446" s="157" t="str">
        <x:f>IFERROR(AH446/Q446,"")</x:f>
      </x:c>
      <x:c r="AN446" s="156" t="str">
        <x:f>IFERROR(AH446/AG446,"")</x:f>
      </x:c>
      <x:c r="AO446" s="156" t="str">
        <x:f>IFERROR(AL446/AH446,"")</x:f>
      </x:c>
      <x:c r="AP446" s="157" t="str">
        <x:f>IFERROR(AG446/AE446,"")</x:f>
      </x:c>
      <x:c r="AQ446" s="157" t="str">
        <x:f>IFERROR(AN446/(R446/'Configuracion'!$B$13),"")</x:f>
      </x:c>
      <x:c r="AR446" s="156" t="n">
        <x:f>IFERROR(AE446-U446,"")</x:f>
        <x:v>0</x:v>
      </x:c>
      <x:c r="AS446" s="154"/>
      <x:c r="AT446" s="154"/>
      <x:c r="AU446" s="154"/>
      <x:c r="AV446" s="154"/>
      <x:c r="AW446" s="152"/>
      <x:c r="AX446" s="154"/>
      <x:c r="AY446" s="154"/>
      <x:c r="AZ446" s="151"/>
      <x:c r="BA446" s="151"/>
    </x:row>
    <x:row r="447">
      <x:c r="A447" s="151" t="str">
        <x:f>IF(B447="","",TEXT(B447,"yyyymmdd")&amp;"-"&amp;TEXT(COUNTIF($B$5:B447,B447),"000"))</x:f>
      </x:c>
      <x:c r="B447" s="152"/>
      <x:c r="C447" s="153"/>
      <x:c r="D447" s="151" t="str">
        <x:f>IF(B447="","",'Configuracion'!$B$4)</x:f>
      </x:c>
      <x:c r="E447" s="154"/>
      <x:c r="F447" s="154"/>
      <x:c r="G447" s="151" t="str">
        <x:f>IFERROR(VLOOKUP(F447,'Base Sectores'!$A$5:$J$47,2,FALSE),"")</x:f>
      </x:c>
      <x:c r="H447" s="151" t="str">
        <x:f>IFERROR(VLOOKUP(F447,'Base Sectores'!$A$5:$J$47,3,FALSE),"")</x:f>
      </x:c>
      <x:c r="I447" s="151" t="str">
        <x:f>IFERROR(VLOOKUP(F447,'Base Sectores'!$A$5:$J$47,4,FALSE),"")</x:f>
      </x:c>
      <x:c r="J447" s="151" t="str">
        <x:f>IFERROR(VLOOKUP(F447,'Base Sectores'!$A$5:$J$47,5,FALSE),"")</x:f>
      </x:c>
      <x:c r="K447" s="151" t="str">
        <x:f>IFERROR(VLOOKUP(F447,'Base Sectores'!$A$5:$J$47,6,FALSE),"")</x:f>
      </x:c>
      <x:c r="L447" s="151" t="str">
        <x:f>IFERROR(VLOOKUP(F447,'Base Sectores'!$A$5:$J$47,7,FALSE),"")</x:f>
      </x:c>
      <x:c r="M447" s="151" t="str">
        <x:f>IFERROR(VLOOKUP(F447,'Base Sectores'!$A$5:$J$47,9,FALSE),"")</x:f>
      </x:c>
      <x:c r="N447" s="154"/>
      <x:c r="O447" s="151" t="str">
        <x:f>IFERROR(VLOOKUP(N447,'Configuracion'!$D$4:$H$15,2,FALSE),"")</x:f>
      </x:c>
      <x:c r="P447" s="151" t="str">
        <x:f>IFERROR(VLOOKUP(N447,'Configuracion'!$D$4:$H$15,3,FALSE),"")</x:f>
      </x:c>
      <x:c r="Q447" s="155"/>
      <x:c r="R447" s="156" t="str">
        <x:f>IFERROR(VLOOKUP(N447,'Configuracion'!$D$4:$H$15,4,FALSE),"")</x:f>
      </x:c>
      <x:c r="S447" s="153"/>
      <x:c r="T447" s="153"/>
      <x:c r="U447" s="156" t="str">
        <x:f>IF(OR(S447="",T447=""),"",MOD(T447-S447,1)*24)</x:f>
      </x:c>
      <x:c r="V447" s="154"/>
      <x:c r="W447" s="154"/>
      <x:c r="X447" s="151" t="str">
        <x:f>IFERROR(VLOOKUP(N447,'Configuracion'!$D$4:$H$15,5,FALSE),"")</x:f>
      </x:c>
      <x:c r="Y447" s="151" t="str">
        <x:f>IFERROR(VLOOKUP(V447,'Cuadrillas'!$A$5:$J$14,2,FALSE),"")</x:f>
      </x:c>
      <x:c r="Z447" s="154"/>
      <x:c r="AA447" s="154"/>
      <x:c r="AB447" s="154"/>
      <x:c r="AC447" s="153"/>
      <x:c r="AD447" s="153"/>
      <x:c r="AE447" s="156" t="str">
        <x:f>IF(OR(AC447="",AD447=""),"",MOD(AD447-AC447,1)*24)</x:f>
      </x:c>
      <x:c r="AF447" s="154"/>
      <x:c r="AG447" s="156" t="str">
        <x:f>IF(AE447="","",MAX(0,AE447-IF(AF447="",0,AF447/60)))</x:f>
      </x:c>
      <x:c r="AH447" s="155"/>
      <x:c r="AI447" s="154"/>
      <x:c r="AJ447" s="154"/>
      <x:c r="AK447" s="156" t="n">
        <x:f>IFERROR(U447*W447,"")</x:f>
        <x:v>0</x:v>
      </x:c>
      <x:c r="AL447" s="156" t="n">
        <x:f>IFERROR(AE447*AI447,"")</x:f>
        <x:v>0</x:v>
      </x:c>
      <x:c r="AM447" s="157" t="str">
        <x:f>IFERROR(AH447/Q447,"")</x:f>
      </x:c>
      <x:c r="AN447" s="156" t="str">
        <x:f>IFERROR(AH447/AG447,"")</x:f>
      </x:c>
      <x:c r="AO447" s="156" t="str">
        <x:f>IFERROR(AL447/AH447,"")</x:f>
      </x:c>
      <x:c r="AP447" s="157" t="str">
        <x:f>IFERROR(AG447/AE447,"")</x:f>
      </x:c>
      <x:c r="AQ447" s="157" t="str">
        <x:f>IFERROR(AN447/(R447/'Configuracion'!$B$13),"")</x:f>
      </x:c>
      <x:c r="AR447" s="156" t="n">
        <x:f>IFERROR(AE447-U447,"")</x:f>
        <x:v>0</x:v>
      </x:c>
      <x:c r="AS447" s="154"/>
      <x:c r="AT447" s="154"/>
      <x:c r="AU447" s="154"/>
      <x:c r="AV447" s="154"/>
      <x:c r="AW447" s="152"/>
      <x:c r="AX447" s="154"/>
      <x:c r="AY447" s="154"/>
      <x:c r="AZ447" s="151"/>
      <x:c r="BA447" s="151"/>
    </x:row>
    <x:row r="448">
      <x:c r="A448" s="151" t="str">
        <x:f>IF(B448="","",TEXT(B448,"yyyymmdd")&amp;"-"&amp;TEXT(COUNTIF($B$5:B448,B448),"000"))</x:f>
      </x:c>
      <x:c r="B448" s="152"/>
      <x:c r="C448" s="153"/>
      <x:c r="D448" s="151" t="str">
        <x:f>IF(B448="","",'Configuracion'!$B$4)</x:f>
      </x:c>
      <x:c r="E448" s="154"/>
      <x:c r="F448" s="154"/>
      <x:c r="G448" s="151" t="str">
        <x:f>IFERROR(VLOOKUP(F448,'Base Sectores'!$A$5:$J$47,2,FALSE),"")</x:f>
      </x:c>
      <x:c r="H448" s="151" t="str">
        <x:f>IFERROR(VLOOKUP(F448,'Base Sectores'!$A$5:$J$47,3,FALSE),"")</x:f>
      </x:c>
      <x:c r="I448" s="151" t="str">
        <x:f>IFERROR(VLOOKUP(F448,'Base Sectores'!$A$5:$J$47,4,FALSE),"")</x:f>
      </x:c>
      <x:c r="J448" s="151" t="str">
        <x:f>IFERROR(VLOOKUP(F448,'Base Sectores'!$A$5:$J$47,5,FALSE),"")</x:f>
      </x:c>
      <x:c r="K448" s="151" t="str">
        <x:f>IFERROR(VLOOKUP(F448,'Base Sectores'!$A$5:$J$47,6,FALSE),"")</x:f>
      </x:c>
      <x:c r="L448" s="151" t="str">
        <x:f>IFERROR(VLOOKUP(F448,'Base Sectores'!$A$5:$J$47,7,FALSE),"")</x:f>
      </x:c>
      <x:c r="M448" s="151" t="str">
        <x:f>IFERROR(VLOOKUP(F448,'Base Sectores'!$A$5:$J$47,9,FALSE),"")</x:f>
      </x:c>
      <x:c r="N448" s="154"/>
      <x:c r="O448" s="151" t="str">
        <x:f>IFERROR(VLOOKUP(N448,'Configuracion'!$D$4:$H$15,2,FALSE),"")</x:f>
      </x:c>
      <x:c r="P448" s="151" t="str">
        <x:f>IFERROR(VLOOKUP(N448,'Configuracion'!$D$4:$H$15,3,FALSE),"")</x:f>
      </x:c>
      <x:c r="Q448" s="155"/>
      <x:c r="R448" s="156" t="str">
        <x:f>IFERROR(VLOOKUP(N448,'Configuracion'!$D$4:$H$15,4,FALSE),"")</x:f>
      </x:c>
      <x:c r="S448" s="153"/>
      <x:c r="T448" s="153"/>
      <x:c r="U448" s="156" t="str">
        <x:f>IF(OR(S448="",T448=""),"",MOD(T448-S448,1)*24)</x:f>
      </x:c>
      <x:c r="V448" s="154"/>
      <x:c r="W448" s="154"/>
      <x:c r="X448" s="151" t="str">
        <x:f>IFERROR(VLOOKUP(N448,'Configuracion'!$D$4:$H$15,5,FALSE),"")</x:f>
      </x:c>
      <x:c r="Y448" s="151" t="str">
        <x:f>IFERROR(VLOOKUP(V448,'Cuadrillas'!$A$5:$J$14,2,FALSE),"")</x:f>
      </x:c>
      <x:c r="Z448" s="154"/>
      <x:c r="AA448" s="154"/>
      <x:c r="AB448" s="154"/>
      <x:c r="AC448" s="153"/>
      <x:c r="AD448" s="153"/>
      <x:c r="AE448" s="156" t="str">
        <x:f>IF(OR(AC448="",AD448=""),"",MOD(AD448-AC448,1)*24)</x:f>
      </x:c>
      <x:c r="AF448" s="154"/>
      <x:c r="AG448" s="156" t="str">
        <x:f>IF(AE448="","",MAX(0,AE448-IF(AF448="",0,AF448/60)))</x:f>
      </x:c>
      <x:c r="AH448" s="155"/>
      <x:c r="AI448" s="154"/>
      <x:c r="AJ448" s="154"/>
      <x:c r="AK448" s="156" t="n">
        <x:f>IFERROR(U448*W448,"")</x:f>
        <x:v>0</x:v>
      </x:c>
      <x:c r="AL448" s="156" t="n">
        <x:f>IFERROR(AE448*AI448,"")</x:f>
        <x:v>0</x:v>
      </x:c>
      <x:c r="AM448" s="157" t="str">
        <x:f>IFERROR(AH448/Q448,"")</x:f>
      </x:c>
      <x:c r="AN448" s="156" t="str">
        <x:f>IFERROR(AH448/AG448,"")</x:f>
      </x:c>
      <x:c r="AO448" s="156" t="str">
        <x:f>IFERROR(AL448/AH448,"")</x:f>
      </x:c>
      <x:c r="AP448" s="157" t="str">
        <x:f>IFERROR(AG448/AE448,"")</x:f>
      </x:c>
      <x:c r="AQ448" s="157" t="str">
        <x:f>IFERROR(AN448/(R448/'Configuracion'!$B$13),"")</x:f>
      </x:c>
      <x:c r="AR448" s="156" t="n">
        <x:f>IFERROR(AE448-U448,"")</x:f>
        <x:v>0</x:v>
      </x:c>
      <x:c r="AS448" s="154"/>
      <x:c r="AT448" s="154"/>
      <x:c r="AU448" s="154"/>
      <x:c r="AV448" s="154"/>
      <x:c r="AW448" s="152"/>
      <x:c r="AX448" s="154"/>
      <x:c r="AY448" s="154"/>
      <x:c r="AZ448" s="151"/>
      <x:c r="BA448" s="151"/>
    </x:row>
    <x:row r="449">
      <x:c r="A449" s="151" t="str">
        <x:f>IF(B449="","",TEXT(B449,"yyyymmdd")&amp;"-"&amp;TEXT(COUNTIF($B$5:B449,B449),"000"))</x:f>
      </x:c>
      <x:c r="B449" s="152"/>
      <x:c r="C449" s="153"/>
      <x:c r="D449" s="151" t="str">
        <x:f>IF(B449="","",'Configuracion'!$B$4)</x:f>
      </x:c>
      <x:c r="E449" s="154"/>
      <x:c r="F449" s="154"/>
      <x:c r="G449" s="151" t="str">
        <x:f>IFERROR(VLOOKUP(F449,'Base Sectores'!$A$5:$J$47,2,FALSE),"")</x:f>
      </x:c>
      <x:c r="H449" s="151" t="str">
        <x:f>IFERROR(VLOOKUP(F449,'Base Sectores'!$A$5:$J$47,3,FALSE),"")</x:f>
      </x:c>
      <x:c r="I449" s="151" t="str">
        <x:f>IFERROR(VLOOKUP(F449,'Base Sectores'!$A$5:$J$47,4,FALSE),"")</x:f>
      </x:c>
      <x:c r="J449" s="151" t="str">
        <x:f>IFERROR(VLOOKUP(F449,'Base Sectores'!$A$5:$J$47,5,FALSE),"")</x:f>
      </x:c>
      <x:c r="K449" s="151" t="str">
        <x:f>IFERROR(VLOOKUP(F449,'Base Sectores'!$A$5:$J$47,6,FALSE),"")</x:f>
      </x:c>
      <x:c r="L449" s="151" t="str">
        <x:f>IFERROR(VLOOKUP(F449,'Base Sectores'!$A$5:$J$47,7,FALSE),"")</x:f>
      </x:c>
      <x:c r="M449" s="151" t="str">
        <x:f>IFERROR(VLOOKUP(F449,'Base Sectores'!$A$5:$J$47,9,FALSE),"")</x:f>
      </x:c>
      <x:c r="N449" s="154"/>
      <x:c r="O449" s="151" t="str">
        <x:f>IFERROR(VLOOKUP(N449,'Configuracion'!$D$4:$H$15,2,FALSE),"")</x:f>
      </x:c>
      <x:c r="P449" s="151" t="str">
        <x:f>IFERROR(VLOOKUP(N449,'Configuracion'!$D$4:$H$15,3,FALSE),"")</x:f>
      </x:c>
      <x:c r="Q449" s="155"/>
      <x:c r="R449" s="156" t="str">
        <x:f>IFERROR(VLOOKUP(N449,'Configuracion'!$D$4:$H$15,4,FALSE),"")</x:f>
      </x:c>
      <x:c r="S449" s="153"/>
      <x:c r="T449" s="153"/>
      <x:c r="U449" s="156" t="str">
        <x:f>IF(OR(S449="",T449=""),"",MOD(T449-S449,1)*24)</x:f>
      </x:c>
      <x:c r="V449" s="154"/>
      <x:c r="W449" s="154"/>
      <x:c r="X449" s="151" t="str">
        <x:f>IFERROR(VLOOKUP(N449,'Configuracion'!$D$4:$H$15,5,FALSE),"")</x:f>
      </x:c>
      <x:c r="Y449" s="151" t="str">
        <x:f>IFERROR(VLOOKUP(V449,'Cuadrillas'!$A$5:$J$14,2,FALSE),"")</x:f>
      </x:c>
      <x:c r="Z449" s="154"/>
      <x:c r="AA449" s="154"/>
      <x:c r="AB449" s="154"/>
      <x:c r="AC449" s="153"/>
      <x:c r="AD449" s="153"/>
      <x:c r="AE449" s="156" t="str">
        <x:f>IF(OR(AC449="",AD449=""),"",MOD(AD449-AC449,1)*24)</x:f>
      </x:c>
      <x:c r="AF449" s="154"/>
      <x:c r="AG449" s="156" t="str">
        <x:f>IF(AE449="","",MAX(0,AE449-IF(AF449="",0,AF449/60)))</x:f>
      </x:c>
      <x:c r="AH449" s="155"/>
      <x:c r="AI449" s="154"/>
      <x:c r="AJ449" s="154"/>
      <x:c r="AK449" s="156" t="n">
        <x:f>IFERROR(U449*W449,"")</x:f>
        <x:v>0</x:v>
      </x:c>
      <x:c r="AL449" s="156" t="n">
        <x:f>IFERROR(AE449*AI449,"")</x:f>
        <x:v>0</x:v>
      </x:c>
      <x:c r="AM449" s="157" t="str">
        <x:f>IFERROR(AH449/Q449,"")</x:f>
      </x:c>
      <x:c r="AN449" s="156" t="str">
        <x:f>IFERROR(AH449/AG449,"")</x:f>
      </x:c>
      <x:c r="AO449" s="156" t="str">
        <x:f>IFERROR(AL449/AH449,"")</x:f>
      </x:c>
      <x:c r="AP449" s="157" t="str">
        <x:f>IFERROR(AG449/AE449,"")</x:f>
      </x:c>
      <x:c r="AQ449" s="157" t="str">
        <x:f>IFERROR(AN449/(R449/'Configuracion'!$B$13),"")</x:f>
      </x:c>
      <x:c r="AR449" s="156" t="n">
        <x:f>IFERROR(AE449-U449,"")</x:f>
        <x:v>0</x:v>
      </x:c>
      <x:c r="AS449" s="154"/>
      <x:c r="AT449" s="154"/>
      <x:c r="AU449" s="154"/>
      <x:c r="AV449" s="154"/>
      <x:c r="AW449" s="152"/>
      <x:c r="AX449" s="154"/>
      <x:c r="AY449" s="154"/>
      <x:c r="AZ449" s="151"/>
      <x:c r="BA449" s="151"/>
    </x:row>
    <x:row r="450">
      <x:c r="A450" s="151" t="str">
        <x:f>IF(B450="","",TEXT(B450,"yyyymmdd")&amp;"-"&amp;TEXT(COUNTIF($B$5:B450,B450),"000"))</x:f>
      </x:c>
      <x:c r="B450" s="152"/>
      <x:c r="C450" s="153"/>
      <x:c r="D450" s="151" t="str">
        <x:f>IF(B450="","",'Configuracion'!$B$4)</x:f>
      </x:c>
      <x:c r="E450" s="154"/>
      <x:c r="F450" s="154"/>
      <x:c r="G450" s="151" t="str">
        <x:f>IFERROR(VLOOKUP(F450,'Base Sectores'!$A$5:$J$47,2,FALSE),"")</x:f>
      </x:c>
      <x:c r="H450" s="151" t="str">
        <x:f>IFERROR(VLOOKUP(F450,'Base Sectores'!$A$5:$J$47,3,FALSE),"")</x:f>
      </x:c>
      <x:c r="I450" s="151" t="str">
        <x:f>IFERROR(VLOOKUP(F450,'Base Sectores'!$A$5:$J$47,4,FALSE),"")</x:f>
      </x:c>
      <x:c r="J450" s="151" t="str">
        <x:f>IFERROR(VLOOKUP(F450,'Base Sectores'!$A$5:$J$47,5,FALSE),"")</x:f>
      </x:c>
      <x:c r="K450" s="151" t="str">
        <x:f>IFERROR(VLOOKUP(F450,'Base Sectores'!$A$5:$J$47,6,FALSE),"")</x:f>
      </x:c>
      <x:c r="L450" s="151" t="str">
        <x:f>IFERROR(VLOOKUP(F450,'Base Sectores'!$A$5:$J$47,7,FALSE),"")</x:f>
      </x:c>
      <x:c r="M450" s="151" t="str">
        <x:f>IFERROR(VLOOKUP(F450,'Base Sectores'!$A$5:$J$47,9,FALSE),"")</x:f>
      </x:c>
      <x:c r="N450" s="154"/>
      <x:c r="O450" s="151" t="str">
        <x:f>IFERROR(VLOOKUP(N450,'Configuracion'!$D$4:$H$15,2,FALSE),"")</x:f>
      </x:c>
      <x:c r="P450" s="151" t="str">
        <x:f>IFERROR(VLOOKUP(N450,'Configuracion'!$D$4:$H$15,3,FALSE),"")</x:f>
      </x:c>
      <x:c r="Q450" s="155"/>
      <x:c r="R450" s="156" t="str">
        <x:f>IFERROR(VLOOKUP(N450,'Configuracion'!$D$4:$H$15,4,FALSE),"")</x:f>
      </x:c>
      <x:c r="S450" s="153"/>
      <x:c r="T450" s="153"/>
      <x:c r="U450" s="156" t="str">
        <x:f>IF(OR(S450="",T450=""),"",MOD(T450-S450,1)*24)</x:f>
      </x:c>
      <x:c r="V450" s="154"/>
      <x:c r="W450" s="154"/>
      <x:c r="X450" s="151" t="str">
        <x:f>IFERROR(VLOOKUP(N450,'Configuracion'!$D$4:$H$15,5,FALSE),"")</x:f>
      </x:c>
      <x:c r="Y450" s="151" t="str">
        <x:f>IFERROR(VLOOKUP(V450,'Cuadrillas'!$A$5:$J$14,2,FALSE),"")</x:f>
      </x:c>
      <x:c r="Z450" s="154"/>
      <x:c r="AA450" s="154"/>
      <x:c r="AB450" s="154"/>
      <x:c r="AC450" s="153"/>
      <x:c r="AD450" s="153"/>
      <x:c r="AE450" s="156" t="str">
        <x:f>IF(OR(AC450="",AD450=""),"",MOD(AD450-AC450,1)*24)</x:f>
      </x:c>
      <x:c r="AF450" s="154"/>
      <x:c r="AG450" s="156" t="str">
        <x:f>IF(AE450="","",MAX(0,AE450-IF(AF450="",0,AF450/60)))</x:f>
      </x:c>
      <x:c r="AH450" s="155"/>
      <x:c r="AI450" s="154"/>
      <x:c r="AJ450" s="154"/>
      <x:c r="AK450" s="156" t="n">
        <x:f>IFERROR(U450*W450,"")</x:f>
        <x:v>0</x:v>
      </x:c>
      <x:c r="AL450" s="156" t="n">
        <x:f>IFERROR(AE450*AI450,"")</x:f>
        <x:v>0</x:v>
      </x:c>
      <x:c r="AM450" s="157" t="str">
        <x:f>IFERROR(AH450/Q450,"")</x:f>
      </x:c>
      <x:c r="AN450" s="156" t="str">
        <x:f>IFERROR(AH450/AG450,"")</x:f>
      </x:c>
      <x:c r="AO450" s="156" t="str">
        <x:f>IFERROR(AL450/AH450,"")</x:f>
      </x:c>
      <x:c r="AP450" s="157" t="str">
        <x:f>IFERROR(AG450/AE450,"")</x:f>
      </x:c>
      <x:c r="AQ450" s="157" t="str">
        <x:f>IFERROR(AN450/(R450/'Configuracion'!$B$13),"")</x:f>
      </x:c>
      <x:c r="AR450" s="156" t="n">
        <x:f>IFERROR(AE450-U450,"")</x:f>
        <x:v>0</x:v>
      </x:c>
      <x:c r="AS450" s="154"/>
      <x:c r="AT450" s="154"/>
      <x:c r="AU450" s="154"/>
      <x:c r="AV450" s="154"/>
      <x:c r="AW450" s="152"/>
      <x:c r="AX450" s="154"/>
      <x:c r="AY450" s="154"/>
      <x:c r="AZ450" s="151"/>
      <x:c r="BA450" s="151"/>
    </x:row>
    <x:row r="451">
      <x:c r="A451" s="151" t="str">
        <x:f>IF(B451="","",TEXT(B451,"yyyymmdd")&amp;"-"&amp;TEXT(COUNTIF($B$5:B451,B451),"000"))</x:f>
      </x:c>
      <x:c r="B451" s="152"/>
      <x:c r="C451" s="153"/>
      <x:c r="D451" s="151" t="str">
        <x:f>IF(B451="","",'Configuracion'!$B$4)</x:f>
      </x:c>
      <x:c r="E451" s="154"/>
      <x:c r="F451" s="154"/>
      <x:c r="G451" s="151" t="str">
        <x:f>IFERROR(VLOOKUP(F451,'Base Sectores'!$A$5:$J$47,2,FALSE),"")</x:f>
      </x:c>
      <x:c r="H451" s="151" t="str">
        <x:f>IFERROR(VLOOKUP(F451,'Base Sectores'!$A$5:$J$47,3,FALSE),"")</x:f>
      </x:c>
      <x:c r="I451" s="151" t="str">
        <x:f>IFERROR(VLOOKUP(F451,'Base Sectores'!$A$5:$J$47,4,FALSE),"")</x:f>
      </x:c>
      <x:c r="J451" s="151" t="str">
        <x:f>IFERROR(VLOOKUP(F451,'Base Sectores'!$A$5:$J$47,5,FALSE),"")</x:f>
      </x:c>
      <x:c r="K451" s="151" t="str">
        <x:f>IFERROR(VLOOKUP(F451,'Base Sectores'!$A$5:$J$47,6,FALSE),"")</x:f>
      </x:c>
      <x:c r="L451" s="151" t="str">
        <x:f>IFERROR(VLOOKUP(F451,'Base Sectores'!$A$5:$J$47,7,FALSE),"")</x:f>
      </x:c>
      <x:c r="M451" s="151" t="str">
        <x:f>IFERROR(VLOOKUP(F451,'Base Sectores'!$A$5:$J$47,9,FALSE),"")</x:f>
      </x:c>
      <x:c r="N451" s="154"/>
      <x:c r="O451" s="151" t="str">
        <x:f>IFERROR(VLOOKUP(N451,'Configuracion'!$D$4:$H$15,2,FALSE),"")</x:f>
      </x:c>
      <x:c r="P451" s="151" t="str">
        <x:f>IFERROR(VLOOKUP(N451,'Configuracion'!$D$4:$H$15,3,FALSE),"")</x:f>
      </x:c>
      <x:c r="Q451" s="155"/>
      <x:c r="R451" s="156" t="str">
        <x:f>IFERROR(VLOOKUP(N451,'Configuracion'!$D$4:$H$15,4,FALSE),"")</x:f>
      </x:c>
      <x:c r="S451" s="153"/>
      <x:c r="T451" s="153"/>
      <x:c r="U451" s="156" t="str">
        <x:f>IF(OR(S451="",T451=""),"",MOD(T451-S451,1)*24)</x:f>
      </x:c>
      <x:c r="V451" s="154"/>
      <x:c r="W451" s="154"/>
      <x:c r="X451" s="151" t="str">
        <x:f>IFERROR(VLOOKUP(N451,'Configuracion'!$D$4:$H$15,5,FALSE),"")</x:f>
      </x:c>
      <x:c r="Y451" s="151" t="str">
        <x:f>IFERROR(VLOOKUP(V451,'Cuadrillas'!$A$5:$J$14,2,FALSE),"")</x:f>
      </x:c>
      <x:c r="Z451" s="154"/>
      <x:c r="AA451" s="154"/>
      <x:c r="AB451" s="154"/>
      <x:c r="AC451" s="153"/>
      <x:c r="AD451" s="153"/>
      <x:c r="AE451" s="156" t="str">
        <x:f>IF(OR(AC451="",AD451=""),"",MOD(AD451-AC451,1)*24)</x:f>
      </x:c>
      <x:c r="AF451" s="154"/>
      <x:c r="AG451" s="156" t="str">
        <x:f>IF(AE451="","",MAX(0,AE451-IF(AF451="",0,AF451/60)))</x:f>
      </x:c>
      <x:c r="AH451" s="155"/>
      <x:c r="AI451" s="154"/>
      <x:c r="AJ451" s="154"/>
      <x:c r="AK451" s="156" t="n">
        <x:f>IFERROR(U451*W451,"")</x:f>
        <x:v>0</x:v>
      </x:c>
      <x:c r="AL451" s="156" t="n">
        <x:f>IFERROR(AE451*AI451,"")</x:f>
        <x:v>0</x:v>
      </x:c>
      <x:c r="AM451" s="157" t="str">
        <x:f>IFERROR(AH451/Q451,"")</x:f>
      </x:c>
      <x:c r="AN451" s="156" t="str">
        <x:f>IFERROR(AH451/AG451,"")</x:f>
      </x:c>
      <x:c r="AO451" s="156" t="str">
        <x:f>IFERROR(AL451/AH451,"")</x:f>
      </x:c>
      <x:c r="AP451" s="157" t="str">
        <x:f>IFERROR(AG451/AE451,"")</x:f>
      </x:c>
      <x:c r="AQ451" s="157" t="str">
        <x:f>IFERROR(AN451/(R451/'Configuracion'!$B$13),"")</x:f>
      </x:c>
      <x:c r="AR451" s="156" t="n">
        <x:f>IFERROR(AE451-U451,"")</x:f>
        <x:v>0</x:v>
      </x:c>
      <x:c r="AS451" s="154"/>
      <x:c r="AT451" s="154"/>
      <x:c r="AU451" s="154"/>
      <x:c r="AV451" s="154"/>
      <x:c r="AW451" s="152"/>
      <x:c r="AX451" s="154"/>
      <x:c r="AY451" s="154"/>
      <x:c r="AZ451" s="151"/>
      <x:c r="BA451" s="151"/>
    </x:row>
    <x:row r="452">
      <x:c r="A452" s="151" t="str">
        <x:f>IF(B452="","",TEXT(B452,"yyyymmdd")&amp;"-"&amp;TEXT(COUNTIF($B$5:B452,B452),"000"))</x:f>
      </x:c>
      <x:c r="B452" s="152"/>
      <x:c r="C452" s="153"/>
      <x:c r="D452" s="151" t="str">
        <x:f>IF(B452="","",'Configuracion'!$B$4)</x:f>
      </x:c>
      <x:c r="E452" s="154"/>
      <x:c r="F452" s="154"/>
      <x:c r="G452" s="151" t="str">
        <x:f>IFERROR(VLOOKUP(F452,'Base Sectores'!$A$5:$J$47,2,FALSE),"")</x:f>
      </x:c>
      <x:c r="H452" s="151" t="str">
        <x:f>IFERROR(VLOOKUP(F452,'Base Sectores'!$A$5:$J$47,3,FALSE),"")</x:f>
      </x:c>
      <x:c r="I452" s="151" t="str">
        <x:f>IFERROR(VLOOKUP(F452,'Base Sectores'!$A$5:$J$47,4,FALSE),"")</x:f>
      </x:c>
      <x:c r="J452" s="151" t="str">
        <x:f>IFERROR(VLOOKUP(F452,'Base Sectores'!$A$5:$J$47,5,FALSE),"")</x:f>
      </x:c>
      <x:c r="K452" s="151" t="str">
        <x:f>IFERROR(VLOOKUP(F452,'Base Sectores'!$A$5:$J$47,6,FALSE),"")</x:f>
      </x:c>
      <x:c r="L452" s="151" t="str">
        <x:f>IFERROR(VLOOKUP(F452,'Base Sectores'!$A$5:$J$47,7,FALSE),"")</x:f>
      </x:c>
      <x:c r="M452" s="151" t="str">
        <x:f>IFERROR(VLOOKUP(F452,'Base Sectores'!$A$5:$J$47,9,FALSE),"")</x:f>
      </x:c>
      <x:c r="N452" s="154"/>
      <x:c r="O452" s="151" t="str">
        <x:f>IFERROR(VLOOKUP(N452,'Configuracion'!$D$4:$H$15,2,FALSE),"")</x:f>
      </x:c>
      <x:c r="P452" s="151" t="str">
        <x:f>IFERROR(VLOOKUP(N452,'Configuracion'!$D$4:$H$15,3,FALSE),"")</x:f>
      </x:c>
      <x:c r="Q452" s="155"/>
      <x:c r="R452" s="156" t="str">
        <x:f>IFERROR(VLOOKUP(N452,'Configuracion'!$D$4:$H$15,4,FALSE),"")</x:f>
      </x:c>
      <x:c r="S452" s="153"/>
      <x:c r="T452" s="153"/>
      <x:c r="U452" s="156" t="str">
        <x:f>IF(OR(S452="",T452=""),"",MOD(T452-S452,1)*24)</x:f>
      </x:c>
      <x:c r="V452" s="154"/>
      <x:c r="W452" s="154"/>
      <x:c r="X452" s="151" t="str">
        <x:f>IFERROR(VLOOKUP(N452,'Configuracion'!$D$4:$H$15,5,FALSE),"")</x:f>
      </x:c>
      <x:c r="Y452" s="151" t="str">
        <x:f>IFERROR(VLOOKUP(V452,'Cuadrillas'!$A$5:$J$14,2,FALSE),"")</x:f>
      </x:c>
      <x:c r="Z452" s="154"/>
      <x:c r="AA452" s="154"/>
      <x:c r="AB452" s="154"/>
      <x:c r="AC452" s="153"/>
      <x:c r="AD452" s="153"/>
      <x:c r="AE452" s="156" t="str">
        <x:f>IF(OR(AC452="",AD452=""),"",MOD(AD452-AC452,1)*24)</x:f>
      </x:c>
      <x:c r="AF452" s="154"/>
      <x:c r="AG452" s="156" t="str">
        <x:f>IF(AE452="","",MAX(0,AE452-IF(AF452="",0,AF452/60)))</x:f>
      </x:c>
      <x:c r="AH452" s="155"/>
      <x:c r="AI452" s="154"/>
      <x:c r="AJ452" s="154"/>
      <x:c r="AK452" s="156" t="n">
        <x:f>IFERROR(U452*W452,"")</x:f>
        <x:v>0</x:v>
      </x:c>
      <x:c r="AL452" s="156" t="n">
        <x:f>IFERROR(AE452*AI452,"")</x:f>
        <x:v>0</x:v>
      </x:c>
      <x:c r="AM452" s="157" t="str">
        <x:f>IFERROR(AH452/Q452,"")</x:f>
      </x:c>
      <x:c r="AN452" s="156" t="str">
        <x:f>IFERROR(AH452/AG452,"")</x:f>
      </x:c>
      <x:c r="AO452" s="156" t="str">
        <x:f>IFERROR(AL452/AH452,"")</x:f>
      </x:c>
      <x:c r="AP452" s="157" t="str">
        <x:f>IFERROR(AG452/AE452,"")</x:f>
      </x:c>
      <x:c r="AQ452" s="157" t="str">
        <x:f>IFERROR(AN452/(R452/'Configuracion'!$B$13),"")</x:f>
      </x:c>
      <x:c r="AR452" s="156" t="n">
        <x:f>IFERROR(AE452-U452,"")</x:f>
        <x:v>0</x:v>
      </x:c>
      <x:c r="AS452" s="154"/>
      <x:c r="AT452" s="154"/>
      <x:c r="AU452" s="154"/>
      <x:c r="AV452" s="154"/>
      <x:c r="AW452" s="152"/>
      <x:c r="AX452" s="154"/>
      <x:c r="AY452" s="154"/>
      <x:c r="AZ452" s="151"/>
      <x:c r="BA452" s="151"/>
    </x:row>
    <x:row r="453">
      <x:c r="A453" s="151" t="str">
        <x:f>IF(B453="","",TEXT(B453,"yyyymmdd")&amp;"-"&amp;TEXT(COUNTIF($B$5:B453,B453),"000"))</x:f>
      </x:c>
      <x:c r="B453" s="152"/>
      <x:c r="C453" s="153"/>
      <x:c r="D453" s="151" t="str">
        <x:f>IF(B453="","",'Configuracion'!$B$4)</x:f>
      </x:c>
      <x:c r="E453" s="154"/>
      <x:c r="F453" s="154"/>
      <x:c r="G453" s="151" t="str">
        <x:f>IFERROR(VLOOKUP(F453,'Base Sectores'!$A$5:$J$47,2,FALSE),"")</x:f>
      </x:c>
      <x:c r="H453" s="151" t="str">
        <x:f>IFERROR(VLOOKUP(F453,'Base Sectores'!$A$5:$J$47,3,FALSE),"")</x:f>
      </x:c>
      <x:c r="I453" s="151" t="str">
        <x:f>IFERROR(VLOOKUP(F453,'Base Sectores'!$A$5:$J$47,4,FALSE),"")</x:f>
      </x:c>
      <x:c r="J453" s="151" t="str">
        <x:f>IFERROR(VLOOKUP(F453,'Base Sectores'!$A$5:$J$47,5,FALSE),"")</x:f>
      </x:c>
      <x:c r="K453" s="151" t="str">
        <x:f>IFERROR(VLOOKUP(F453,'Base Sectores'!$A$5:$J$47,6,FALSE),"")</x:f>
      </x:c>
      <x:c r="L453" s="151" t="str">
        <x:f>IFERROR(VLOOKUP(F453,'Base Sectores'!$A$5:$J$47,7,FALSE),"")</x:f>
      </x:c>
      <x:c r="M453" s="151" t="str">
        <x:f>IFERROR(VLOOKUP(F453,'Base Sectores'!$A$5:$J$47,9,FALSE),"")</x:f>
      </x:c>
      <x:c r="N453" s="154"/>
      <x:c r="O453" s="151" t="str">
        <x:f>IFERROR(VLOOKUP(N453,'Configuracion'!$D$4:$H$15,2,FALSE),"")</x:f>
      </x:c>
      <x:c r="P453" s="151" t="str">
        <x:f>IFERROR(VLOOKUP(N453,'Configuracion'!$D$4:$H$15,3,FALSE),"")</x:f>
      </x:c>
      <x:c r="Q453" s="155"/>
      <x:c r="R453" s="156" t="str">
        <x:f>IFERROR(VLOOKUP(N453,'Configuracion'!$D$4:$H$15,4,FALSE),"")</x:f>
      </x:c>
      <x:c r="S453" s="153"/>
      <x:c r="T453" s="153"/>
      <x:c r="U453" s="156" t="str">
        <x:f>IF(OR(S453="",T453=""),"",MOD(T453-S453,1)*24)</x:f>
      </x:c>
      <x:c r="V453" s="154"/>
      <x:c r="W453" s="154"/>
      <x:c r="X453" s="151" t="str">
        <x:f>IFERROR(VLOOKUP(N453,'Configuracion'!$D$4:$H$15,5,FALSE),"")</x:f>
      </x:c>
      <x:c r="Y453" s="151" t="str">
        <x:f>IFERROR(VLOOKUP(V453,'Cuadrillas'!$A$5:$J$14,2,FALSE),"")</x:f>
      </x:c>
      <x:c r="Z453" s="154"/>
      <x:c r="AA453" s="154"/>
      <x:c r="AB453" s="154"/>
      <x:c r="AC453" s="153"/>
      <x:c r="AD453" s="153"/>
      <x:c r="AE453" s="156" t="str">
        <x:f>IF(OR(AC453="",AD453=""),"",MOD(AD453-AC453,1)*24)</x:f>
      </x:c>
      <x:c r="AF453" s="154"/>
      <x:c r="AG453" s="156" t="str">
        <x:f>IF(AE453="","",MAX(0,AE453-IF(AF453="",0,AF453/60)))</x:f>
      </x:c>
      <x:c r="AH453" s="155"/>
      <x:c r="AI453" s="154"/>
      <x:c r="AJ453" s="154"/>
      <x:c r="AK453" s="156" t="n">
        <x:f>IFERROR(U453*W453,"")</x:f>
        <x:v>0</x:v>
      </x:c>
      <x:c r="AL453" s="156" t="n">
        <x:f>IFERROR(AE453*AI453,"")</x:f>
        <x:v>0</x:v>
      </x:c>
      <x:c r="AM453" s="157" t="str">
        <x:f>IFERROR(AH453/Q453,"")</x:f>
      </x:c>
      <x:c r="AN453" s="156" t="str">
        <x:f>IFERROR(AH453/AG453,"")</x:f>
      </x:c>
      <x:c r="AO453" s="156" t="str">
        <x:f>IFERROR(AL453/AH453,"")</x:f>
      </x:c>
      <x:c r="AP453" s="157" t="str">
        <x:f>IFERROR(AG453/AE453,"")</x:f>
      </x:c>
      <x:c r="AQ453" s="157" t="str">
        <x:f>IFERROR(AN453/(R453/'Configuracion'!$B$13),"")</x:f>
      </x:c>
      <x:c r="AR453" s="156" t="n">
        <x:f>IFERROR(AE453-U453,"")</x:f>
        <x:v>0</x:v>
      </x:c>
      <x:c r="AS453" s="154"/>
      <x:c r="AT453" s="154"/>
      <x:c r="AU453" s="154"/>
      <x:c r="AV453" s="154"/>
      <x:c r="AW453" s="152"/>
      <x:c r="AX453" s="154"/>
      <x:c r="AY453" s="154"/>
      <x:c r="AZ453" s="151"/>
      <x:c r="BA453" s="151"/>
    </x:row>
    <x:row r="454">
      <x:c r="A454" s="151" t="str">
        <x:f>IF(B454="","",TEXT(B454,"yyyymmdd")&amp;"-"&amp;TEXT(COUNTIF($B$5:B454,B454),"000"))</x:f>
      </x:c>
      <x:c r="B454" s="152"/>
      <x:c r="C454" s="153"/>
      <x:c r="D454" s="151" t="str">
        <x:f>IF(B454="","",'Configuracion'!$B$4)</x:f>
      </x:c>
      <x:c r="E454" s="154"/>
      <x:c r="F454" s="154"/>
      <x:c r="G454" s="151" t="str">
        <x:f>IFERROR(VLOOKUP(F454,'Base Sectores'!$A$5:$J$47,2,FALSE),"")</x:f>
      </x:c>
      <x:c r="H454" s="151" t="str">
        <x:f>IFERROR(VLOOKUP(F454,'Base Sectores'!$A$5:$J$47,3,FALSE),"")</x:f>
      </x:c>
      <x:c r="I454" s="151" t="str">
        <x:f>IFERROR(VLOOKUP(F454,'Base Sectores'!$A$5:$J$47,4,FALSE),"")</x:f>
      </x:c>
      <x:c r="J454" s="151" t="str">
        <x:f>IFERROR(VLOOKUP(F454,'Base Sectores'!$A$5:$J$47,5,FALSE),"")</x:f>
      </x:c>
      <x:c r="K454" s="151" t="str">
        <x:f>IFERROR(VLOOKUP(F454,'Base Sectores'!$A$5:$J$47,6,FALSE),"")</x:f>
      </x:c>
      <x:c r="L454" s="151" t="str">
        <x:f>IFERROR(VLOOKUP(F454,'Base Sectores'!$A$5:$J$47,7,FALSE),"")</x:f>
      </x:c>
      <x:c r="M454" s="151" t="str">
        <x:f>IFERROR(VLOOKUP(F454,'Base Sectores'!$A$5:$J$47,9,FALSE),"")</x:f>
      </x:c>
      <x:c r="N454" s="154"/>
      <x:c r="O454" s="151" t="str">
        <x:f>IFERROR(VLOOKUP(N454,'Configuracion'!$D$4:$H$15,2,FALSE),"")</x:f>
      </x:c>
      <x:c r="P454" s="151" t="str">
        <x:f>IFERROR(VLOOKUP(N454,'Configuracion'!$D$4:$H$15,3,FALSE),"")</x:f>
      </x:c>
      <x:c r="Q454" s="155"/>
      <x:c r="R454" s="156" t="str">
        <x:f>IFERROR(VLOOKUP(N454,'Configuracion'!$D$4:$H$15,4,FALSE),"")</x:f>
      </x:c>
      <x:c r="S454" s="153"/>
      <x:c r="T454" s="153"/>
      <x:c r="U454" s="156" t="str">
        <x:f>IF(OR(S454="",T454=""),"",MOD(T454-S454,1)*24)</x:f>
      </x:c>
      <x:c r="V454" s="154"/>
      <x:c r="W454" s="154"/>
      <x:c r="X454" s="151" t="str">
        <x:f>IFERROR(VLOOKUP(N454,'Configuracion'!$D$4:$H$15,5,FALSE),"")</x:f>
      </x:c>
      <x:c r="Y454" s="151" t="str">
        <x:f>IFERROR(VLOOKUP(V454,'Cuadrillas'!$A$5:$J$14,2,FALSE),"")</x:f>
      </x:c>
      <x:c r="Z454" s="154"/>
      <x:c r="AA454" s="154"/>
      <x:c r="AB454" s="154"/>
      <x:c r="AC454" s="153"/>
      <x:c r="AD454" s="153"/>
      <x:c r="AE454" s="156" t="str">
        <x:f>IF(OR(AC454="",AD454=""),"",MOD(AD454-AC454,1)*24)</x:f>
      </x:c>
      <x:c r="AF454" s="154"/>
      <x:c r="AG454" s="156" t="str">
        <x:f>IF(AE454="","",MAX(0,AE454-IF(AF454="",0,AF454/60)))</x:f>
      </x:c>
      <x:c r="AH454" s="155"/>
      <x:c r="AI454" s="154"/>
      <x:c r="AJ454" s="154"/>
      <x:c r="AK454" s="156" t="n">
        <x:f>IFERROR(U454*W454,"")</x:f>
        <x:v>0</x:v>
      </x:c>
      <x:c r="AL454" s="156" t="n">
        <x:f>IFERROR(AE454*AI454,"")</x:f>
        <x:v>0</x:v>
      </x:c>
      <x:c r="AM454" s="157" t="str">
        <x:f>IFERROR(AH454/Q454,"")</x:f>
      </x:c>
      <x:c r="AN454" s="156" t="str">
        <x:f>IFERROR(AH454/AG454,"")</x:f>
      </x:c>
      <x:c r="AO454" s="156" t="str">
        <x:f>IFERROR(AL454/AH454,"")</x:f>
      </x:c>
      <x:c r="AP454" s="157" t="str">
        <x:f>IFERROR(AG454/AE454,"")</x:f>
      </x:c>
      <x:c r="AQ454" s="157" t="str">
        <x:f>IFERROR(AN454/(R454/'Configuracion'!$B$13),"")</x:f>
      </x:c>
      <x:c r="AR454" s="156" t="n">
        <x:f>IFERROR(AE454-U454,"")</x:f>
        <x:v>0</x:v>
      </x:c>
      <x:c r="AS454" s="154"/>
      <x:c r="AT454" s="154"/>
      <x:c r="AU454" s="154"/>
      <x:c r="AV454" s="154"/>
      <x:c r="AW454" s="152"/>
      <x:c r="AX454" s="154"/>
      <x:c r="AY454" s="154"/>
      <x:c r="AZ454" s="151"/>
      <x:c r="BA454" s="151"/>
    </x:row>
    <x:row r="455">
      <x:c r="A455" s="151" t="str">
        <x:f>IF(B455="","",TEXT(B455,"yyyymmdd")&amp;"-"&amp;TEXT(COUNTIF($B$5:B455,B455),"000"))</x:f>
      </x:c>
      <x:c r="B455" s="152"/>
      <x:c r="C455" s="153"/>
      <x:c r="D455" s="151" t="str">
        <x:f>IF(B455="","",'Configuracion'!$B$4)</x:f>
      </x:c>
      <x:c r="E455" s="154"/>
      <x:c r="F455" s="154"/>
      <x:c r="G455" s="151" t="str">
        <x:f>IFERROR(VLOOKUP(F455,'Base Sectores'!$A$5:$J$47,2,FALSE),"")</x:f>
      </x:c>
      <x:c r="H455" s="151" t="str">
        <x:f>IFERROR(VLOOKUP(F455,'Base Sectores'!$A$5:$J$47,3,FALSE),"")</x:f>
      </x:c>
      <x:c r="I455" s="151" t="str">
        <x:f>IFERROR(VLOOKUP(F455,'Base Sectores'!$A$5:$J$47,4,FALSE),"")</x:f>
      </x:c>
      <x:c r="J455" s="151" t="str">
        <x:f>IFERROR(VLOOKUP(F455,'Base Sectores'!$A$5:$J$47,5,FALSE),"")</x:f>
      </x:c>
      <x:c r="K455" s="151" t="str">
        <x:f>IFERROR(VLOOKUP(F455,'Base Sectores'!$A$5:$J$47,6,FALSE),"")</x:f>
      </x:c>
      <x:c r="L455" s="151" t="str">
        <x:f>IFERROR(VLOOKUP(F455,'Base Sectores'!$A$5:$J$47,7,FALSE),"")</x:f>
      </x:c>
      <x:c r="M455" s="151" t="str">
        <x:f>IFERROR(VLOOKUP(F455,'Base Sectores'!$A$5:$J$47,9,FALSE),"")</x:f>
      </x:c>
      <x:c r="N455" s="154"/>
      <x:c r="O455" s="151" t="str">
        <x:f>IFERROR(VLOOKUP(N455,'Configuracion'!$D$4:$H$15,2,FALSE),"")</x:f>
      </x:c>
      <x:c r="P455" s="151" t="str">
        <x:f>IFERROR(VLOOKUP(N455,'Configuracion'!$D$4:$H$15,3,FALSE),"")</x:f>
      </x:c>
      <x:c r="Q455" s="155"/>
      <x:c r="R455" s="156" t="str">
        <x:f>IFERROR(VLOOKUP(N455,'Configuracion'!$D$4:$H$15,4,FALSE),"")</x:f>
      </x:c>
      <x:c r="S455" s="153"/>
      <x:c r="T455" s="153"/>
      <x:c r="U455" s="156" t="str">
        <x:f>IF(OR(S455="",T455=""),"",MOD(T455-S455,1)*24)</x:f>
      </x:c>
      <x:c r="V455" s="154"/>
      <x:c r="W455" s="154"/>
      <x:c r="X455" s="151" t="str">
        <x:f>IFERROR(VLOOKUP(N455,'Configuracion'!$D$4:$H$15,5,FALSE),"")</x:f>
      </x:c>
      <x:c r="Y455" s="151" t="str">
        <x:f>IFERROR(VLOOKUP(V455,'Cuadrillas'!$A$5:$J$14,2,FALSE),"")</x:f>
      </x:c>
      <x:c r="Z455" s="154"/>
      <x:c r="AA455" s="154"/>
      <x:c r="AB455" s="154"/>
      <x:c r="AC455" s="153"/>
      <x:c r="AD455" s="153"/>
      <x:c r="AE455" s="156" t="str">
        <x:f>IF(OR(AC455="",AD455=""),"",MOD(AD455-AC455,1)*24)</x:f>
      </x:c>
      <x:c r="AF455" s="154"/>
      <x:c r="AG455" s="156" t="str">
        <x:f>IF(AE455="","",MAX(0,AE455-IF(AF455="",0,AF455/60)))</x:f>
      </x:c>
      <x:c r="AH455" s="155"/>
      <x:c r="AI455" s="154"/>
      <x:c r="AJ455" s="154"/>
      <x:c r="AK455" s="156" t="n">
        <x:f>IFERROR(U455*W455,"")</x:f>
        <x:v>0</x:v>
      </x:c>
      <x:c r="AL455" s="156" t="n">
        <x:f>IFERROR(AE455*AI455,"")</x:f>
        <x:v>0</x:v>
      </x:c>
      <x:c r="AM455" s="157" t="str">
        <x:f>IFERROR(AH455/Q455,"")</x:f>
      </x:c>
      <x:c r="AN455" s="156" t="str">
        <x:f>IFERROR(AH455/AG455,"")</x:f>
      </x:c>
      <x:c r="AO455" s="156" t="str">
        <x:f>IFERROR(AL455/AH455,"")</x:f>
      </x:c>
      <x:c r="AP455" s="157" t="str">
        <x:f>IFERROR(AG455/AE455,"")</x:f>
      </x:c>
      <x:c r="AQ455" s="157" t="str">
        <x:f>IFERROR(AN455/(R455/'Configuracion'!$B$13),"")</x:f>
      </x:c>
      <x:c r="AR455" s="156" t="n">
        <x:f>IFERROR(AE455-U455,"")</x:f>
        <x:v>0</x:v>
      </x:c>
      <x:c r="AS455" s="154"/>
      <x:c r="AT455" s="154"/>
      <x:c r="AU455" s="154"/>
      <x:c r="AV455" s="154"/>
      <x:c r="AW455" s="152"/>
      <x:c r="AX455" s="154"/>
      <x:c r="AY455" s="154"/>
      <x:c r="AZ455" s="151"/>
      <x:c r="BA455" s="151"/>
    </x:row>
    <x:row r="456">
      <x:c r="A456" s="151" t="str">
        <x:f>IF(B456="","",TEXT(B456,"yyyymmdd")&amp;"-"&amp;TEXT(COUNTIF($B$5:B456,B456),"000"))</x:f>
      </x:c>
      <x:c r="B456" s="152"/>
      <x:c r="C456" s="153"/>
      <x:c r="D456" s="151" t="str">
        <x:f>IF(B456="","",'Configuracion'!$B$4)</x:f>
      </x:c>
      <x:c r="E456" s="154"/>
      <x:c r="F456" s="154"/>
      <x:c r="G456" s="151" t="str">
        <x:f>IFERROR(VLOOKUP(F456,'Base Sectores'!$A$5:$J$47,2,FALSE),"")</x:f>
      </x:c>
      <x:c r="H456" s="151" t="str">
        <x:f>IFERROR(VLOOKUP(F456,'Base Sectores'!$A$5:$J$47,3,FALSE),"")</x:f>
      </x:c>
      <x:c r="I456" s="151" t="str">
        <x:f>IFERROR(VLOOKUP(F456,'Base Sectores'!$A$5:$J$47,4,FALSE),"")</x:f>
      </x:c>
      <x:c r="J456" s="151" t="str">
        <x:f>IFERROR(VLOOKUP(F456,'Base Sectores'!$A$5:$J$47,5,FALSE),"")</x:f>
      </x:c>
      <x:c r="K456" s="151" t="str">
        <x:f>IFERROR(VLOOKUP(F456,'Base Sectores'!$A$5:$J$47,6,FALSE),"")</x:f>
      </x:c>
      <x:c r="L456" s="151" t="str">
        <x:f>IFERROR(VLOOKUP(F456,'Base Sectores'!$A$5:$J$47,7,FALSE),"")</x:f>
      </x:c>
      <x:c r="M456" s="151" t="str">
        <x:f>IFERROR(VLOOKUP(F456,'Base Sectores'!$A$5:$J$47,9,FALSE),"")</x:f>
      </x:c>
      <x:c r="N456" s="154"/>
      <x:c r="O456" s="151" t="str">
        <x:f>IFERROR(VLOOKUP(N456,'Configuracion'!$D$4:$H$15,2,FALSE),"")</x:f>
      </x:c>
      <x:c r="P456" s="151" t="str">
        <x:f>IFERROR(VLOOKUP(N456,'Configuracion'!$D$4:$H$15,3,FALSE),"")</x:f>
      </x:c>
      <x:c r="Q456" s="155"/>
      <x:c r="R456" s="156" t="str">
        <x:f>IFERROR(VLOOKUP(N456,'Configuracion'!$D$4:$H$15,4,FALSE),"")</x:f>
      </x:c>
      <x:c r="S456" s="153"/>
      <x:c r="T456" s="153"/>
      <x:c r="U456" s="156" t="str">
        <x:f>IF(OR(S456="",T456=""),"",MOD(T456-S456,1)*24)</x:f>
      </x:c>
      <x:c r="V456" s="154"/>
      <x:c r="W456" s="154"/>
      <x:c r="X456" s="151" t="str">
        <x:f>IFERROR(VLOOKUP(N456,'Configuracion'!$D$4:$H$15,5,FALSE),"")</x:f>
      </x:c>
      <x:c r="Y456" s="151" t="str">
        <x:f>IFERROR(VLOOKUP(V456,'Cuadrillas'!$A$5:$J$14,2,FALSE),"")</x:f>
      </x:c>
      <x:c r="Z456" s="154"/>
      <x:c r="AA456" s="154"/>
      <x:c r="AB456" s="154"/>
      <x:c r="AC456" s="153"/>
      <x:c r="AD456" s="153"/>
      <x:c r="AE456" s="156" t="str">
        <x:f>IF(OR(AC456="",AD456=""),"",MOD(AD456-AC456,1)*24)</x:f>
      </x:c>
      <x:c r="AF456" s="154"/>
      <x:c r="AG456" s="156" t="str">
        <x:f>IF(AE456="","",MAX(0,AE456-IF(AF456="",0,AF456/60)))</x:f>
      </x:c>
      <x:c r="AH456" s="155"/>
      <x:c r="AI456" s="154"/>
      <x:c r="AJ456" s="154"/>
      <x:c r="AK456" s="156" t="n">
        <x:f>IFERROR(U456*W456,"")</x:f>
        <x:v>0</x:v>
      </x:c>
      <x:c r="AL456" s="156" t="n">
        <x:f>IFERROR(AE456*AI456,"")</x:f>
        <x:v>0</x:v>
      </x:c>
      <x:c r="AM456" s="157" t="str">
        <x:f>IFERROR(AH456/Q456,"")</x:f>
      </x:c>
      <x:c r="AN456" s="156" t="str">
        <x:f>IFERROR(AH456/AG456,"")</x:f>
      </x:c>
      <x:c r="AO456" s="156" t="str">
        <x:f>IFERROR(AL456/AH456,"")</x:f>
      </x:c>
      <x:c r="AP456" s="157" t="str">
        <x:f>IFERROR(AG456/AE456,"")</x:f>
      </x:c>
      <x:c r="AQ456" s="157" t="str">
        <x:f>IFERROR(AN456/(R456/'Configuracion'!$B$13),"")</x:f>
      </x:c>
      <x:c r="AR456" s="156" t="n">
        <x:f>IFERROR(AE456-U456,"")</x:f>
        <x:v>0</x:v>
      </x:c>
      <x:c r="AS456" s="154"/>
      <x:c r="AT456" s="154"/>
      <x:c r="AU456" s="154"/>
      <x:c r="AV456" s="154"/>
      <x:c r="AW456" s="152"/>
      <x:c r="AX456" s="154"/>
      <x:c r="AY456" s="154"/>
      <x:c r="AZ456" s="151"/>
      <x:c r="BA456" s="151"/>
    </x:row>
    <x:row r="457">
      <x:c r="A457" s="151" t="str">
        <x:f>IF(B457="","",TEXT(B457,"yyyymmdd")&amp;"-"&amp;TEXT(COUNTIF($B$5:B457,B457),"000"))</x:f>
      </x:c>
      <x:c r="B457" s="152"/>
      <x:c r="C457" s="153"/>
      <x:c r="D457" s="151" t="str">
        <x:f>IF(B457="","",'Configuracion'!$B$4)</x:f>
      </x:c>
      <x:c r="E457" s="154"/>
      <x:c r="F457" s="154"/>
      <x:c r="G457" s="151" t="str">
        <x:f>IFERROR(VLOOKUP(F457,'Base Sectores'!$A$5:$J$47,2,FALSE),"")</x:f>
      </x:c>
      <x:c r="H457" s="151" t="str">
        <x:f>IFERROR(VLOOKUP(F457,'Base Sectores'!$A$5:$J$47,3,FALSE),"")</x:f>
      </x:c>
      <x:c r="I457" s="151" t="str">
        <x:f>IFERROR(VLOOKUP(F457,'Base Sectores'!$A$5:$J$47,4,FALSE),"")</x:f>
      </x:c>
      <x:c r="J457" s="151" t="str">
        <x:f>IFERROR(VLOOKUP(F457,'Base Sectores'!$A$5:$J$47,5,FALSE),"")</x:f>
      </x:c>
      <x:c r="K457" s="151" t="str">
        <x:f>IFERROR(VLOOKUP(F457,'Base Sectores'!$A$5:$J$47,6,FALSE),"")</x:f>
      </x:c>
      <x:c r="L457" s="151" t="str">
        <x:f>IFERROR(VLOOKUP(F457,'Base Sectores'!$A$5:$J$47,7,FALSE),"")</x:f>
      </x:c>
      <x:c r="M457" s="151" t="str">
        <x:f>IFERROR(VLOOKUP(F457,'Base Sectores'!$A$5:$J$47,9,FALSE),"")</x:f>
      </x:c>
      <x:c r="N457" s="154"/>
      <x:c r="O457" s="151" t="str">
        <x:f>IFERROR(VLOOKUP(N457,'Configuracion'!$D$4:$H$15,2,FALSE),"")</x:f>
      </x:c>
      <x:c r="P457" s="151" t="str">
        <x:f>IFERROR(VLOOKUP(N457,'Configuracion'!$D$4:$H$15,3,FALSE),"")</x:f>
      </x:c>
      <x:c r="Q457" s="155"/>
      <x:c r="R457" s="156" t="str">
        <x:f>IFERROR(VLOOKUP(N457,'Configuracion'!$D$4:$H$15,4,FALSE),"")</x:f>
      </x:c>
      <x:c r="S457" s="153"/>
      <x:c r="T457" s="153"/>
      <x:c r="U457" s="156" t="str">
        <x:f>IF(OR(S457="",T457=""),"",MOD(T457-S457,1)*24)</x:f>
      </x:c>
      <x:c r="V457" s="154"/>
      <x:c r="W457" s="154"/>
      <x:c r="X457" s="151" t="str">
        <x:f>IFERROR(VLOOKUP(N457,'Configuracion'!$D$4:$H$15,5,FALSE),"")</x:f>
      </x:c>
      <x:c r="Y457" s="151" t="str">
        <x:f>IFERROR(VLOOKUP(V457,'Cuadrillas'!$A$5:$J$14,2,FALSE),"")</x:f>
      </x:c>
      <x:c r="Z457" s="154"/>
      <x:c r="AA457" s="154"/>
      <x:c r="AB457" s="154"/>
      <x:c r="AC457" s="153"/>
      <x:c r="AD457" s="153"/>
      <x:c r="AE457" s="156" t="str">
        <x:f>IF(OR(AC457="",AD457=""),"",MOD(AD457-AC457,1)*24)</x:f>
      </x:c>
      <x:c r="AF457" s="154"/>
      <x:c r="AG457" s="156" t="str">
        <x:f>IF(AE457="","",MAX(0,AE457-IF(AF457="",0,AF457/60)))</x:f>
      </x:c>
      <x:c r="AH457" s="155"/>
      <x:c r="AI457" s="154"/>
      <x:c r="AJ457" s="154"/>
      <x:c r="AK457" s="156" t="n">
        <x:f>IFERROR(U457*W457,"")</x:f>
        <x:v>0</x:v>
      </x:c>
      <x:c r="AL457" s="156" t="n">
        <x:f>IFERROR(AE457*AI457,"")</x:f>
        <x:v>0</x:v>
      </x:c>
      <x:c r="AM457" s="157" t="str">
        <x:f>IFERROR(AH457/Q457,"")</x:f>
      </x:c>
      <x:c r="AN457" s="156" t="str">
        <x:f>IFERROR(AH457/AG457,"")</x:f>
      </x:c>
      <x:c r="AO457" s="156" t="str">
        <x:f>IFERROR(AL457/AH457,"")</x:f>
      </x:c>
      <x:c r="AP457" s="157" t="str">
        <x:f>IFERROR(AG457/AE457,"")</x:f>
      </x:c>
      <x:c r="AQ457" s="157" t="str">
        <x:f>IFERROR(AN457/(R457/'Configuracion'!$B$13),"")</x:f>
      </x:c>
      <x:c r="AR457" s="156" t="n">
        <x:f>IFERROR(AE457-U457,"")</x:f>
        <x:v>0</x:v>
      </x:c>
      <x:c r="AS457" s="154"/>
      <x:c r="AT457" s="154"/>
      <x:c r="AU457" s="154"/>
      <x:c r="AV457" s="154"/>
      <x:c r="AW457" s="152"/>
      <x:c r="AX457" s="154"/>
      <x:c r="AY457" s="154"/>
      <x:c r="AZ457" s="151"/>
      <x:c r="BA457" s="151"/>
    </x:row>
    <x:row r="458">
      <x:c r="A458" s="151" t="str">
        <x:f>IF(B458="","",TEXT(B458,"yyyymmdd")&amp;"-"&amp;TEXT(COUNTIF($B$5:B458,B458),"000"))</x:f>
      </x:c>
      <x:c r="B458" s="152"/>
      <x:c r="C458" s="153"/>
      <x:c r="D458" s="151" t="str">
        <x:f>IF(B458="","",'Configuracion'!$B$4)</x:f>
      </x:c>
      <x:c r="E458" s="154"/>
      <x:c r="F458" s="154"/>
      <x:c r="G458" s="151" t="str">
        <x:f>IFERROR(VLOOKUP(F458,'Base Sectores'!$A$5:$J$47,2,FALSE),"")</x:f>
      </x:c>
      <x:c r="H458" s="151" t="str">
        <x:f>IFERROR(VLOOKUP(F458,'Base Sectores'!$A$5:$J$47,3,FALSE),"")</x:f>
      </x:c>
      <x:c r="I458" s="151" t="str">
        <x:f>IFERROR(VLOOKUP(F458,'Base Sectores'!$A$5:$J$47,4,FALSE),"")</x:f>
      </x:c>
      <x:c r="J458" s="151" t="str">
        <x:f>IFERROR(VLOOKUP(F458,'Base Sectores'!$A$5:$J$47,5,FALSE),"")</x:f>
      </x:c>
      <x:c r="K458" s="151" t="str">
        <x:f>IFERROR(VLOOKUP(F458,'Base Sectores'!$A$5:$J$47,6,FALSE),"")</x:f>
      </x:c>
      <x:c r="L458" s="151" t="str">
        <x:f>IFERROR(VLOOKUP(F458,'Base Sectores'!$A$5:$J$47,7,FALSE),"")</x:f>
      </x:c>
      <x:c r="M458" s="151" t="str">
        <x:f>IFERROR(VLOOKUP(F458,'Base Sectores'!$A$5:$J$47,9,FALSE),"")</x:f>
      </x:c>
      <x:c r="N458" s="154"/>
      <x:c r="O458" s="151" t="str">
        <x:f>IFERROR(VLOOKUP(N458,'Configuracion'!$D$4:$H$15,2,FALSE),"")</x:f>
      </x:c>
      <x:c r="P458" s="151" t="str">
        <x:f>IFERROR(VLOOKUP(N458,'Configuracion'!$D$4:$H$15,3,FALSE),"")</x:f>
      </x:c>
      <x:c r="Q458" s="155"/>
      <x:c r="R458" s="156" t="str">
        <x:f>IFERROR(VLOOKUP(N458,'Configuracion'!$D$4:$H$15,4,FALSE),"")</x:f>
      </x:c>
      <x:c r="S458" s="153"/>
      <x:c r="T458" s="153"/>
      <x:c r="U458" s="156" t="str">
        <x:f>IF(OR(S458="",T458=""),"",MOD(T458-S458,1)*24)</x:f>
      </x:c>
      <x:c r="V458" s="154"/>
      <x:c r="W458" s="154"/>
      <x:c r="X458" s="151" t="str">
        <x:f>IFERROR(VLOOKUP(N458,'Configuracion'!$D$4:$H$15,5,FALSE),"")</x:f>
      </x:c>
      <x:c r="Y458" s="151" t="str">
        <x:f>IFERROR(VLOOKUP(V458,'Cuadrillas'!$A$5:$J$14,2,FALSE),"")</x:f>
      </x:c>
      <x:c r="Z458" s="154"/>
      <x:c r="AA458" s="154"/>
      <x:c r="AB458" s="154"/>
      <x:c r="AC458" s="153"/>
      <x:c r="AD458" s="153"/>
      <x:c r="AE458" s="156" t="str">
        <x:f>IF(OR(AC458="",AD458=""),"",MOD(AD458-AC458,1)*24)</x:f>
      </x:c>
      <x:c r="AF458" s="154"/>
      <x:c r="AG458" s="156" t="str">
        <x:f>IF(AE458="","",MAX(0,AE458-IF(AF458="",0,AF458/60)))</x:f>
      </x:c>
      <x:c r="AH458" s="155"/>
      <x:c r="AI458" s="154"/>
      <x:c r="AJ458" s="154"/>
      <x:c r="AK458" s="156" t="n">
        <x:f>IFERROR(U458*W458,"")</x:f>
        <x:v>0</x:v>
      </x:c>
      <x:c r="AL458" s="156" t="n">
        <x:f>IFERROR(AE458*AI458,"")</x:f>
        <x:v>0</x:v>
      </x:c>
      <x:c r="AM458" s="157" t="str">
        <x:f>IFERROR(AH458/Q458,"")</x:f>
      </x:c>
      <x:c r="AN458" s="156" t="str">
        <x:f>IFERROR(AH458/AG458,"")</x:f>
      </x:c>
      <x:c r="AO458" s="156" t="str">
        <x:f>IFERROR(AL458/AH458,"")</x:f>
      </x:c>
      <x:c r="AP458" s="157" t="str">
        <x:f>IFERROR(AG458/AE458,"")</x:f>
      </x:c>
      <x:c r="AQ458" s="157" t="str">
        <x:f>IFERROR(AN458/(R458/'Configuracion'!$B$13),"")</x:f>
      </x:c>
      <x:c r="AR458" s="156" t="n">
        <x:f>IFERROR(AE458-U458,"")</x:f>
        <x:v>0</x:v>
      </x:c>
      <x:c r="AS458" s="154"/>
      <x:c r="AT458" s="154"/>
      <x:c r="AU458" s="154"/>
      <x:c r="AV458" s="154"/>
      <x:c r="AW458" s="152"/>
      <x:c r="AX458" s="154"/>
      <x:c r="AY458" s="154"/>
      <x:c r="AZ458" s="151"/>
      <x:c r="BA458" s="151"/>
    </x:row>
    <x:row r="459">
      <x:c r="A459" s="151" t="str">
        <x:f>IF(B459="","",TEXT(B459,"yyyymmdd")&amp;"-"&amp;TEXT(COUNTIF($B$5:B459,B459),"000"))</x:f>
      </x:c>
      <x:c r="B459" s="152"/>
      <x:c r="C459" s="153"/>
      <x:c r="D459" s="151" t="str">
        <x:f>IF(B459="","",'Configuracion'!$B$4)</x:f>
      </x:c>
      <x:c r="E459" s="154"/>
      <x:c r="F459" s="154"/>
      <x:c r="G459" s="151" t="str">
        <x:f>IFERROR(VLOOKUP(F459,'Base Sectores'!$A$5:$J$47,2,FALSE),"")</x:f>
      </x:c>
      <x:c r="H459" s="151" t="str">
        <x:f>IFERROR(VLOOKUP(F459,'Base Sectores'!$A$5:$J$47,3,FALSE),"")</x:f>
      </x:c>
      <x:c r="I459" s="151" t="str">
        <x:f>IFERROR(VLOOKUP(F459,'Base Sectores'!$A$5:$J$47,4,FALSE),"")</x:f>
      </x:c>
      <x:c r="J459" s="151" t="str">
        <x:f>IFERROR(VLOOKUP(F459,'Base Sectores'!$A$5:$J$47,5,FALSE),"")</x:f>
      </x:c>
      <x:c r="K459" s="151" t="str">
        <x:f>IFERROR(VLOOKUP(F459,'Base Sectores'!$A$5:$J$47,6,FALSE),"")</x:f>
      </x:c>
      <x:c r="L459" s="151" t="str">
        <x:f>IFERROR(VLOOKUP(F459,'Base Sectores'!$A$5:$J$47,7,FALSE),"")</x:f>
      </x:c>
      <x:c r="M459" s="151" t="str">
        <x:f>IFERROR(VLOOKUP(F459,'Base Sectores'!$A$5:$J$47,9,FALSE),"")</x:f>
      </x:c>
      <x:c r="N459" s="154"/>
      <x:c r="O459" s="151" t="str">
        <x:f>IFERROR(VLOOKUP(N459,'Configuracion'!$D$4:$H$15,2,FALSE),"")</x:f>
      </x:c>
      <x:c r="P459" s="151" t="str">
        <x:f>IFERROR(VLOOKUP(N459,'Configuracion'!$D$4:$H$15,3,FALSE),"")</x:f>
      </x:c>
      <x:c r="Q459" s="155"/>
      <x:c r="R459" s="156" t="str">
        <x:f>IFERROR(VLOOKUP(N459,'Configuracion'!$D$4:$H$15,4,FALSE),"")</x:f>
      </x:c>
      <x:c r="S459" s="153"/>
      <x:c r="T459" s="153"/>
      <x:c r="U459" s="156" t="str">
        <x:f>IF(OR(S459="",T459=""),"",MOD(T459-S459,1)*24)</x:f>
      </x:c>
      <x:c r="V459" s="154"/>
      <x:c r="W459" s="154"/>
      <x:c r="X459" s="151" t="str">
        <x:f>IFERROR(VLOOKUP(N459,'Configuracion'!$D$4:$H$15,5,FALSE),"")</x:f>
      </x:c>
      <x:c r="Y459" s="151" t="str">
        <x:f>IFERROR(VLOOKUP(V459,'Cuadrillas'!$A$5:$J$14,2,FALSE),"")</x:f>
      </x:c>
      <x:c r="Z459" s="154"/>
      <x:c r="AA459" s="154"/>
      <x:c r="AB459" s="154"/>
      <x:c r="AC459" s="153"/>
      <x:c r="AD459" s="153"/>
      <x:c r="AE459" s="156" t="str">
        <x:f>IF(OR(AC459="",AD459=""),"",MOD(AD459-AC459,1)*24)</x:f>
      </x:c>
      <x:c r="AF459" s="154"/>
      <x:c r="AG459" s="156" t="str">
        <x:f>IF(AE459="","",MAX(0,AE459-IF(AF459="",0,AF459/60)))</x:f>
      </x:c>
      <x:c r="AH459" s="155"/>
      <x:c r="AI459" s="154"/>
      <x:c r="AJ459" s="154"/>
      <x:c r="AK459" s="156" t="n">
        <x:f>IFERROR(U459*W459,"")</x:f>
        <x:v>0</x:v>
      </x:c>
      <x:c r="AL459" s="156" t="n">
        <x:f>IFERROR(AE459*AI459,"")</x:f>
        <x:v>0</x:v>
      </x:c>
      <x:c r="AM459" s="157" t="str">
        <x:f>IFERROR(AH459/Q459,"")</x:f>
      </x:c>
      <x:c r="AN459" s="156" t="str">
        <x:f>IFERROR(AH459/AG459,"")</x:f>
      </x:c>
      <x:c r="AO459" s="156" t="str">
        <x:f>IFERROR(AL459/AH459,"")</x:f>
      </x:c>
      <x:c r="AP459" s="157" t="str">
        <x:f>IFERROR(AG459/AE459,"")</x:f>
      </x:c>
      <x:c r="AQ459" s="157" t="str">
        <x:f>IFERROR(AN459/(R459/'Configuracion'!$B$13),"")</x:f>
      </x:c>
      <x:c r="AR459" s="156" t="n">
        <x:f>IFERROR(AE459-U459,"")</x:f>
        <x:v>0</x:v>
      </x:c>
      <x:c r="AS459" s="154"/>
      <x:c r="AT459" s="154"/>
      <x:c r="AU459" s="154"/>
      <x:c r="AV459" s="154"/>
      <x:c r="AW459" s="152"/>
      <x:c r="AX459" s="154"/>
      <x:c r="AY459" s="154"/>
      <x:c r="AZ459" s="151"/>
      <x:c r="BA459" s="151"/>
    </x:row>
    <x:row r="460">
      <x:c r="A460" s="151" t="str">
        <x:f>IF(B460="","",TEXT(B460,"yyyymmdd")&amp;"-"&amp;TEXT(COUNTIF($B$5:B460,B460),"000"))</x:f>
      </x:c>
      <x:c r="B460" s="152"/>
      <x:c r="C460" s="153"/>
      <x:c r="D460" s="151" t="str">
        <x:f>IF(B460="","",'Configuracion'!$B$4)</x:f>
      </x:c>
      <x:c r="E460" s="154"/>
      <x:c r="F460" s="154"/>
      <x:c r="G460" s="151" t="str">
        <x:f>IFERROR(VLOOKUP(F460,'Base Sectores'!$A$5:$J$47,2,FALSE),"")</x:f>
      </x:c>
      <x:c r="H460" s="151" t="str">
        <x:f>IFERROR(VLOOKUP(F460,'Base Sectores'!$A$5:$J$47,3,FALSE),"")</x:f>
      </x:c>
      <x:c r="I460" s="151" t="str">
        <x:f>IFERROR(VLOOKUP(F460,'Base Sectores'!$A$5:$J$47,4,FALSE),"")</x:f>
      </x:c>
      <x:c r="J460" s="151" t="str">
        <x:f>IFERROR(VLOOKUP(F460,'Base Sectores'!$A$5:$J$47,5,FALSE),"")</x:f>
      </x:c>
      <x:c r="K460" s="151" t="str">
        <x:f>IFERROR(VLOOKUP(F460,'Base Sectores'!$A$5:$J$47,6,FALSE),"")</x:f>
      </x:c>
      <x:c r="L460" s="151" t="str">
        <x:f>IFERROR(VLOOKUP(F460,'Base Sectores'!$A$5:$J$47,7,FALSE),"")</x:f>
      </x:c>
      <x:c r="M460" s="151" t="str">
        <x:f>IFERROR(VLOOKUP(F460,'Base Sectores'!$A$5:$J$47,9,FALSE),"")</x:f>
      </x:c>
      <x:c r="N460" s="154"/>
      <x:c r="O460" s="151" t="str">
        <x:f>IFERROR(VLOOKUP(N460,'Configuracion'!$D$4:$H$15,2,FALSE),"")</x:f>
      </x:c>
      <x:c r="P460" s="151" t="str">
        <x:f>IFERROR(VLOOKUP(N460,'Configuracion'!$D$4:$H$15,3,FALSE),"")</x:f>
      </x:c>
      <x:c r="Q460" s="155"/>
      <x:c r="R460" s="156" t="str">
        <x:f>IFERROR(VLOOKUP(N460,'Configuracion'!$D$4:$H$15,4,FALSE),"")</x:f>
      </x:c>
      <x:c r="S460" s="153"/>
      <x:c r="T460" s="153"/>
      <x:c r="U460" s="156" t="str">
        <x:f>IF(OR(S460="",T460=""),"",MOD(T460-S460,1)*24)</x:f>
      </x:c>
      <x:c r="V460" s="154"/>
      <x:c r="W460" s="154"/>
      <x:c r="X460" s="151" t="str">
        <x:f>IFERROR(VLOOKUP(N460,'Configuracion'!$D$4:$H$15,5,FALSE),"")</x:f>
      </x:c>
      <x:c r="Y460" s="151" t="str">
        <x:f>IFERROR(VLOOKUP(V460,'Cuadrillas'!$A$5:$J$14,2,FALSE),"")</x:f>
      </x:c>
      <x:c r="Z460" s="154"/>
      <x:c r="AA460" s="154"/>
      <x:c r="AB460" s="154"/>
      <x:c r="AC460" s="153"/>
      <x:c r="AD460" s="153"/>
      <x:c r="AE460" s="156" t="str">
        <x:f>IF(OR(AC460="",AD460=""),"",MOD(AD460-AC460,1)*24)</x:f>
      </x:c>
      <x:c r="AF460" s="154"/>
      <x:c r="AG460" s="156" t="str">
        <x:f>IF(AE460="","",MAX(0,AE460-IF(AF460="",0,AF460/60)))</x:f>
      </x:c>
      <x:c r="AH460" s="155"/>
      <x:c r="AI460" s="154"/>
      <x:c r="AJ460" s="154"/>
      <x:c r="AK460" s="156" t="n">
        <x:f>IFERROR(U460*W460,"")</x:f>
        <x:v>0</x:v>
      </x:c>
      <x:c r="AL460" s="156" t="n">
        <x:f>IFERROR(AE460*AI460,"")</x:f>
        <x:v>0</x:v>
      </x:c>
      <x:c r="AM460" s="157" t="str">
        <x:f>IFERROR(AH460/Q460,"")</x:f>
      </x:c>
      <x:c r="AN460" s="156" t="str">
        <x:f>IFERROR(AH460/AG460,"")</x:f>
      </x:c>
      <x:c r="AO460" s="156" t="str">
        <x:f>IFERROR(AL460/AH460,"")</x:f>
      </x:c>
      <x:c r="AP460" s="157" t="str">
        <x:f>IFERROR(AG460/AE460,"")</x:f>
      </x:c>
      <x:c r="AQ460" s="157" t="str">
        <x:f>IFERROR(AN460/(R460/'Configuracion'!$B$13),"")</x:f>
      </x:c>
      <x:c r="AR460" s="156" t="n">
        <x:f>IFERROR(AE460-U460,"")</x:f>
        <x:v>0</x:v>
      </x:c>
      <x:c r="AS460" s="154"/>
      <x:c r="AT460" s="154"/>
      <x:c r="AU460" s="154"/>
      <x:c r="AV460" s="154"/>
      <x:c r="AW460" s="152"/>
      <x:c r="AX460" s="154"/>
      <x:c r="AY460" s="154"/>
      <x:c r="AZ460" s="151"/>
      <x:c r="BA460" s="151"/>
    </x:row>
    <x:row r="461">
      <x:c r="A461" s="151" t="str">
        <x:f>IF(B461="","",TEXT(B461,"yyyymmdd")&amp;"-"&amp;TEXT(COUNTIF($B$5:B461,B461),"000"))</x:f>
      </x:c>
      <x:c r="B461" s="152"/>
      <x:c r="C461" s="153"/>
      <x:c r="D461" s="151" t="str">
        <x:f>IF(B461="","",'Configuracion'!$B$4)</x:f>
      </x:c>
      <x:c r="E461" s="154"/>
      <x:c r="F461" s="154"/>
      <x:c r="G461" s="151" t="str">
        <x:f>IFERROR(VLOOKUP(F461,'Base Sectores'!$A$5:$J$47,2,FALSE),"")</x:f>
      </x:c>
      <x:c r="H461" s="151" t="str">
        <x:f>IFERROR(VLOOKUP(F461,'Base Sectores'!$A$5:$J$47,3,FALSE),"")</x:f>
      </x:c>
      <x:c r="I461" s="151" t="str">
        <x:f>IFERROR(VLOOKUP(F461,'Base Sectores'!$A$5:$J$47,4,FALSE),"")</x:f>
      </x:c>
      <x:c r="J461" s="151" t="str">
        <x:f>IFERROR(VLOOKUP(F461,'Base Sectores'!$A$5:$J$47,5,FALSE),"")</x:f>
      </x:c>
      <x:c r="K461" s="151" t="str">
        <x:f>IFERROR(VLOOKUP(F461,'Base Sectores'!$A$5:$J$47,6,FALSE),"")</x:f>
      </x:c>
      <x:c r="L461" s="151" t="str">
        <x:f>IFERROR(VLOOKUP(F461,'Base Sectores'!$A$5:$J$47,7,FALSE),"")</x:f>
      </x:c>
      <x:c r="M461" s="151" t="str">
        <x:f>IFERROR(VLOOKUP(F461,'Base Sectores'!$A$5:$J$47,9,FALSE),"")</x:f>
      </x:c>
      <x:c r="N461" s="154"/>
      <x:c r="O461" s="151" t="str">
        <x:f>IFERROR(VLOOKUP(N461,'Configuracion'!$D$4:$H$15,2,FALSE),"")</x:f>
      </x:c>
      <x:c r="P461" s="151" t="str">
        <x:f>IFERROR(VLOOKUP(N461,'Configuracion'!$D$4:$H$15,3,FALSE),"")</x:f>
      </x:c>
      <x:c r="Q461" s="155"/>
      <x:c r="R461" s="156" t="str">
        <x:f>IFERROR(VLOOKUP(N461,'Configuracion'!$D$4:$H$15,4,FALSE),"")</x:f>
      </x:c>
      <x:c r="S461" s="153"/>
      <x:c r="T461" s="153"/>
      <x:c r="U461" s="156" t="str">
        <x:f>IF(OR(S461="",T461=""),"",MOD(T461-S461,1)*24)</x:f>
      </x:c>
      <x:c r="V461" s="154"/>
      <x:c r="W461" s="154"/>
      <x:c r="X461" s="151" t="str">
        <x:f>IFERROR(VLOOKUP(N461,'Configuracion'!$D$4:$H$15,5,FALSE),"")</x:f>
      </x:c>
      <x:c r="Y461" s="151" t="str">
        <x:f>IFERROR(VLOOKUP(V461,'Cuadrillas'!$A$5:$J$14,2,FALSE),"")</x:f>
      </x:c>
      <x:c r="Z461" s="154"/>
      <x:c r="AA461" s="154"/>
      <x:c r="AB461" s="154"/>
      <x:c r="AC461" s="153"/>
      <x:c r="AD461" s="153"/>
      <x:c r="AE461" s="156" t="str">
        <x:f>IF(OR(AC461="",AD461=""),"",MOD(AD461-AC461,1)*24)</x:f>
      </x:c>
      <x:c r="AF461" s="154"/>
      <x:c r="AG461" s="156" t="str">
        <x:f>IF(AE461="","",MAX(0,AE461-IF(AF461="",0,AF461/60)))</x:f>
      </x:c>
      <x:c r="AH461" s="155"/>
      <x:c r="AI461" s="154"/>
      <x:c r="AJ461" s="154"/>
      <x:c r="AK461" s="156" t="n">
        <x:f>IFERROR(U461*W461,"")</x:f>
        <x:v>0</x:v>
      </x:c>
      <x:c r="AL461" s="156" t="n">
        <x:f>IFERROR(AE461*AI461,"")</x:f>
        <x:v>0</x:v>
      </x:c>
      <x:c r="AM461" s="157" t="str">
        <x:f>IFERROR(AH461/Q461,"")</x:f>
      </x:c>
      <x:c r="AN461" s="156" t="str">
        <x:f>IFERROR(AH461/AG461,"")</x:f>
      </x:c>
      <x:c r="AO461" s="156" t="str">
        <x:f>IFERROR(AL461/AH461,"")</x:f>
      </x:c>
      <x:c r="AP461" s="157" t="str">
        <x:f>IFERROR(AG461/AE461,"")</x:f>
      </x:c>
      <x:c r="AQ461" s="157" t="str">
        <x:f>IFERROR(AN461/(R461/'Configuracion'!$B$13),"")</x:f>
      </x:c>
      <x:c r="AR461" s="156" t="n">
        <x:f>IFERROR(AE461-U461,"")</x:f>
        <x:v>0</x:v>
      </x:c>
      <x:c r="AS461" s="154"/>
      <x:c r="AT461" s="154"/>
      <x:c r="AU461" s="154"/>
      <x:c r="AV461" s="154"/>
      <x:c r="AW461" s="152"/>
      <x:c r="AX461" s="154"/>
      <x:c r="AY461" s="154"/>
      <x:c r="AZ461" s="151"/>
      <x:c r="BA461" s="151"/>
    </x:row>
    <x:row r="462">
      <x:c r="A462" s="151" t="str">
        <x:f>IF(B462="","",TEXT(B462,"yyyymmdd")&amp;"-"&amp;TEXT(COUNTIF($B$5:B462,B462),"000"))</x:f>
      </x:c>
      <x:c r="B462" s="152"/>
      <x:c r="C462" s="153"/>
      <x:c r="D462" s="151" t="str">
        <x:f>IF(B462="","",'Configuracion'!$B$4)</x:f>
      </x:c>
      <x:c r="E462" s="154"/>
      <x:c r="F462" s="154"/>
      <x:c r="G462" s="151" t="str">
        <x:f>IFERROR(VLOOKUP(F462,'Base Sectores'!$A$5:$J$47,2,FALSE),"")</x:f>
      </x:c>
      <x:c r="H462" s="151" t="str">
        <x:f>IFERROR(VLOOKUP(F462,'Base Sectores'!$A$5:$J$47,3,FALSE),"")</x:f>
      </x:c>
      <x:c r="I462" s="151" t="str">
        <x:f>IFERROR(VLOOKUP(F462,'Base Sectores'!$A$5:$J$47,4,FALSE),"")</x:f>
      </x:c>
      <x:c r="J462" s="151" t="str">
        <x:f>IFERROR(VLOOKUP(F462,'Base Sectores'!$A$5:$J$47,5,FALSE),"")</x:f>
      </x:c>
      <x:c r="K462" s="151" t="str">
        <x:f>IFERROR(VLOOKUP(F462,'Base Sectores'!$A$5:$J$47,6,FALSE),"")</x:f>
      </x:c>
      <x:c r="L462" s="151" t="str">
        <x:f>IFERROR(VLOOKUP(F462,'Base Sectores'!$A$5:$J$47,7,FALSE),"")</x:f>
      </x:c>
      <x:c r="M462" s="151" t="str">
        <x:f>IFERROR(VLOOKUP(F462,'Base Sectores'!$A$5:$J$47,9,FALSE),"")</x:f>
      </x:c>
      <x:c r="N462" s="154"/>
      <x:c r="O462" s="151" t="str">
        <x:f>IFERROR(VLOOKUP(N462,'Configuracion'!$D$4:$H$15,2,FALSE),"")</x:f>
      </x:c>
      <x:c r="P462" s="151" t="str">
        <x:f>IFERROR(VLOOKUP(N462,'Configuracion'!$D$4:$H$15,3,FALSE),"")</x:f>
      </x:c>
      <x:c r="Q462" s="155"/>
      <x:c r="R462" s="156" t="str">
        <x:f>IFERROR(VLOOKUP(N462,'Configuracion'!$D$4:$H$15,4,FALSE),"")</x:f>
      </x:c>
      <x:c r="S462" s="153"/>
      <x:c r="T462" s="153"/>
      <x:c r="U462" s="156" t="str">
        <x:f>IF(OR(S462="",T462=""),"",MOD(T462-S462,1)*24)</x:f>
      </x:c>
      <x:c r="V462" s="154"/>
      <x:c r="W462" s="154"/>
      <x:c r="X462" s="151" t="str">
        <x:f>IFERROR(VLOOKUP(N462,'Configuracion'!$D$4:$H$15,5,FALSE),"")</x:f>
      </x:c>
      <x:c r="Y462" s="151" t="str">
        <x:f>IFERROR(VLOOKUP(V462,'Cuadrillas'!$A$5:$J$14,2,FALSE),"")</x:f>
      </x:c>
      <x:c r="Z462" s="154"/>
      <x:c r="AA462" s="154"/>
      <x:c r="AB462" s="154"/>
      <x:c r="AC462" s="153"/>
      <x:c r="AD462" s="153"/>
      <x:c r="AE462" s="156" t="str">
        <x:f>IF(OR(AC462="",AD462=""),"",MOD(AD462-AC462,1)*24)</x:f>
      </x:c>
      <x:c r="AF462" s="154"/>
      <x:c r="AG462" s="156" t="str">
        <x:f>IF(AE462="","",MAX(0,AE462-IF(AF462="",0,AF462/60)))</x:f>
      </x:c>
      <x:c r="AH462" s="155"/>
      <x:c r="AI462" s="154"/>
      <x:c r="AJ462" s="154"/>
      <x:c r="AK462" s="156" t="n">
        <x:f>IFERROR(U462*W462,"")</x:f>
        <x:v>0</x:v>
      </x:c>
      <x:c r="AL462" s="156" t="n">
        <x:f>IFERROR(AE462*AI462,"")</x:f>
        <x:v>0</x:v>
      </x:c>
      <x:c r="AM462" s="157" t="str">
        <x:f>IFERROR(AH462/Q462,"")</x:f>
      </x:c>
      <x:c r="AN462" s="156" t="str">
        <x:f>IFERROR(AH462/AG462,"")</x:f>
      </x:c>
      <x:c r="AO462" s="156" t="str">
        <x:f>IFERROR(AL462/AH462,"")</x:f>
      </x:c>
      <x:c r="AP462" s="157" t="str">
        <x:f>IFERROR(AG462/AE462,"")</x:f>
      </x:c>
      <x:c r="AQ462" s="157" t="str">
        <x:f>IFERROR(AN462/(R462/'Configuracion'!$B$13),"")</x:f>
      </x:c>
      <x:c r="AR462" s="156" t="n">
        <x:f>IFERROR(AE462-U462,"")</x:f>
        <x:v>0</x:v>
      </x:c>
      <x:c r="AS462" s="154"/>
      <x:c r="AT462" s="154"/>
      <x:c r="AU462" s="154"/>
      <x:c r="AV462" s="154"/>
      <x:c r="AW462" s="152"/>
      <x:c r="AX462" s="154"/>
      <x:c r="AY462" s="154"/>
      <x:c r="AZ462" s="151"/>
      <x:c r="BA462" s="151"/>
    </x:row>
    <x:row r="463">
      <x:c r="A463" s="151" t="str">
        <x:f>IF(B463="","",TEXT(B463,"yyyymmdd")&amp;"-"&amp;TEXT(COUNTIF($B$5:B463,B463),"000"))</x:f>
      </x:c>
      <x:c r="B463" s="152"/>
      <x:c r="C463" s="153"/>
      <x:c r="D463" s="151" t="str">
        <x:f>IF(B463="","",'Configuracion'!$B$4)</x:f>
      </x:c>
      <x:c r="E463" s="154"/>
      <x:c r="F463" s="154"/>
      <x:c r="G463" s="151" t="str">
        <x:f>IFERROR(VLOOKUP(F463,'Base Sectores'!$A$5:$J$47,2,FALSE),"")</x:f>
      </x:c>
      <x:c r="H463" s="151" t="str">
        <x:f>IFERROR(VLOOKUP(F463,'Base Sectores'!$A$5:$J$47,3,FALSE),"")</x:f>
      </x:c>
      <x:c r="I463" s="151" t="str">
        <x:f>IFERROR(VLOOKUP(F463,'Base Sectores'!$A$5:$J$47,4,FALSE),"")</x:f>
      </x:c>
      <x:c r="J463" s="151" t="str">
        <x:f>IFERROR(VLOOKUP(F463,'Base Sectores'!$A$5:$J$47,5,FALSE),"")</x:f>
      </x:c>
      <x:c r="K463" s="151" t="str">
        <x:f>IFERROR(VLOOKUP(F463,'Base Sectores'!$A$5:$J$47,6,FALSE),"")</x:f>
      </x:c>
      <x:c r="L463" s="151" t="str">
        <x:f>IFERROR(VLOOKUP(F463,'Base Sectores'!$A$5:$J$47,7,FALSE),"")</x:f>
      </x:c>
      <x:c r="M463" s="151" t="str">
        <x:f>IFERROR(VLOOKUP(F463,'Base Sectores'!$A$5:$J$47,9,FALSE),"")</x:f>
      </x:c>
      <x:c r="N463" s="154"/>
      <x:c r="O463" s="151" t="str">
        <x:f>IFERROR(VLOOKUP(N463,'Configuracion'!$D$4:$H$15,2,FALSE),"")</x:f>
      </x:c>
      <x:c r="P463" s="151" t="str">
        <x:f>IFERROR(VLOOKUP(N463,'Configuracion'!$D$4:$H$15,3,FALSE),"")</x:f>
      </x:c>
      <x:c r="Q463" s="155"/>
      <x:c r="R463" s="156" t="str">
        <x:f>IFERROR(VLOOKUP(N463,'Configuracion'!$D$4:$H$15,4,FALSE),"")</x:f>
      </x:c>
      <x:c r="S463" s="153"/>
      <x:c r="T463" s="153"/>
      <x:c r="U463" s="156" t="str">
        <x:f>IF(OR(S463="",T463=""),"",MOD(T463-S463,1)*24)</x:f>
      </x:c>
      <x:c r="V463" s="154"/>
      <x:c r="W463" s="154"/>
      <x:c r="X463" s="151" t="str">
        <x:f>IFERROR(VLOOKUP(N463,'Configuracion'!$D$4:$H$15,5,FALSE),"")</x:f>
      </x:c>
      <x:c r="Y463" s="151" t="str">
        <x:f>IFERROR(VLOOKUP(V463,'Cuadrillas'!$A$5:$J$14,2,FALSE),"")</x:f>
      </x:c>
      <x:c r="Z463" s="154"/>
      <x:c r="AA463" s="154"/>
      <x:c r="AB463" s="154"/>
      <x:c r="AC463" s="153"/>
      <x:c r="AD463" s="153"/>
      <x:c r="AE463" s="156" t="str">
        <x:f>IF(OR(AC463="",AD463=""),"",MOD(AD463-AC463,1)*24)</x:f>
      </x:c>
      <x:c r="AF463" s="154"/>
      <x:c r="AG463" s="156" t="str">
        <x:f>IF(AE463="","",MAX(0,AE463-IF(AF463="",0,AF463/60)))</x:f>
      </x:c>
      <x:c r="AH463" s="155"/>
      <x:c r="AI463" s="154"/>
      <x:c r="AJ463" s="154"/>
      <x:c r="AK463" s="156" t="n">
        <x:f>IFERROR(U463*W463,"")</x:f>
        <x:v>0</x:v>
      </x:c>
      <x:c r="AL463" s="156" t="n">
        <x:f>IFERROR(AE463*AI463,"")</x:f>
        <x:v>0</x:v>
      </x:c>
      <x:c r="AM463" s="157" t="str">
        <x:f>IFERROR(AH463/Q463,"")</x:f>
      </x:c>
      <x:c r="AN463" s="156" t="str">
        <x:f>IFERROR(AH463/AG463,"")</x:f>
      </x:c>
      <x:c r="AO463" s="156" t="str">
        <x:f>IFERROR(AL463/AH463,"")</x:f>
      </x:c>
      <x:c r="AP463" s="157" t="str">
        <x:f>IFERROR(AG463/AE463,"")</x:f>
      </x:c>
      <x:c r="AQ463" s="157" t="str">
        <x:f>IFERROR(AN463/(R463/'Configuracion'!$B$13),"")</x:f>
      </x:c>
      <x:c r="AR463" s="156" t="n">
        <x:f>IFERROR(AE463-U463,"")</x:f>
        <x:v>0</x:v>
      </x:c>
      <x:c r="AS463" s="154"/>
      <x:c r="AT463" s="154"/>
      <x:c r="AU463" s="154"/>
      <x:c r="AV463" s="154"/>
      <x:c r="AW463" s="152"/>
      <x:c r="AX463" s="154"/>
      <x:c r="AY463" s="154"/>
      <x:c r="AZ463" s="151"/>
      <x:c r="BA463" s="151"/>
    </x:row>
    <x:row r="464">
      <x:c r="A464" s="151" t="str">
        <x:f>IF(B464="","",TEXT(B464,"yyyymmdd")&amp;"-"&amp;TEXT(COUNTIF($B$5:B464,B464),"000"))</x:f>
      </x:c>
      <x:c r="B464" s="152"/>
      <x:c r="C464" s="153"/>
      <x:c r="D464" s="151" t="str">
        <x:f>IF(B464="","",'Configuracion'!$B$4)</x:f>
      </x:c>
      <x:c r="E464" s="154"/>
      <x:c r="F464" s="154"/>
      <x:c r="G464" s="151" t="str">
        <x:f>IFERROR(VLOOKUP(F464,'Base Sectores'!$A$5:$J$47,2,FALSE),"")</x:f>
      </x:c>
      <x:c r="H464" s="151" t="str">
        <x:f>IFERROR(VLOOKUP(F464,'Base Sectores'!$A$5:$J$47,3,FALSE),"")</x:f>
      </x:c>
      <x:c r="I464" s="151" t="str">
        <x:f>IFERROR(VLOOKUP(F464,'Base Sectores'!$A$5:$J$47,4,FALSE),"")</x:f>
      </x:c>
      <x:c r="J464" s="151" t="str">
        <x:f>IFERROR(VLOOKUP(F464,'Base Sectores'!$A$5:$J$47,5,FALSE),"")</x:f>
      </x:c>
      <x:c r="K464" s="151" t="str">
        <x:f>IFERROR(VLOOKUP(F464,'Base Sectores'!$A$5:$J$47,6,FALSE),"")</x:f>
      </x:c>
      <x:c r="L464" s="151" t="str">
        <x:f>IFERROR(VLOOKUP(F464,'Base Sectores'!$A$5:$J$47,7,FALSE),"")</x:f>
      </x:c>
      <x:c r="M464" s="151" t="str">
        <x:f>IFERROR(VLOOKUP(F464,'Base Sectores'!$A$5:$J$47,9,FALSE),"")</x:f>
      </x:c>
      <x:c r="N464" s="154"/>
      <x:c r="O464" s="151" t="str">
        <x:f>IFERROR(VLOOKUP(N464,'Configuracion'!$D$4:$H$15,2,FALSE),"")</x:f>
      </x:c>
      <x:c r="P464" s="151" t="str">
        <x:f>IFERROR(VLOOKUP(N464,'Configuracion'!$D$4:$H$15,3,FALSE),"")</x:f>
      </x:c>
      <x:c r="Q464" s="155"/>
      <x:c r="R464" s="156" t="str">
        <x:f>IFERROR(VLOOKUP(N464,'Configuracion'!$D$4:$H$15,4,FALSE),"")</x:f>
      </x:c>
      <x:c r="S464" s="153"/>
      <x:c r="T464" s="153"/>
      <x:c r="U464" s="156" t="str">
        <x:f>IF(OR(S464="",T464=""),"",MOD(T464-S464,1)*24)</x:f>
      </x:c>
      <x:c r="V464" s="154"/>
      <x:c r="W464" s="154"/>
      <x:c r="X464" s="151" t="str">
        <x:f>IFERROR(VLOOKUP(N464,'Configuracion'!$D$4:$H$15,5,FALSE),"")</x:f>
      </x:c>
      <x:c r="Y464" s="151" t="str">
        <x:f>IFERROR(VLOOKUP(V464,'Cuadrillas'!$A$5:$J$14,2,FALSE),"")</x:f>
      </x:c>
      <x:c r="Z464" s="154"/>
      <x:c r="AA464" s="154"/>
      <x:c r="AB464" s="154"/>
      <x:c r="AC464" s="153"/>
      <x:c r="AD464" s="153"/>
      <x:c r="AE464" s="156" t="str">
        <x:f>IF(OR(AC464="",AD464=""),"",MOD(AD464-AC464,1)*24)</x:f>
      </x:c>
      <x:c r="AF464" s="154"/>
      <x:c r="AG464" s="156" t="str">
        <x:f>IF(AE464="","",MAX(0,AE464-IF(AF464="",0,AF464/60)))</x:f>
      </x:c>
      <x:c r="AH464" s="155"/>
      <x:c r="AI464" s="154"/>
      <x:c r="AJ464" s="154"/>
      <x:c r="AK464" s="156" t="n">
        <x:f>IFERROR(U464*W464,"")</x:f>
        <x:v>0</x:v>
      </x:c>
      <x:c r="AL464" s="156" t="n">
        <x:f>IFERROR(AE464*AI464,"")</x:f>
        <x:v>0</x:v>
      </x:c>
      <x:c r="AM464" s="157" t="str">
        <x:f>IFERROR(AH464/Q464,"")</x:f>
      </x:c>
      <x:c r="AN464" s="156" t="str">
        <x:f>IFERROR(AH464/AG464,"")</x:f>
      </x:c>
      <x:c r="AO464" s="156" t="str">
        <x:f>IFERROR(AL464/AH464,"")</x:f>
      </x:c>
      <x:c r="AP464" s="157" t="str">
        <x:f>IFERROR(AG464/AE464,"")</x:f>
      </x:c>
      <x:c r="AQ464" s="157" t="str">
        <x:f>IFERROR(AN464/(R464/'Configuracion'!$B$13),"")</x:f>
      </x:c>
      <x:c r="AR464" s="156" t="n">
        <x:f>IFERROR(AE464-U464,"")</x:f>
        <x:v>0</x:v>
      </x:c>
      <x:c r="AS464" s="154"/>
      <x:c r="AT464" s="154"/>
      <x:c r="AU464" s="154"/>
      <x:c r="AV464" s="154"/>
      <x:c r="AW464" s="152"/>
      <x:c r="AX464" s="154"/>
      <x:c r="AY464" s="154"/>
      <x:c r="AZ464" s="151"/>
      <x:c r="BA464" s="151"/>
    </x:row>
    <x:row r="465">
      <x:c r="A465" s="151" t="str">
        <x:f>IF(B465="","",TEXT(B465,"yyyymmdd")&amp;"-"&amp;TEXT(COUNTIF($B$5:B465,B465),"000"))</x:f>
      </x:c>
      <x:c r="B465" s="152"/>
      <x:c r="C465" s="153"/>
      <x:c r="D465" s="151" t="str">
        <x:f>IF(B465="","",'Configuracion'!$B$4)</x:f>
      </x:c>
      <x:c r="E465" s="154"/>
      <x:c r="F465" s="154"/>
      <x:c r="G465" s="151" t="str">
        <x:f>IFERROR(VLOOKUP(F465,'Base Sectores'!$A$5:$J$47,2,FALSE),"")</x:f>
      </x:c>
      <x:c r="H465" s="151" t="str">
        <x:f>IFERROR(VLOOKUP(F465,'Base Sectores'!$A$5:$J$47,3,FALSE),"")</x:f>
      </x:c>
      <x:c r="I465" s="151" t="str">
        <x:f>IFERROR(VLOOKUP(F465,'Base Sectores'!$A$5:$J$47,4,FALSE),"")</x:f>
      </x:c>
      <x:c r="J465" s="151" t="str">
        <x:f>IFERROR(VLOOKUP(F465,'Base Sectores'!$A$5:$J$47,5,FALSE),"")</x:f>
      </x:c>
      <x:c r="K465" s="151" t="str">
        <x:f>IFERROR(VLOOKUP(F465,'Base Sectores'!$A$5:$J$47,6,FALSE),"")</x:f>
      </x:c>
      <x:c r="L465" s="151" t="str">
        <x:f>IFERROR(VLOOKUP(F465,'Base Sectores'!$A$5:$J$47,7,FALSE),"")</x:f>
      </x:c>
      <x:c r="M465" s="151" t="str">
        <x:f>IFERROR(VLOOKUP(F465,'Base Sectores'!$A$5:$J$47,9,FALSE),"")</x:f>
      </x:c>
      <x:c r="N465" s="154"/>
      <x:c r="O465" s="151" t="str">
        <x:f>IFERROR(VLOOKUP(N465,'Configuracion'!$D$4:$H$15,2,FALSE),"")</x:f>
      </x:c>
      <x:c r="P465" s="151" t="str">
        <x:f>IFERROR(VLOOKUP(N465,'Configuracion'!$D$4:$H$15,3,FALSE),"")</x:f>
      </x:c>
      <x:c r="Q465" s="155"/>
      <x:c r="R465" s="156" t="str">
        <x:f>IFERROR(VLOOKUP(N465,'Configuracion'!$D$4:$H$15,4,FALSE),"")</x:f>
      </x:c>
      <x:c r="S465" s="153"/>
      <x:c r="T465" s="153"/>
      <x:c r="U465" s="156" t="str">
        <x:f>IF(OR(S465="",T465=""),"",MOD(T465-S465,1)*24)</x:f>
      </x:c>
      <x:c r="V465" s="154"/>
      <x:c r="W465" s="154"/>
      <x:c r="X465" s="151" t="str">
        <x:f>IFERROR(VLOOKUP(N465,'Configuracion'!$D$4:$H$15,5,FALSE),"")</x:f>
      </x:c>
      <x:c r="Y465" s="151" t="str">
        <x:f>IFERROR(VLOOKUP(V465,'Cuadrillas'!$A$5:$J$14,2,FALSE),"")</x:f>
      </x:c>
      <x:c r="Z465" s="154"/>
      <x:c r="AA465" s="154"/>
      <x:c r="AB465" s="154"/>
      <x:c r="AC465" s="153"/>
      <x:c r="AD465" s="153"/>
      <x:c r="AE465" s="156" t="str">
        <x:f>IF(OR(AC465="",AD465=""),"",MOD(AD465-AC465,1)*24)</x:f>
      </x:c>
      <x:c r="AF465" s="154"/>
      <x:c r="AG465" s="156" t="str">
        <x:f>IF(AE465="","",MAX(0,AE465-IF(AF465="",0,AF465/60)))</x:f>
      </x:c>
      <x:c r="AH465" s="155"/>
      <x:c r="AI465" s="154"/>
      <x:c r="AJ465" s="154"/>
      <x:c r="AK465" s="156" t="n">
        <x:f>IFERROR(U465*W465,"")</x:f>
        <x:v>0</x:v>
      </x:c>
      <x:c r="AL465" s="156" t="n">
        <x:f>IFERROR(AE465*AI465,"")</x:f>
        <x:v>0</x:v>
      </x:c>
      <x:c r="AM465" s="157" t="str">
        <x:f>IFERROR(AH465/Q465,"")</x:f>
      </x:c>
      <x:c r="AN465" s="156" t="str">
        <x:f>IFERROR(AH465/AG465,"")</x:f>
      </x:c>
      <x:c r="AO465" s="156" t="str">
        <x:f>IFERROR(AL465/AH465,"")</x:f>
      </x:c>
      <x:c r="AP465" s="157" t="str">
        <x:f>IFERROR(AG465/AE465,"")</x:f>
      </x:c>
      <x:c r="AQ465" s="157" t="str">
        <x:f>IFERROR(AN465/(R465/'Configuracion'!$B$13),"")</x:f>
      </x:c>
      <x:c r="AR465" s="156" t="n">
        <x:f>IFERROR(AE465-U465,"")</x:f>
        <x:v>0</x:v>
      </x:c>
      <x:c r="AS465" s="154"/>
      <x:c r="AT465" s="154"/>
      <x:c r="AU465" s="154"/>
      <x:c r="AV465" s="154"/>
      <x:c r="AW465" s="152"/>
      <x:c r="AX465" s="154"/>
      <x:c r="AY465" s="154"/>
      <x:c r="AZ465" s="151"/>
      <x:c r="BA465" s="151"/>
    </x:row>
    <x:row r="466">
      <x:c r="A466" s="151" t="str">
        <x:f>IF(B466="","",TEXT(B466,"yyyymmdd")&amp;"-"&amp;TEXT(COUNTIF($B$5:B466,B466),"000"))</x:f>
      </x:c>
      <x:c r="B466" s="152"/>
      <x:c r="C466" s="153"/>
      <x:c r="D466" s="151" t="str">
        <x:f>IF(B466="","",'Configuracion'!$B$4)</x:f>
      </x:c>
      <x:c r="E466" s="154"/>
      <x:c r="F466" s="154"/>
      <x:c r="G466" s="151" t="str">
        <x:f>IFERROR(VLOOKUP(F466,'Base Sectores'!$A$5:$J$47,2,FALSE),"")</x:f>
      </x:c>
      <x:c r="H466" s="151" t="str">
        <x:f>IFERROR(VLOOKUP(F466,'Base Sectores'!$A$5:$J$47,3,FALSE),"")</x:f>
      </x:c>
      <x:c r="I466" s="151" t="str">
        <x:f>IFERROR(VLOOKUP(F466,'Base Sectores'!$A$5:$J$47,4,FALSE),"")</x:f>
      </x:c>
      <x:c r="J466" s="151" t="str">
        <x:f>IFERROR(VLOOKUP(F466,'Base Sectores'!$A$5:$J$47,5,FALSE),"")</x:f>
      </x:c>
      <x:c r="K466" s="151" t="str">
        <x:f>IFERROR(VLOOKUP(F466,'Base Sectores'!$A$5:$J$47,6,FALSE),"")</x:f>
      </x:c>
      <x:c r="L466" s="151" t="str">
        <x:f>IFERROR(VLOOKUP(F466,'Base Sectores'!$A$5:$J$47,7,FALSE),"")</x:f>
      </x:c>
      <x:c r="M466" s="151" t="str">
        <x:f>IFERROR(VLOOKUP(F466,'Base Sectores'!$A$5:$J$47,9,FALSE),"")</x:f>
      </x:c>
      <x:c r="N466" s="154"/>
      <x:c r="O466" s="151" t="str">
        <x:f>IFERROR(VLOOKUP(N466,'Configuracion'!$D$4:$H$15,2,FALSE),"")</x:f>
      </x:c>
      <x:c r="P466" s="151" t="str">
        <x:f>IFERROR(VLOOKUP(N466,'Configuracion'!$D$4:$H$15,3,FALSE),"")</x:f>
      </x:c>
      <x:c r="Q466" s="155"/>
      <x:c r="R466" s="156" t="str">
        <x:f>IFERROR(VLOOKUP(N466,'Configuracion'!$D$4:$H$15,4,FALSE),"")</x:f>
      </x:c>
      <x:c r="S466" s="153"/>
      <x:c r="T466" s="153"/>
      <x:c r="U466" s="156" t="str">
        <x:f>IF(OR(S466="",T466=""),"",MOD(T466-S466,1)*24)</x:f>
      </x:c>
      <x:c r="V466" s="154"/>
      <x:c r="W466" s="154"/>
      <x:c r="X466" s="151" t="str">
        <x:f>IFERROR(VLOOKUP(N466,'Configuracion'!$D$4:$H$15,5,FALSE),"")</x:f>
      </x:c>
      <x:c r="Y466" s="151" t="str">
        <x:f>IFERROR(VLOOKUP(V466,'Cuadrillas'!$A$5:$J$14,2,FALSE),"")</x:f>
      </x:c>
      <x:c r="Z466" s="154"/>
      <x:c r="AA466" s="154"/>
      <x:c r="AB466" s="154"/>
      <x:c r="AC466" s="153"/>
      <x:c r="AD466" s="153"/>
      <x:c r="AE466" s="156" t="str">
        <x:f>IF(OR(AC466="",AD466=""),"",MOD(AD466-AC466,1)*24)</x:f>
      </x:c>
      <x:c r="AF466" s="154"/>
      <x:c r="AG466" s="156" t="str">
        <x:f>IF(AE466="","",MAX(0,AE466-IF(AF466="",0,AF466/60)))</x:f>
      </x:c>
      <x:c r="AH466" s="155"/>
      <x:c r="AI466" s="154"/>
      <x:c r="AJ466" s="154"/>
      <x:c r="AK466" s="156" t="n">
        <x:f>IFERROR(U466*W466,"")</x:f>
        <x:v>0</x:v>
      </x:c>
      <x:c r="AL466" s="156" t="n">
        <x:f>IFERROR(AE466*AI466,"")</x:f>
        <x:v>0</x:v>
      </x:c>
      <x:c r="AM466" s="157" t="str">
        <x:f>IFERROR(AH466/Q466,"")</x:f>
      </x:c>
      <x:c r="AN466" s="156" t="str">
        <x:f>IFERROR(AH466/AG466,"")</x:f>
      </x:c>
      <x:c r="AO466" s="156" t="str">
        <x:f>IFERROR(AL466/AH466,"")</x:f>
      </x:c>
      <x:c r="AP466" s="157" t="str">
        <x:f>IFERROR(AG466/AE466,"")</x:f>
      </x:c>
      <x:c r="AQ466" s="157" t="str">
        <x:f>IFERROR(AN466/(R466/'Configuracion'!$B$13),"")</x:f>
      </x:c>
      <x:c r="AR466" s="156" t="n">
        <x:f>IFERROR(AE466-U466,"")</x:f>
        <x:v>0</x:v>
      </x:c>
      <x:c r="AS466" s="154"/>
      <x:c r="AT466" s="154"/>
      <x:c r="AU466" s="154"/>
      <x:c r="AV466" s="154"/>
      <x:c r="AW466" s="152"/>
      <x:c r="AX466" s="154"/>
      <x:c r="AY466" s="154"/>
      <x:c r="AZ466" s="151"/>
      <x:c r="BA466" s="151"/>
    </x:row>
    <x:row r="467">
      <x:c r="A467" s="151" t="str">
        <x:f>IF(B467="","",TEXT(B467,"yyyymmdd")&amp;"-"&amp;TEXT(COUNTIF($B$5:B467,B467),"000"))</x:f>
      </x:c>
      <x:c r="B467" s="152"/>
      <x:c r="C467" s="153"/>
      <x:c r="D467" s="151" t="str">
        <x:f>IF(B467="","",'Configuracion'!$B$4)</x:f>
      </x:c>
      <x:c r="E467" s="154"/>
      <x:c r="F467" s="154"/>
      <x:c r="G467" s="151" t="str">
        <x:f>IFERROR(VLOOKUP(F467,'Base Sectores'!$A$5:$J$47,2,FALSE),"")</x:f>
      </x:c>
      <x:c r="H467" s="151" t="str">
        <x:f>IFERROR(VLOOKUP(F467,'Base Sectores'!$A$5:$J$47,3,FALSE),"")</x:f>
      </x:c>
      <x:c r="I467" s="151" t="str">
        <x:f>IFERROR(VLOOKUP(F467,'Base Sectores'!$A$5:$J$47,4,FALSE),"")</x:f>
      </x:c>
      <x:c r="J467" s="151" t="str">
        <x:f>IFERROR(VLOOKUP(F467,'Base Sectores'!$A$5:$J$47,5,FALSE),"")</x:f>
      </x:c>
      <x:c r="K467" s="151" t="str">
        <x:f>IFERROR(VLOOKUP(F467,'Base Sectores'!$A$5:$J$47,6,FALSE),"")</x:f>
      </x:c>
      <x:c r="L467" s="151" t="str">
        <x:f>IFERROR(VLOOKUP(F467,'Base Sectores'!$A$5:$J$47,7,FALSE),"")</x:f>
      </x:c>
      <x:c r="M467" s="151" t="str">
        <x:f>IFERROR(VLOOKUP(F467,'Base Sectores'!$A$5:$J$47,9,FALSE),"")</x:f>
      </x:c>
      <x:c r="N467" s="154"/>
      <x:c r="O467" s="151" t="str">
        <x:f>IFERROR(VLOOKUP(N467,'Configuracion'!$D$4:$H$15,2,FALSE),"")</x:f>
      </x:c>
      <x:c r="P467" s="151" t="str">
        <x:f>IFERROR(VLOOKUP(N467,'Configuracion'!$D$4:$H$15,3,FALSE),"")</x:f>
      </x:c>
      <x:c r="Q467" s="155"/>
      <x:c r="R467" s="156" t="str">
        <x:f>IFERROR(VLOOKUP(N467,'Configuracion'!$D$4:$H$15,4,FALSE),"")</x:f>
      </x:c>
      <x:c r="S467" s="153"/>
      <x:c r="T467" s="153"/>
      <x:c r="U467" s="156" t="str">
        <x:f>IF(OR(S467="",T467=""),"",MOD(T467-S467,1)*24)</x:f>
      </x:c>
      <x:c r="V467" s="154"/>
      <x:c r="W467" s="154"/>
      <x:c r="X467" s="151" t="str">
        <x:f>IFERROR(VLOOKUP(N467,'Configuracion'!$D$4:$H$15,5,FALSE),"")</x:f>
      </x:c>
      <x:c r="Y467" s="151" t="str">
        <x:f>IFERROR(VLOOKUP(V467,'Cuadrillas'!$A$5:$J$14,2,FALSE),"")</x:f>
      </x:c>
      <x:c r="Z467" s="154"/>
      <x:c r="AA467" s="154"/>
      <x:c r="AB467" s="154"/>
      <x:c r="AC467" s="153"/>
      <x:c r="AD467" s="153"/>
      <x:c r="AE467" s="156" t="str">
        <x:f>IF(OR(AC467="",AD467=""),"",MOD(AD467-AC467,1)*24)</x:f>
      </x:c>
      <x:c r="AF467" s="154"/>
      <x:c r="AG467" s="156" t="str">
        <x:f>IF(AE467="","",MAX(0,AE467-IF(AF467="",0,AF467/60)))</x:f>
      </x:c>
      <x:c r="AH467" s="155"/>
      <x:c r="AI467" s="154"/>
      <x:c r="AJ467" s="154"/>
      <x:c r="AK467" s="156" t="n">
        <x:f>IFERROR(U467*W467,"")</x:f>
        <x:v>0</x:v>
      </x:c>
      <x:c r="AL467" s="156" t="n">
        <x:f>IFERROR(AE467*AI467,"")</x:f>
        <x:v>0</x:v>
      </x:c>
      <x:c r="AM467" s="157" t="str">
        <x:f>IFERROR(AH467/Q467,"")</x:f>
      </x:c>
      <x:c r="AN467" s="156" t="str">
        <x:f>IFERROR(AH467/AG467,"")</x:f>
      </x:c>
      <x:c r="AO467" s="156" t="str">
        <x:f>IFERROR(AL467/AH467,"")</x:f>
      </x:c>
      <x:c r="AP467" s="157" t="str">
        <x:f>IFERROR(AG467/AE467,"")</x:f>
      </x:c>
      <x:c r="AQ467" s="157" t="str">
        <x:f>IFERROR(AN467/(R467/'Configuracion'!$B$13),"")</x:f>
      </x:c>
      <x:c r="AR467" s="156" t="n">
        <x:f>IFERROR(AE467-U467,"")</x:f>
        <x:v>0</x:v>
      </x:c>
      <x:c r="AS467" s="154"/>
      <x:c r="AT467" s="154"/>
      <x:c r="AU467" s="154"/>
      <x:c r="AV467" s="154"/>
      <x:c r="AW467" s="152"/>
      <x:c r="AX467" s="154"/>
      <x:c r="AY467" s="154"/>
      <x:c r="AZ467" s="151"/>
      <x:c r="BA467" s="151"/>
    </x:row>
    <x:row r="468">
      <x:c r="A468" s="151" t="str">
        <x:f>IF(B468="","",TEXT(B468,"yyyymmdd")&amp;"-"&amp;TEXT(COUNTIF($B$5:B468,B468),"000"))</x:f>
      </x:c>
      <x:c r="B468" s="152"/>
      <x:c r="C468" s="153"/>
      <x:c r="D468" s="151" t="str">
        <x:f>IF(B468="","",'Configuracion'!$B$4)</x:f>
      </x:c>
      <x:c r="E468" s="154"/>
      <x:c r="F468" s="154"/>
      <x:c r="G468" s="151" t="str">
        <x:f>IFERROR(VLOOKUP(F468,'Base Sectores'!$A$5:$J$47,2,FALSE),"")</x:f>
      </x:c>
      <x:c r="H468" s="151" t="str">
        <x:f>IFERROR(VLOOKUP(F468,'Base Sectores'!$A$5:$J$47,3,FALSE),"")</x:f>
      </x:c>
      <x:c r="I468" s="151" t="str">
        <x:f>IFERROR(VLOOKUP(F468,'Base Sectores'!$A$5:$J$47,4,FALSE),"")</x:f>
      </x:c>
      <x:c r="J468" s="151" t="str">
        <x:f>IFERROR(VLOOKUP(F468,'Base Sectores'!$A$5:$J$47,5,FALSE),"")</x:f>
      </x:c>
      <x:c r="K468" s="151" t="str">
        <x:f>IFERROR(VLOOKUP(F468,'Base Sectores'!$A$5:$J$47,6,FALSE),"")</x:f>
      </x:c>
      <x:c r="L468" s="151" t="str">
        <x:f>IFERROR(VLOOKUP(F468,'Base Sectores'!$A$5:$J$47,7,FALSE),"")</x:f>
      </x:c>
      <x:c r="M468" s="151" t="str">
        <x:f>IFERROR(VLOOKUP(F468,'Base Sectores'!$A$5:$J$47,9,FALSE),"")</x:f>
      </x:c>
      <x:c r="N468" s="154"/>
      <x:c r="O468" s="151" t="str">
        <x:f>IFERROR(VLOOKUP(N468,'Configuracion'!$D$4:$H$15,2,FALSE),"")</x:f>
      </x:c>
      <x:c r="P468" s="151" t="str">
        <x:f>IFERROR(VLOOKUP(N468,'Configuracion'!$D$4:$H$15,3,FALSE),"")</x:f>
      </x:c>
      <x:c r="Q468" s="155"/>
      <x:c r="R468" s="156" t="str">
        <x:f>IFERROR(VLOOKUP(N468,'Configuracion'!$D$4:$H$15,4,FALSE),"")</x:f>
      </x:c>
      <x:c r="S468" s="153"/>
      <x:c r="T468" s="153"/>
      <x:c r="U468" s="156" t="str">
        <x:f>IF(OR(S468="",T468=""),"",MOD(T468-S468,1)*24)</x:f>
      </x:c>
      <x:c r="V468" s="154"/>
      <x:c r="W468" s="154"/>
      <x:c r="X468" s="151" t="str">
        <x:f>IFERROR(VLOOKUP(N468,'Configuracion'!$D$4:$H$15,5,FALSE),"")</x:f>
      </x:c>
      <x:c r="Y468" s="151" t="str">
        <x:f>IFERROR(VLOOKUP(V468,'Cuadrillas'!$A$5:$J$14,2,FALSE),"")</x:f>
      </x:c>
      <x:c r="Z468" s="154"/>
      <x:c r="AA468" s="154"/>
      <x:c r="AB468" s="154"/>
      <x:c r="AC468" s="153"/>
      <x:c r="AD468" s="153"/>
      <x:c r="AE468" s="156" t="str">
        <x:f>IF(OR(AC468="",AD468=""),"",MOD(AD468-AC468,1)*24)</x:f>
      </x:c>
      <x:c r="AF468" s="154"/>
      <x:c r="AG468" s="156" t="str">
        <x:f>IF(AE468="","",MAX(0,AE468-IF(AF468="",0,AF468/60)))</x:f>
      </x:c>
      <x:c r="AH468" s="155"/>
      <x:c r="AI468" s="154"/>
      <x:c r="AJ468" s="154"/>
      <x:c r="AK468" s="156" t="n">
        <x:f>IFERROR(U468*W468,"")</x:f>
        <x:v>0</x:v>
      </x:c>
      <x:c r="AL468" s="156" t="n">
        <x:f>IFERROR(AE468*AI468,"")</x:f>
        <x:v>0</x:v>
      </x:c>
      <x:c r="AM468" s="157" t="str">
        <x:f>IFERROR(AH468/Q468,"")</x:f>
      </x:c>
      <x:c r="AN468" s="156" t="str">
        <x:f>IFERROR(AH468/AG468,"")</x:f>
      </x:c>
      <x:c r="AO468" s="156" t="str">
        <x:f>IFERROR(AL468/AH468,"")</x:f>
      </x:c>
      <x:c r="AP468" s="157" t="str">
        <x:f>IFERROR(AG468/AE468,"")</x:f>
      </x:c>
      <x:c r="AQ468" s="157" t="str">
        <x:f>IFERROR(AN468/(R468/'Configuracion'!$B$13),"")</x:f>
      </x:c>
      <x:c r="AR468" s="156" t="n">
        <x:f>IFERROR(AE468-U468,"")</x:f>
        <x:v>0</x:v>
      </x:c>
      <x:c r="AS468" s="154"/>
      <x:c r="AT468" s="154"/>
      <x:c r="AU468" s="154"/>
      <x:c r="AV468" s="154"/>
      <x:c r="AW468" s="152"/>
      <x:c r="AX468" s="154"/>
      <x:c r="AY468" s="154"/>
      <x:c r="AZ468" s="151"/>
      <x:c r="BA468" s="151"/>
    </x:row>
    <x:row r="469">
      <x:c r="A469" s="151" t="str">
        <x:f>IF(B469="","",TEXT(B469,"yyyymmdd")&amp;"-"&amp;TEXT(COUNTIF($B$5:B469,B469),"000"))</x:f>
      </x:c>
      <x:c r="B469" s="152"/>
      <x:c r="C469" s="153"/>
      <x:c r="D469" s="151" t="str">
        <x:f>IF(B469="","",'Configuracion'!$B$4)</x:f>
      </x:c>
      <x:c r="E469" s="154"/>
      <x:c r="F469" s="154"/>
      <x:c r="G469" s="151" t="str">
        <x:f>IFERROR(VLOOKUP(F469,'Base Sectores'!$A$5:$J$47,2,FALSE),"")</x:f>
      </x:c>
      <x:c r="H469" s="151" t="str">
        <x:f>IFERROR(VLOOKUP(F469,'Base Sectores'!$A$5:$J$47,3,FALSE),"")</x:f>
      </x:c>
      <x:c r="I469" s="151" t="str">
        <x:f>IFERROR(VLOOKUP(F469,'Base Sectores'!$A$5:$J$47,4,FALSE),"")</x:f>
      </x:c>
      <x:c r="J469" s="151" t="str">
        <x:f>IFERROR(VLOOKUP(F469,'Base Sectores'!$A$5:$J$47,5,FALSE),"")</x:f>
      </x:c>
      <x:c r="K469" s="151" t="str">
        <x:f>IFERROR(VLOOKUP(F469,'Base Sectores'!$A$5:$J$47,6,FALSE),"")</x:f>
      </x:c>
      <x:c r="L469" s="151" t="str">
        <x:f>IFERROR(VLOOKUP(F469,'Base Sectores'!$A$5:$J$47,7,FALSE),"")</x:f>
      </x:c>
      <x:c r="M469" s="151" t="str">
        <x:f>IFERROR(VLOOKUP(F469,'Base Sectores'!$A$5:$J$47,9,FALSE),"")</x:f>
      </x:c>
      <x:c r="N469" s="154"/>
      <x:c r="O469" s="151" t="str">
        <x:f>IFERROR(VLOOKUP(N469,'Configuracion'!$D$4:$H$15,2,FALSE),"")</x:f>
      </x:c>
      <x:c r="P469" s="151" t="str">
        <x:f>IFERROR(VLOOKUP(N469,'Configuracion'!$D$4:$H$15,3,FALSE),"")</x:f>
      </x:c>
      <x:c r="Q469" s="155"/>
      <x:c r="R469" s="156" t="str">
        <x:f>IFERROR(VLOOKUP(N469,'Configuracion'!$D$4:$H$15,4,FALSE),"")</x:f>
      </x:c>
      <x:c r="S469" s="153"/>
      <x:c r="T469" s="153"/>
      <x:c r="U469" s="156" t="str">
        <x:f>IF(OR(S469="",T469=""),"",MOD(T469-S469,1)*24)</x:f>
      </x:c>
      <x:c r="V469" s="154"/>
      <x:c r="W469" s="154"/>
      <x:c r="X469" s="151" t="str">
        <x:f>IFERROR(VLOOKUP(N469,'Configuracion'!$D$4:$H$15,5,FALSE),"")</x:f>
      </x:c>
      <x:c r="Y469" s="151" t="str">
        <x:f>IFERROR(VLOOKUP(V469,'Cuadrillas'!$A$5:$J$14,2,FALSE),"")</x:f>
      </x:c>
      <x:c r="Z469" s="154"/>
      <x:c r="AA469" s="154"/>
      <x:c r="AB469" s="154"/>
      <x:c r="AC469" s="153"/>
      <x:c r="AD469" s="153"/>
      <x:c r="AE469" s="156" t="str">
        <x:f>IF(OR(AC469="",AD469=""),"",MOD(AD469-AC469,1)*24)</x:f>
      </x:c>
      <x:c r="AF469" s="154"/>
      <x:c r="AG469" s="156" t="str">
        <x:f>IF(AE469="","",MAX(0,AE469-IF(AF469="",0,AF469/60)))</x:f>
      </x:c>
      <x:c r="AH469" s="155"/>
      <x:c r="AI469" s="154"/>
      <x:c r="AJ469" s="154"/>
      <x:c r="AK469" s="156" t="n">
        <x:f>IFERROR(U469*W469,"")</x:f>
        <x:v>0</x:v>
      </x:c>
      <x:c r="AL469" s="156" t="n">
        <x:f>IFERROR(AE469*AI469,"")</x:f>
        <x:v>0</x:v>
      </x:c>
      <x:c r="AM469" s="157" t="str">
        <x:f>IFERROR(AH469/Q469,"")</x:f>
      </x:c>
      <x:c r="AN469" s="156" t="str">
        <x:f>IFERROR(AH469/AG469,"")</x:f>
      </x:c>
      <x:c r="AO469" s="156" t="str">
        <x:f>IFERROR(AL469/AH469,"")</x:f>
      </x:c>
      <x:c r="AP469" s="157" t="str">
        <x:f>IFERROR(AG469/AE469,"")</x:f>
      </x:c>
      <x:c r="AQ469" s="157" t="str">
        <x:f>IFERROR(AN469/(R469/'Configuracion'!$B$13),"")</x:f>
      </x:c>
      <x:c r="AR469" s="156" t="n">
        <x:f>IFERROR(AE469-U469,"")</x:f>
        <x:v>0</x:v>
      </x:c>
      <x:c r="AS469" s="154"/>
      <x:c r="AT469" s="154"/>
      <x:c r="AU469" s="154"/>
      <x:c r="AV469" s="154"/>
      <x:c r="AW469" s="152"/>
      <x:c r="AX469" s="154"/>
      <x:c r="AY469" s="154"/>
      <x:c r="AZ469" s="151"/>
      <x:c r="BA469" s="151"/>
    </x:row>
    <x:row r="470">
      <x:c r="A470" s="151" t="str">
        <x:f>IF(B470="","",TEXT(B470,"yyyymmdd")&amp;"-"&amp;TEXT(COUNTIF($B$5:B470,B470),"000"))</x:f>
      </x:c>
      <x:c r="B470" s="152"/>
      <x:c r="C470" s="153"/>
      <x:c r="D470" s="151" t="str">
        <x:f>IF(B470="","",'Configuracion'!$B$4)</x:f>
      </x:c>
      <x:c r="E470" s="154"/>
      <x:c r="F470" s="154"/>
      <x:c r="G470" s="151" t="str">
        <x:f>IFERROR(VLOOKUP(F470,'Base Sectores'!$A$5:$J$47,2,FALSE),"")</x:f>
      </x:c>
      <x:c r="H470" s="151" t="str">
        <x:f>IFERROR(VLOOKUP(F470,'Base Sectores'!$A$5:$J$47,3,FALSE),"")</x:f>
      </x:c>
      <x:c r="I470" s="151" t="str">
        <x:f>IFERROR(VLOOKUP(F470,'Base Sectores'!$A$5:$J$47,4,FALSE),"")</x:f>
      </x:c>
      <x:c r="J470" s="151" t="str">
        <x:f>IFERROR(VLOOKUP(F470,'Base Sectores'!$A$5:$J$47,5,FALSE),"")</x:f>
      </x:c>
      <x:c r="K470" s="151" t="str">
        <x:f>IFERROR(VLOOKUP(F470,'Base Sectores'!$A$5:$J$47,6,FALSE),"")</x:f>
      </x:c>
      <x:c r="L470" s="151" t="str">
        <x:f>IFERROR(VLOOKUP(F470,'Base Sectores'!$A$5:$J$47,7,FALSE),"")</x:f>
      </x:c>
      <x:c r="M470" s="151" t="str">
        <x:f>IFERROR(VLOOKUP(F470,'Base Sectores'!$A$5:$J$47,9,FALSE),"")</x:f>
      </x:c>
      <x:c r="N470" s="154"/>
      <x:c r="O470" s="151" t="str">
        <x:f>IFERROR(VLOOKUP(N470,'Configuracion'!$D$4:$H$15,2,FALSE),"")</x:f>
      </x:c>
      <x:c r="P470" s="151" t="str">
        <x:f>IFERROR(VLOOKUP(N470,'Configuracion'!$D$4:$H$15,3,FALSE),"")</x:f>
      </x:c>
      <x:c r="Q470" s="155"/>
      <x:c r="R470" s="156" t="str">
        <x:f>IFERROR(VLOOKUP(N470,'Configuracion'!$D$4:$H$15,4,FALSE),"")</x:f>
      </x:c>
      <x:c r="S470" s="153"/>
      <x:c r="T470" s="153"/>
      <x:c r="U470" s="156" t="str">
        <x:f>IF(OR(S470="",T470=""),"",MOD(T470-S470,1)*24)</x:f>
      </x:c>
      <x:c r="V470" s="154"/>
      <x:c r="W470" s="154"/>
      <x:c r="X470" s="151" t="str">
        <x:f>IFERROR(VLOOKUP(N470,'Configuracion'!$D$4:$H$15,5,FALSE),"")</x:f>
      </x:c>
      <x:c r="Y470" s="151" t="str">
        <x:f>IFERROR(VLOOKUP(V470,'Cuadrillas'!$A$5:$J$14,2,FALSE),"")</x:f>
      </x:c>
      <x:c r="Z470" s="154"/>
      <x:c r="AA470" s="154"/>
      <x:c r="AB470" s="154"/>
      <x:c r="AC470" s="153"/>
      <x:c r="AD470" s="153"/>
      <x:c r="AE470" s="156" t="str">
        <x:f>IF(OR(AC470="",AD470=""),"",MOD(AD470-AC470,1)*24)</x:f>
      </x:c>
      <x:c r="AF470" s="154"/>
      <x:c r="AG470" s="156" t="str">
        <x:f>IF(AE470="","",MAX(0,AE470-IF(AF470="",0,AF470/60)))</x:f>
      </x:c>
      <x:c r="AH470" s="155"/>
      <x:c r="AI470" s="154"/>
      <x:c r="AJ470" s="154"/>
      <x:c r="AK470" s="156" t="n">
        <x:f>IFERROR(U470*W470,"")</x:f>
        <x:v>0</x:v>
      </x:c>
      <x:c r="AL470" s="156" t="n">
        <x:f>IFERROR(AE470*AI470,"")</x:f>
        <x:v>0</x:v>
      </x:c>
      <x:c r="AM470" s="157" t="str">
        <x:f>IFERROR(AH470/Q470,"")</x:f>
      </x:c>
      <x:c r="AN470" s="156" t="str">
        <x:f>IFERROR(AH470/AG470,"")</x:f>
      </x:c>
      <x:c r="AO470" s="156" t="str">
        <x:f>IFERROR(AL470/AH470,"")</x:f>
      </x:c>
      <x:c r="AP470" s="157" t="str">
        <x:f>IFERROR(AG470/AE470,"")</x:f>
      </x:c>
      <x:c r="AQ470" s="157" t="str">
        <x:f>IFERROR(AN470/(R470/'Configuracion'!$B$13),"")</x:f>
      </x:c>
      <x:c r="AR470" s="156" t="n">
        <x:f>IFERROR(AE470-U470,"")</x:f>
        <x:v>0</x:v>
      </x:c>
      <x:c r="AS470" s="154"/>
      <x:c r="AT470" s="154"/>
      <x:c r="AU470" s="154"/>
      <x:c r="AV470" s="154"/>
      <x:c r="AW470" s="152"/>
      <x:c r="AX470" s="154"/>
      <x:c r="AY470" s="154"/>
      <x:c r="AZ470" s="151"/>
      <x:c r="BA470" s="151"/>
    </x:row>
    <x:row r="471">
      <x:c r="A471" s="151" t="str">
        <x:f>IF(B471="","",TEXT(B471,"yyyymmdd")&amp;"-"&amp;TEXT(COUNTIF($B$5:B471,B471),"000"))</x:f>
      </x:c>
      <x:c r="B471" s="152"/>
      <x:c r="C471" s="153"/>
      <x:c r="D471" s="151" t="str">
        <x:f>IF(B471="","",'Configuracion'!$B$4)</x:f>
      </x:c>
      <x:c r="E471" s="154"/>
      <x:c r="F471" s="154"/>
      <x:c r="G471" s="151" t="str">
        <x:f>IFERROR(VLOOKUP(F471,'Base Sectores'!$A$5:$J$47,2,FALSE),"")</x:f>
      </x:c>
      <x:c r="H471" s="151" t="str">
        <x:f>IFERROR(VLOOKUP(F471,'Base Sectores'!$A$5:$J$47,3,FALSE),"")</x:f>
      </x:c>
      <x:c r="I471" s="151" t="str">
        <x:f>IFERROR(VLOOKUP(F471,'Base Sectores'!$A$5:$J$47,4,FALSE),"")</x:f>
      </x:c>
      <x:c r="J471" s="151" t="str">
        <x:f>IFERROR(VLOOKUP(F471,'Base Sectores'!$A$5:$J$47,5,FALSE),"")</x:f>
      </x:c>
      <x:c r="K471" s="151" t="str">
        <x:f>IFERROR(VLOOKUP(F471,'Base Sectores'!$A$5:$J$47,6,FALSE),"")</x:f>
      </x:c>
      <x:c r="L471" s="151" t="str">
        <x:f>IFERROR(VLOOKUP(F471,'Base Sectores'!$A$5:$J$47,7,FALSE),"")</x:f>
      </x:c>
      <x:c r="M471" s="151" t="str">
        <x:f>IFERROR(VLOOKUP(F471,'Base Sectores'!$A$5:$J$47,9,FALSE),"")</x:f>
      </x:c>
      <x:c r="N471" s="154"/>
      <x:c r="O471" s="151" t="str">
        <x:f>IFERROR(VLOOKUP(N471,'Configuracion'!$D$4:$H$15,2,FALSE),"")</x:f>
      </x:c>
      <x:c r="P471" s="151" t="str">
        <x:f>IFERROR(VLOOKUP(N471,'Configuracion'!$D$4:$H$15,3,FALSE),"")</x:f>
      </x:c>
      <x:c r="Q471" s="155"/>
      <x:c r="R471" s="156" t="str">
        <x:f>IFERROR(VLOOKUP(N471,'Configuracion'!$D$4:$H$15,4,FALSE),"")</x:f>
      </x:c>
      <x:c r="S471" s="153"/>
      <x:c r="T471" s="153"/>
      <x:c r="U471" s="156" t="str">
        <x:f>IF(OR(S471="",T471=""),"",MOD(T471-S471,1)*24)</x:f>
      </x:c>
      <x:c r="V471" s="154"/>
      <x:c r="W471" s="154"/>
      <x:c r="X471" s="151" t="str">
        <x:f>IFERROR(VLOOKUP(N471,'Configuracion'!$D$4:$H$15,5,FALSE),"")</x:f>
      </x:c>
      <x:c r="Y471" s="151" t="str">
        <x:f>IFERROR(VLOOKUP(V471,'Cuadrillas'!$A$5:$J$14,2,FALSE),"")</x:f>
      </x:c>
      <x:c r="Z471" s="154"/>
      <x:c r="AA471" s="154"/>
      <x:c r="AB471" s="154"/>
      <x:c r="AC471" s="153"/>
      <x:c r="AD471" s="153"/>
      <x:c r="AE471" s="156" t="str">
        <x:f>IF(OR(AC471="",AD471=""),"",MOD(AD471-AC471,1)*24)</x:f>
      </x:c>
      <x:c r="AF471" s="154"/>
      <x:c r="AG471" s="156" t="str">
        <x:f>IF(AE471="","",MAX(0,AE471-IF(AF471="",0,AF471/60)))</x:f>
      </x:c>
      <x:c r="AH471" s="155"/>
      <x:c r="AI471" s="154"/>
      <x:c r="AJ471" s="154"/>
      <x:c r="AK471" s="156" t="n">
        <x:f>IFERROR(U471*W471,"")</x:f>
        <x:v>0</x:v>
      </x:c>
      <x:c r="AL471" s="156" t="n">
        <x:f>IFERROR(AE471*AI471,"")</x:f>
        <x:v>0</x:v>
      </x:c>
      <x:c r="AM471" s="157" t="str">
        <x:f>IFERROR(AH471/Q471,"")</x:f>
      </x:c>
      <x:c r="AN471" s="156" t="str">
        <x:f>IFERROR(AH471/AG471,"")</x:f>
      </x:c>
      <x:c r="AO471" s="156" t="str">
        <x:f>IFERROR(AL471/AH471,"")</x:f>
      </x:c>
      <x:c r="AP471" s="157" t="str">
        <x:f>IFERROR(AG471/AE471,"")</x:f>
      </x:c>
      <x:c r="AQ471" s="157" t="str">
        <x:f>IFERROR(AN471/(R471/'Configuracion'!$B$13),"")</x:f>
      </x:c>
      <x:c r="AR471" s="156" t="n">
        <x:f>IFERROR(AE471-U471,"")</x:f>
        <x:v>0</x:v>
      </x:c>
      <x:c r="AS471" s="154"/>
      <x:c r="AT471" s="154"/>
      <x:c r="AU471" s="154"/>
      <x:c r="AV471" s="154"/>
      <x:c r="AW471" s="152"/>
      <x:c r="AX471" s="154"/>
      <x:c r="AY471" s="154"/>
      <x:c r="AZ471" s="151"/>
      <x:c r="BA471" s="151"/>
    </x:row>
    <x:row r="472">
      <x:c r="A472" s="151" t="str">
        <x:f>IF(B472="","",TEXT(B472,"yyyymmdd")&amp;"-"&amp;TEXT(COUNTIF($B$5:B472,B472),"000"))</x:f>
      </x:c>
      <x:c r="B472" s="152"/>
      <x:c r="C472" s="153"/>
      <x:c r="D472" s="151" t="str">
        <x:f>IF(B472="","",'Configuracion'!$B$4)</x:f>
      </x:c>
      <x:c r="E472" s="154"/>
      <x:c r="F472" s="154"/>
      <x:c r="G472" s="151" t="str">
        <x:f>IFERROR(VLOOKUP(F472,'Base Sectores'!$A$5:$J$47,2,FALSE),"")</x:f>
      </x:c>
      <x:c r="H472" s="151" t="str">
        <x:f>IFERROR(VLOOKUP(F472,'Base Sectores'!$A$5:$J$47,3,FALSE),"")</x:f>
      </x:c>
      <x:c r="I472" s="151" t="str">
        <x:f>IFERROR(VLOOKUP(F472,'Base Sectores'!$A$5:$J$47,4,FALSE),"")</x:f>
      </x:c>
      <x:c r="J472" s="151" t="str">
        <x:f>IFERROR(VLOOKUP(F472,'Base Sectores'!$A$5:$J$47,5,FALSE),"")</x:f>
      </x:c>
      <x:c r="K472" s="151" t="str">
        <x:f>IFERROR(VLOOKUP(F472,'Base Sectores'!$A$5:$J$47,6,FALSE),"")</x:f>
      </x:c>
      <x:c r="L472" s="151" t="str">
        <x:f>IFERROR(VLOOKUP(F472,'Base Sectores'!$A$5:$J$47,7,FALSE),"")</x:f>
      </x:c>
      <x:c r="M472" s="151" t="str">
        <x:f>IFERROR(VLOOKUP(F472,'Base Sectores'!$A$5:$J$47,9,FALSE),"")</x:f>
      </x:c>
      <x:c r="N472" s="154"/>
      <x:c r="O472" s="151" t="str">
        <x:f>IFERROR(VLOOKUP(N472,'Configuracion'!$D$4:$H$15,2,FALSE),"")</x:f>
      </x:c>
      <x:c r="P472" s="151" t="str">
        <x:f>IFERROR(VLOOKUP(N472,'Configuracion'!$D$4:$H$15,3,FALSE),"")</x:f>
      </x:c>
      <x:c r="Q472" s="155"/>
      <x:c r="R472" s="156" t="str">
        <x:f>IFERROR(VLOOKUP(N472,'Configuracion'!$D$4:$H$15,4,FALSE),"")</x:f>
      </x:c>
      <x:c r="S472" s="153"/>
      <x:c r="T472" s="153"/>
      <x:c r="U472" s="156" t="str">
        <x:f>IF(OR(S472="",T472=""),"",MOD(T472-S472,1)*24)</x:f>
      </x:c>
      <x:c r="V472" s="154"/>
      <x:c r="W472" s="154"/>
      <x:c r="X472" s="151" t="str">
        <x:f>IFERROR(VLOOKUP(N472,'Configuracion'!$D$4:$H$15,5,FALSE),"")</x:f>
      </x:c>
      <x:c r="Y472" s="151" t="str">
        <x:f>IFERROR(VLOOKUP(V472,'Cuadrillas'!$A$5:$J$14,2,FALSE),"")</x:f>
      </x:c>
      <x:c r="Z472" s="154"/>
      <x:c r="AA472" s="154"/>
      <x:c r="AB472" s="154"/>
      <x:c r="AC472" s="153"/>
      <x:c r="AD472" s="153"/>
      <x:c r="AE472" s="156" t="str">
        <x:f>IF(OR(AC472="",AD472=""),"",MOD(AD472-AC472,1)*24)</x:f>
      </x:c>
      <x:c r="AF472" s="154"/>
      <x:c r="AG472" s="156" t="str">
        <x:f>IF(AE472="","",MAX(0,AE472-IF(AF472="",0,AF472/60)))</x:f>
      </x:c>
      <x:c r="AH472" s="155"/>
      <x:c r="AI472" s="154"/>
      <x:c r="AJ472" s="154"/>
      <x:c r="AK472" s="156" t="n">
        <x:f>IFERROR(U472*W472,"")</x:f>
        <x:v>0</x:v>
      </x:c>
      <x:c r="AL472" s="156" t="n">
        <x:f>IFERROR(AE472*AI472,"")</x:f>
        <x:v>0</x:v>
      </x:c>
      <x:c r="AM472" s="157" t="str">
        <x:f>IFERROR(AH472/Q472,"")</x:f>
      </x:c>
      <x:c r="AN472" s="156" t="str">
        <x:f>IFERROR(AH472/AG472,"")</x:f>
      </x:c>
      <x:c r="AO472" s="156" t="str">
        <x:f>IFERROR(AL472/AH472,"")</x:f>
      </x:c>
      <x:c r="AP472" s="157" t="str">
        <x:f>IFERROR(AG472/AE472,"")</x:f>
      </x:c>
      <x:c r="AQ472" s="157" t="str">
        <x:f>IFERROR(AN472/(R472/'Configuracion'!$B$13),"")</x:f>
      </x:c>
      <x:c r="AR472" s="156" t="n">
        <x:f>IFERROR(AE472-U472,"")</x:f>
        <x:v>0</x:v>
      </x:c>
      <x:c r="AS472" s="154"/>
      <x:c r="AT472" s="154"/>
      <x:c r="AU472" s="154"/>
      <x:c r="AV472" s="154"/>
      <x:c r="AW472" s="152"/>
      <x:c r="AX472" s="154"/>
      <x:c r="AY472" s="154"/>
      <x:c r="AZ472" s="151"/>
      <x:c r="BA472" s="151"/>
    </x:row>
    <x:row r="473">
      <x:c r="A473" s="151" t="str">
        <x:f>IF(B473="","",TEXT(B473,"yyyymmdd")&amp;"-"&amp;TEXT(COUNTIF($B$5:B473,B473),"000"))</x:f>
      </x:c>
      <x:c r="B473" s="152"/>
      <x:c r="C473" s="153"/>
      <x:c r="D473" s="151" t="str">
        <x:f>IF(B473="","",'Configuracion'!$B$4)</x:f>
      </x:c>
      <x:c r="E473" s="154"/>
      <x:c r="F473" s="154"/>
      <x:c r="G473" s="151" t="str">
        <x:f>IFERROR(VLOOKUP(F473,'Base Sectores'!$A$5:$J$47,2,FALSE),"")</x:f>
      </x:c>
      <x:c r="H473" s="151" t="str">
        <x:f>IFERROR(VLOOKUP(F473,'Base Sectores'!$A$5:$J$47,3,FALSE),"")</x:f>
      </x:c>
      <x:c r="I473" s="151" t="str">
        <x:f>IFERROR(VLOOKUP(F473,'Base Sectores'!$A$5:$J$47,4,FALSE),"")</x:f>
      </x:c>
      <x:c r="J473" s="151" t="str">
        <x:f>IFERROR(VLOOKUP(F473,'Base Sectores'!$A$5:$J$47,5,FALSE),"")</x:f>
      </x:c>
      <x:c r="K473" s="151" t="str">
        <x:f>IFERROR(VLOOKUP(F473,'Base Sectores'!$A$5:$J$47,6,FALSE),"")</x:f>
      </x:c>
      <x:c r="L473" s="151" t="str">
        <x:f>IFERROR(VLOOKUP(F473,'Base Sectores'!$A$5:$J$47,7,FALSE),"")</x:f>
      </x:c>
      <x:c r="M473" s="151" t="str">
        <x:f>IFERROR(VLOOKUP(F473,'Base Sectores'!$A$5:$J$47,9,FALSE),"")</x:f>
      </x:c>
      <x:c r="N473" s="154"/>
      <x:c r="O473" s="151" t="str">
        <x:f>IFERROR(VLOOKUP(N473,'Configuracion'!$D$4:$H$15,2,FALSE),"")</x:f>
      </x:c>
      <x:c r="P473" s="151" t="str">
        <x:f>IFERROR(VLOOKUP(N473,'Configuracion'!$D$4:$H$15,3,FALSE),"")</x:f>
      </x:c>
      <x:c r="Q473" s="155"/>
      <x:c r="R473" s="156" t="str">
        <x:f>IFERROR(VLOOKUP(N473,'Configuracion'!$D$4:$H$15,4,FALSE),"")</x:f>
      </x:c>
      <x:c r="S473" s="153"/>
      <x:c r="T473" s="153"/>
      <x:c r="U473" s="156" t="str">
        <x:f>IF(OR(S473="",T473=""),"",MOD(T473-S473,1)*24)</x:f>
      </x:c>
      <x:c r="V473" s="154"/>
      <x:c r="W473" s="154"/>
      <x:c r="X473" s="151" t="str">
        <x:f>IFERROR(VLOOKUP(N473,'Configuracion'!$D$4:$H$15,5,FALSE),"")</x:f>
      </x:c>
      <x:c r="Y473" s="151" t="str">
        <x:f>IFERROR(VLOOKUP(V473,'Cuadrillas'!$A$5:$J$14,2,FALSE),"")</x:f>
      </x:c>
      <x:c r="Z473" s="154"/>
      <x:c r="AA473" s="154"/>
      <x:c r="AB473" s="154"/>
      <x:c r="AC473" s="153"/>
      <x:c r="AD473" s="153"/>
      <x:c r="AE473" s="156" t="str">
        <x:f>IF(OR(AC473="",AD473=""),"",MOD(AD473-AC473,1)*24)</x:f>
      </x:c>
      <x:c r="AF473" s="154"/>
      <x:c r="AG473" s="156" t="str">
        <x:f>IF(AE473="","",MAX(0,AE473-IF(AF473="",0,AF473/60)))</x:f>
      </x:c>
      <x:c r="AH473" s="155"/>
      <x:c r="AI473" s="154"/>
      <x:c r="AJ473" s="154"/>
      <x:c r="AK473" s="156" t="n">
        <x:f>IFERROR(U473*W473,"")</x:f>
        <x:v>0</x:v>
      </x:c>
      <x:c r="AL473" s="156" t="n">
        <x:f>IFERROR(AE473*AI473,"")</x:f>
        <x:v>0</x:v>
      </x:c>
      <x:c r="AM473" s="157" t="str">
        <x:f>IFERROR(AH473/Q473,"")</x:f>
      </x:c>
      <x:c r="AN473" s="156" t="str">
        <x:f>IFERROR(AH473/AG473,"")</x:f>
      </x:c>
      <x:c r="AO473" s="156" t="str">
        <x:f>IFERROR(AL473/AH473,"")</x:f>
      </x:c>
      <x:c r="AP473" s="157" t="str">
        <x:f>IFERROR(AG473/AE473,"")</x:f>
      </x:c>
      <x:c r="AQ473" s="157" t="str">
        <x:f>IFERROR(AN473/(R473/'Configuracion'!$B$13),"")</x:f>
      </x:c>
      <x:c r="AR473" s="156" t="n">
        <x:f>IFERROR(AE473-U473,"")</x:f>
        <x:v>0</x:v>
      </x:c>
      <x:c r="AS473" s="154"/>
      <x:c r="AT473" s="154"/>
      <x:c r="AU473" s="154"/>
      <x:c r="AV473" s="154"/>
      <x:c r="AW473" s="152"/>
      <x:c r="AX473" s="154"/>
      <x:c r="AY473" s="154"/>
      <x:c r="AZ473" s="151"/>
      <x:c r="BA473" s="151"/>
    </x:row>
    <x:row r="474">
      <x:c r="A474" s="151" t="str">
        <x:f>IF(B474="","",TEXT(B474,"yyyymmdd")&amp;"-"&amp;TEXT(COUNTIF($B$5:B474,B474),"000"))</x:f>
      </x:c>
      <x:c r="B474" s="152"/>
      <x:c r="C474" s="153"/>
      <x:c r="D474" s="151" t="str">
        <x:f>IF(B474="","",'Configuracion'!$B$4)</x:f>
      </x:c>
      <x:c r="E474" s="154"/>
      <x:c r="F474" s="154"/>
      <x:c r="G474" s="151" t="str">
        <x:f>IFERROR(VLOOKUP(F474,'Base Sectores'!$A$5:$J$47,2,FALSE),"")</x:f>
      </x:c>
      <x:c r="H474" s="151" t="str">
        <x:f>IFERROR(VLOOKUP(F474,'Base Sectores'!$A$5:$J$47,3,FALSE),"")</x:f>
      </x:c>
      <x:c r="I474" s="151" t="str">
        <x:f>IFERROR(VLOOKUP(F474,'Base Sectores'!$A$5:$J$47,4,FALSE),"")</x:f>
      </x:c>
      <x:c r="J474" s="151" t="str">
        <x:f>IFERROR(VLOOKUP(F474,'Base Sectores'!$A$5:$J$47,5,FALSE),"")</x:f>
      </x:c>
      <x:c r="K474" s="151" t="str">
        <x:f>IFERROR(VLOOKUP(F474,'Base Sectores'!$A$5:$J$47,6,FALSE),"")</x:f>
      </x:c>
      <x:c r="L474" s="151" t="str">
        <x:f>IFERROR(VLOOKUP(F474,'Base Sectores'!$A$5:$J$47,7,FALSE),"")</x:f>
      </x:c>
      <x:c r="M474" s="151" t="str">
        <x:f>IFERROR(VLOOKUP(F474,'Base Sectores'!$A$5:$J$47,9,FALSE),"")</x:f>
      </x:c>
      <x:c r="N474" s="154"/>
      <x:c r="O474" s="151" t="str">
        <x:f>IFERROR(VLOOKUP(N474,'Configuracion'!$D$4:$H$15,2,FALSE),"")</x:f>
      </x:c>
      <x:c r="P474" s="151" t="str">
        <x:f>IFERROR(VLOOKUP(N474,'Configuracion'!$D$4:$H$15,3,FALSE),"")</x:f>
      </x:c>
      <x:c r="Q474" s="155"/>
      <x:c r="R474" s="156" t="str">
        <x:f>IFERROR(VLOOKUP(N474,'Configuracion'!$D$4:$H$15,4,FALSE),"")</x:f>
      </x:c>
      <x:c r="S474" s="153"/>
      <x:c r="T474" s="153"/>
      <x:c r="U474" s="156" t="str">
        <x:f>IF(OR(S474="",T474=""),"",MOD(T474-S474,1)*24)</x:f>
      </x:c>
      <x:c r="V474" s="154"/>
      <x:c r="W474" s="154"/>
      <x:c r="X474" s="151" t="str">
        <x:f>IFERROR(VLOOKUP(N474,'Configuracion'!$D$4:$H$15,5,FALSE),"")</x:f>
      </x:c>
      <x:c r="Y474" s="151" t="str">
        <x:f>IFERROR(VLOOKUP(V474,'Cuadrillas'!$A$5:$J$14,2,FALSE),"")</x:f>
      </x:c>
      <x:c r="Z474" s="154"/>
      <x:c r="AA474" s="154"/>
      <x:c r="AB474" s="154"/>
      <x:c r="AC474" s="153"/>
      <x:c r="AD474" s="153"/>
      <x:c r="AE474" s="156" t="str">
        <x:f>IF(OR(AC474="",AD474=""),"",MOD(AD474-AC474,1)*24)</x:f>
      </x:c>
      <x:c r="AF474" s="154"/>
      <x:c r="AG474" s="156" t="str">
        <x:f>IF(AE474="","",MAX(0,AE474-IF(AF474="",0,AF474/60)))</x:f>
      </x:c>
      <x:c r="AH474" s="155"/>
      <x:c r="AI474" s="154"/>
      <x:c r="AJ474" s="154"/>
      <x:c r="AK474" s="156" t="n">
        <x:f>IFERROR(U474*W474,"")</x:f>
        <x:v>0</x:v>
      </x:c>
      <x:c r="AL474" s="156" t="n">
        <x:f>IFERROR(AE474*AI474,"")</x:f>
        <x:v>0</x:v>
      </x:c>
      <x:c r="AM474" s="157" t="str">
        <x:f>IFERROR(AH474/Q474,"")</x:f>
      </x:c>
      <x:c r="AN474" s="156" t="str">
        <x:f>IFERROR(AH474/AG474,"")</x:f>
      </x:c>
      <x:c r="AO474" s="156" t="str">
        <x:f>IFERROR(AL474/AH474,"")</x:f>
      </x:c>
      <x:c r="AP474" s="157" t="str">
        <x:f>IFERROR(AG474/AE474,"")</x:f>
      </x:c>
      <x:c r="AQ474" s="157" t="str">
        <x:f>IFERROR(AN474/(R474/'Configuracion'!$B$13),"")</x:f>
      </x:c>
      <x:c r="AR474" s="156" t="n">
        <x:f>IFERROR(AE474-U474,"")</x:f>
        <x:v>0</x:v>
      </x:c>
      <x:c r="AS474" s="154"/>
      <x:c r="AT474" s="154"/>
      <x:c r="AU474" s="154"/>
      <x:c r="AV474" s="154"/>
      <x:c r="AW474" s="152"/>
      <x:c r="AX474" s="154"/>
      <x:c r="AY474" s="154"/>
      <x:c r="AZ474" s="151"/>
      <x:c r="BA474" s="151"/>
    </x:row>
    <x:row r="475">
      <x:c r="A475" s="151" t="str">
        <x:f>IF(B475="","",TEXT(B475,"yyyymmdd")&amp;"-"&amp;TEXT(COUNTIF($B$5:B475,B475),"000"))</x:f>
      </x:c>
      <x:c r="B475" s="152"/>
      <x:c r="C475" s="153"/>
      <x:c r="D475" s="151" t="str">
        <x:f>IF(B475="","",'Configuracion'!$B$4)</x:f>
      </x:c>
      <x:c r="E475" s="154"/>
      <x:c r="F475" s="154"/>
      <x:c r="G475" s="151" t="str">
        <x:f>IFERROR(VLOOKUP(F475,'Base Sectores'!$A$5:$J$47,2,FALSE),"")</x:f>
      </x:c>
      <x:c r="H475" s="151" t="str">
        <x:f>IFERROR(VLOOKUP(F475,'Base Sectores'!$A$5:$J$47,3,FALSE),"")</x:f>
      </x:c>
      <x:c r="I475" s="151" t="str">
        <x:f>IFERROR(VLOOKUP(F475,'Base Sectores'!$A$5:$J$47,4,FALSE),"")</x:f>
      </x:c>
      <x:c r="J475" s="151" t="str">
        <x:f>IFERROR(VLOOKUP(F475,'Base Sectores'!$A$5:$J$47,5,FALSE),"")</x:f>
      </x:c>
      <x:c r="K475" s="151" t="str">
        <x:f>IFERROR(VLOOKUP(F475,'Base Sectores'!$A$5:$J$47,6,FALSE),"")</x:f>
      </x:c>
      <x:c r="L475" s="151" t="str">
        <x:f>IFERROR(VLOOKUP(F475,'Base Sectores'!$A$5:$J$47,7,FALSE),"")</x:f>
      </x:c>
      <x:c r="M475" s="151" t="str">
        <x:f>IFERROR(VLOOKUP(F475,'Base Sectores'!$A$5:$J$47,9,FALSE),"")</x:f>
      </x:c>
      <x:c r="N475" s="154"/>
      <x:c r="O475" s="151" t="str">
        <x:f>IFERROR(VLOOKUP(N475,'Configuracion'!$D$4:$H$15,2,FALSE),"")</x:f>
      </x:c>
      <x:c r="P475" s="151" t="str">
        <x:f>IFERROR(VLOOKUP(N475,'Configuracion'!$D$4:$H$15,3,FALSE),"")</x:f>
      </x:c>
      <x:c r="Q475" s="155"/>
      <x:c r="R475" s="156" t="str">
        <x:f>IFERROR(VLOOKUP(N475,'Configuracion'!$D$4:$H$15,4,FALSE),"")</x:f>
      </x:c>
      <x:c r="S475" s="153"/>
      <x:c r="T475" s="153"/>
      <x:c r="U475" s="156" t="str">
        <x:f>IF(OR(S475="",T475=""),"",MOD(T475-S475,1)*24)</x:f>
      </x:c>
      <x:c r="V475" s="154"/>
      <x:c r="W475" s="154"/>
      <x:c r="X475" s="151" t="str">
        <x:f>IFERROR(VLOOKUP(N475,'Configuracion'!$D$4:$H$15,5,FALSE),"")</x:f>
      </x:c>
      <x:c r="Y475" s="151" t="str">
        <x:f>IFERROR(VLOOKUP(V475,'Cuadrillas'!$A$5:$J$14,2,FALSE),"")</x:f>
      </x:c>
      <x:c r="Z475" s="154"/>
      <x:c r="AA475" s="154"/>
      <x:c r="AB475" s="154"/>
      <x:c r="AC475" s="153"/>
      <x:c r="AD475" s="153"/>
      <x:c r="AE475" s="156" t="str">
        <x:f>IF(OR(AC475="",AD475=""),"",MOD(AD475-AC475,1)*24)</x:f>
      </x:c>
      <x:c r="AF475" s="154"/>
      <x:c r="AG475" s="156" t="str">
        <x:f>IF(AE475="","",MAX(0,AE475-IF(AF475="",0,AF475/60)))</x:f>
      </x:c>
      <x:c r="AH475" s="155"/>
      <x:c r="AI475" s="154"/>
      <x:c r="AJ475" s="154"/>
      <x:c r="AK475" s="156" t="n">
        <x:f>IFERROR(U475*W475,"")</x:f>
        <x:v>0</x:v>
      </x:c>
      <x:c r="AL475" s="156" t="n">
        <x:f>IFERROR(AE475*AI475,"")</x:f>
        <x:v>0</x:v>
      </x:c>
      <x:c r="AM475" s="157" t="str">
        <x:f>IFERROR(AH475/Q475,"")</x:f>
      </x:c>
      <x:c r="AN475" s="156" t="str">
        <x:f>IFERROR(AH475/AG475,"")</x:f>
      </x:c>
      <x:c r="AO475" s="156" t="str">
        <x:f>IFERROR(AL475/AH475,"")</x:f>
      </x:c>
      <x:c r="AP475" s="157" t="str">
        <x:f>IFERROR(AG475/AE475,"")</x:f>
      </x:c>
      <x:c r="AQ475" s="157" t="str">
        <x:f>IFERROR(AN475/(R475/'Configuracion'!$B$13),"")</x:f>
      </x:c>
      <x:c r="AR475" s="156" t="n">
        <x:f>IFERROR(AE475-U475,"")</x:f>
        <x:v>0</x:v>
      </x:c>
      <x:c r="AS475" s="154"/>
      <x:c r="AT475" s="154"/>
      <x:c r="AU475" s="154"/>
      <x:c r="AV475" s="154"/>
      <x:c r="AW475" s="152"/>
      <x:c r="AX475" s="154"/>
      <x:c r="AY475" s="154"/>
      <x:c r="AZ475" s="151"/>
      <x:c r="BA475" s="151"/>
    </x:row>
    <x:row r="476">
      <x:c r="A476" s="151" t="str">
        <x:f>IF(B476="","",TEXT(B476,"yyyymmdd")&amp;"-"&amp;TEXT(COUNTIF($B$5:B476,B476),"000"))</x:f>
      </x:c>
      <x:c r="B476" s="152"/>
      <x:c r="C476" s="153"/>
      <x:c r="D476" s="151" t="str">
        <x:f>IF(B476="","",'Configuracion'!$B$4)</x:f>
      </x:c>
      <x:c r="E476" s="154"/>
      <x:c r="F476" s="154"/>
      <x:c r="G476" s="151" t="str">
        <x:f>IFERROR(VLOOKUP(F476,'Base Sectores'!$A$5:$J$47,2,FALSE),"")</x:f>
      </x:c>
      <x:c r="H476" s="151" t="str">
        <x:f>IFERROR(VLOOKUP(F476,'Base Sectores'!$A$5:$J$47,3,FALSE),"")</x:f>
      </x:c>
      <x:c r="I476" s="151" t="str">
        <x:f>IFERROR(VLOOKUP(F476,'Base Sectores'!$A$5:$J$47,4,FALSE),"")</x:f>
      </x:c>
      <x:c r="J476" s="151" t="str">
        <x:f>IFERROR(VLOOKUP(F476,'Base Sectores'!$A$5:$J$47,5,FALSE),"")</x:f>
      </x:c>
      <x:c r="K476" s="151" t="str">
        <x:f>IFERROR(VLOOKUP(F476,'Base Sectores'!$A$5:$J$47,6,FALSE),"")</x:f>
      </x:c>
      <x:c r="L476" s="151" t="str">
        <x:f>IFERROR(VLOOKUP(F476,'Base Sectores'!$A$5:$J$47,7,FALSE),"")</x:f>
      </x:c>
      <x:c r="M476" s="151" t="str">
        <x:f>IFERROR(VLOOKUP(F476,'Base Sectores'!$A$5:$J$47,9,FALSE),"")</x:f>
      </x:c>
      <x:c r="N476" s="154"/>
      <x:c r="O476" s="151" t="str">
        <x:f>IFERROR(VLOOKUP(N476,'Configuracion'!$D$4:$H$15,2,FALSE),"")</x:f>
      </x:c>
      <x:c r="P476" s="151" t="str">
        <x:f>IFERROR(VLOOKUP(N476,'Configuracion'!$D$4:$H$15,3,FALSE),"")</x:f>
      </x:c>
      <x:c r="Q476" s="155"/>
      <x:c r="R476" s="156" t="str">
        <x:f>IFERROR(VLOOKUP(N476,'Configuracion'!$D$4:$H$15,4,FALSE),"")</x:f>
      </x:c>
      <x:c r="S476" s="153"/>
      <x:c r="T476" s="153"/>
      <x:c r="U476" s="156" t="str">
        <x:f>IF(OR(S476="",T476=""),"",MOD(T476-S476,1)*24)</x:f>
      </x:c>
      <x:c r="V476" s="154"/>
      <x:c r="W476" s="154"/>
      <x:c r="X476" s="151" t="str">
        <x:f>IFERROR(VLOOKUP(N476,'Configuracion'!$D$4:$H$15,5,FALSE),"")</x:f>
      </x:c>
      <x:c r="Y476" s="151" t="str">
        <x:f>IFERROR(VLOOKUP(V476,'Cuadrillas'!$A$5:$J$14,2,FALSE),"")</x:f>
      </x:c>
      <x:c r="Z476" s="154"/>
      <x:c r="AA476" s="154"/>
      <x:c r="AB476" s="154"/>
      <x:c r="AC476" s="153"/>
      <x:c r="AD476" s="153"/>
      <x:c r="AE476" s="156" t="str">
        <x:f>IF(OR(AC476="",AD476=""),"",MOD(AD476-AC476,1)*24)</x:f>
      </x:c>
      <x:c r="AF476" s="154"/>
      <x:c r="AG476" s="156" t="str">
        <x:f>IF(AE476="","",MAX(0,AE476-IF(AF476="",0,AF476/60)))</x:f>
      </x:c>
      <x:c r="AH476" s="155"/>
      <x:c r="AI476" s="154"/>
      <x:c r="AJ476" s="154"/>
      <x:c r="AK476" s="156" t="n">
        <x:f>IFERROR(U476*W476,"")</x:f>
        <x:v>0</x:v>
      </x:c>
      <x:c r="AL476" s="156" t="n">
        <x:f>IFERROR(AE476*AI476,"")</x:f>
        <x:v>0</x:v>
      </x:c>
      <x:c r="AM476" s="157" t="str">
        <x:f>IFERROR(AH476/Q476,"")</x:f>
      </x:c>
      <x:c r="AN476" s="156" t="str">
        <x:f>IFERROR(AH476/AG476,"")</x:f>
      </x:c>
      <x:c r="AO476" s="156" t="str">
        <x:f>IFERROR(AL476/AH476,"")</x:f>
      </x:c>
      <x:c r="AP476" s="157" t="str">
        <x:f>IFERROR(AG476/AE476,"")</x:f>
      </x:c>
      <x:c r="AQ476" s="157" t="str">
        <x:f>IFERROR(AN476/(R476/'Configuracion'!$B$13),"")</x:f>
      </x:c>
      <x:c r="AR476" s="156" t="n">
        <x:f>IFERROR(AE476-U476,"")</x:f>
        <x:v>0</x:v>
      </x:c>
      <x:c r="AS476" s="154"/>
      <x:c r="AT476" s="154"/>
      <x:c r="AU476" s="154"/>
      <x:c r="AV476" s="154"/>
      <x:c r="AW476" s="152"/>
      <x:c r="AX476" s="154"/>
      <x:c r="AY476" s="154"/>
      <x:c r="AZ476" s="151"/>
      <x:c r="BA476" s="151"/>
    </x:row>
    <x:row r="477">
      <x:c r="A477" s="151" t="str">
        <x:f>IF(B477="","",TEXT(B477,"yyyymmdd")&amp;"-"&amp;TEXT(COUNTIF($B$5:B477,B477),"000"))</x:f>
      </x:c>
      <x:c r="B477" s="152"/>
      <x:c r="C477" s="153"/>
      <x:c r="D477" s="151" t="str">
        <x:f>IF(B477="","",'Configuracion'!$B$4)</x:f>
      </x:c>
      <x:c r="E477" s="154"/>
      <x:c r="F477" s="154"/>
      <x:c r="G477" s="151" t="str">
        <x:f>IFERROR(VLOOKUP(F477,'Base Sectores'!$A$5:$J$47,2,FALSE),"")</x:f>
      </x:c>
      <x:c r="H477" s="151" t="str">
        <x:f>IFERROR(VLOOKUP(F477,'Base Sectores'!$A$5:$J$47,3,FALSE),"")</x:f>
      </x:c>
      <x:c r="I477" s="151" t="str">
        <x:f>IFERROR(VLOOKUP(F477,'Base Sectores'!$A$5:$J$47,4,FALSE),"")</x:f>
      </x:c>
      <x:c r="J477" s="151" t="str">
        <x:f>IFERROR(VLOOKUP(F477,'Base Sectores'!$A$5:$J$47,5,FALSE),"")</x:f>
      </x:c>
      <x:c r="K477" s="151" t="str">
        <x:f>IFERROR(VLOOKUP(F477,'Base Sectores'!$A$5:$J$47,6,FALSE),"")</x:f>
      </x:c>
      <x:c r="L477" s="151" t="str">
        <x:f>IFERROR(VLOOKUP(F477,'Base Sectores'!$A$5:$J$47,7,FALSE),"")</x:f>
      </x:c>
      <x:c r="M477" s="151" t="str">
        <x:f>IFERROR(VLOOKUP(F477,'Base Sectores'!$A$5:$J$47,9,FALSE),"")</x:f>
      </x:c>
      <x:c r="N477" s="154"/>
      <x:c r="O477" s="151" t="str">
        <x:f>IFERROR(VLOOKUP(N477,'Configuracion'!$D$4:$H$15,2,FALSE),"")</x:f>
      </x:c>
      <x:c r="P477" s="151" t="str">
        <x:f>IFERROR(VLOOKUP(N477,'Configuracion'!$D$4:$H$15,3,FALSE),"")</x:f>
      </x:c>
      <x:c r="Q477" s="155"/>
      <x:c r="R477" s="156" t="str">
        <x:f>IFERROR(VLOOKUP(N477,'Configuracion'!$D$4:$H$15,4,FALSE),"")</x:f>
      </x:c>
      <x:c r="S477" s="153"/>
      <x:c r="T477" s="153"/>
      <x:c r="U477" s="156" t="str">
        <x:f>IF(OR(S477="",T477=""),"",MOD(T477-S477,1)*24)</x:f>
      </x:c>
      <x:c r="V477" s="154"/>
      <x:c r="W477" s="154"/>
      <x:c r="X477" s="151" t="str">
        <x:f>IFERROR(VLOOKUP(N477,'Configuracion'!$D$4:$H$15,5,FALSE),"")</x:f>
      </x:c>
      <x:c r="Y477" s="151" t="str">
        <x:f>IFERROR(VLOOKUP(V477,'Cuadrillas'!$A$5:$J$14,2,FALSE),"")</x:f>
      </x:c>
      <x:c r="Z477" s="154"/>
      <x:c r="AA477" s="154"/>
      <x:c r="AB477" s="154"/>
      <x:c r="AC477" s="153"/>
      <x:c r="AD477" s="153"/>
      <x:c r="AE477" s="156" t="str">
        <x:f>IF(OR(AC477="",AD477=""),"",MOD(AD477-AC477,1)*24)</x:f>
      </x:c>
      <x:c r="AF477" s="154"/>
      <x:c r="AG477" s="156" t="str">
        <x:f>IF(AE477="","",MAX(0,AE477-IF(AF477="",0,AF477/60)))</x:f>
      </x:c>
      <x:c r="AH477" s="155"/>
      <x:c r="AI477" s="154"/>
      <x:c r="AJ477" s="154"/>
      <x:c r="AK477" s="156" t="n">
        <x:f>IFERROR(U477*W477,"")</x:f>
        <x:v>0</x:v>
      </x:c>
      <x:c r="AL477" s="156" t="n">
        <x:f>IFERROR(AE477*AI477,"")</x:f>
        <x:v>0</x:v>
      </x:c>
      <x:c r="AM477" s="157" t="str">
        <x:f>IFERROR(AH477/Q477,"")</x:f>
      </x:c>
      <x:c r="AN477" s="156" t="str">
        <x:f>IFERROR(AH477/AG477,"")</x:f>
      </x:c>
      <x:c r="AO477" s="156" t="str">
        <x:f>IFERROR(AL477/AH477,"")</x:f>
      </x:c>
      <x:c r="AP477" s="157" t="str">
        <x:f>IFERROR(AG477/AE477,"")</x:f>
      </x:c>
      <x:c r="AQ477" s="157" t="str">
        <x:f>IFERROR(AN477/(R477/'Configuracion'!$B$13),"")</x:f>
      </x:c>
      <x:c r="AR477" s="156" t="n">
        <x:f>IFERROR(AE477-U477,"")</x:f>
        <x:v>0</x:v>
      </x:c>
      <x:c r="AS477" s="154"/>
      <x:c r="AT477" s="154"/>
      <x:c r="AU477" s="154"/>
      <x:c r="AV477" s="154"/>
      <x:c r="AW477" s="152"/>
      <x:c r="AX477" s="154"/>
      <x:c r="AY477" s="154"/>
      <x:c r="AZ477" s="151"/>
      <x:c r="BA477" s="151"/>
    </x:row>
    <x:row r="478">
      <x:c r="A478" s="151" t="str">
        <x:f>IF(B478="","",TEXT(B478,"yyyymmdd")&amp;"-"&amp;TEXT(COUNTIF($B$5:B478,B478),"000"))</x:f>
      </x:c>
      <x:c r="B478" s="152"/>
      <x:c r="C478" s="153"/>
      <x:c r="D478" s="151" t="str">
        <x:f>IF(B478="","",'Configuracion'!$B$4)</x:f>
      </x:c>
      <x:c r="E478" s="154"/>
      <x:c r="F478" s="154"/>
      <x:c r="G478" s="151" t="str">
        <x:f>IFERROR(VLOOKUP(F478,'Base Sectores'!$A$5:$J$47,2,FALSE),"")</x:f>
      </x:c>
      <x:c r="H478" s="151" t="str">
        <x:f>IFERROR(VLOOKUP(F478,'Base Sectores'!$A$5:$J$47,3,FALSE),"")</x:f>
      </x:c>
      <x:c r="I478" s="151" t="str">
        <x:f>IFERROR(VLOOKUP(F478,'Base Sectores'!$A$5:$J$47,4,FALSE),"")</x:f>
      </x:c>
      <x:c r="J478" s="151" t="str">
        <x:f>IFERROR(VLOOKUP(F478,'Base Sectores'!$A$5:$J$47,5,FALSE),"")</x:f>
      </x:c>
      <x:c r="K478" s="151" t="str">
        <x:f>IFERROR(VLOOKUP(F478,'Base Sectores'!$A$5:$J$47,6,FALSE),"")</x:f>
      </x:c>
      <x:c r="L478" s="151" t="str">
        <x:f>IFERROR(VLOOKUP(F478,'Base Sectores'!$A$5:$J$47,7,FALSE),"")</x:f>
      </x:c>
      <x:c r="M478" s="151" t="str">
        <x:f>IFERROR(VLOOKUP(F478,'Base Sectores'!$A$5:$J$47,9,FALSE),"")</x:f>
      </x:c>
      <x:c r="N478" s="154"/>
      <x:c r="O478" s="151" t="str">
        <x:f>IFERROR(VLOOKUP(N478,'Configuracion'!$D$4:$H$15,2,FALSE),"")</x:f>
      </x:c>
      <x:c r="P478" s="151" t="str">
        <x:f>IFERROR(VLOOKUP(N478,'Configuracion'!$D$4:$H$15,3,FALSE),"")</x:f>
      </x:c>
      <x:c r="Q478" s="155"/>
      <x:c r="R478" s="156" t="str">
        <x:f>IFERROR(VLOOKUP(N478,'Configuracion'!$D$4:$H$15,4,FALSE),"")</x:f>
      </x:c>
      <x:c r="S478" s="153"/>
      <x:c r="T478" s="153"/>
      <x:c r="U478" s="156" t="str">
        <x:f>IF(OR(S478="",T478=""),"",MOD(T478-S478,1)*24)</x:f>
      </x:c>
      <x:c r="V478" s="154"/>
      <x:c r="W478" s="154"/>
      <x:c r="X478" s="151" t="str">
        <x:f>IFERROR(VLOOKUP(N478,'Configuracion'!$D$4:$H$15,5,FALSE),"")</x:f>
      </x:c>
      <x:c r="Y478" s="151" t="str">
        <x:f>IFERROR(VLOOKUP(V478,'Cuadrillas'!$A$5:$J$14,2,FALSE),"")</x:f>
      </x:c>
      <x:c r="Z478" s="154"/>
      <x:c r="AA478" s="154"/>
      <x:c r="AB478" s="154"/>
      <x:c r="AC478" s="153"/>
      <x:c r="AD478" s="153"/>
      <x:c r="AE478" s="156" t="str">
        <x:f>IF(OR(AC478="",AD478=""),"",MOD(AD478-AC478,1)*24)</x:f>
      </x:c>
      <x:c r="AF478" s="154"/>
      <x:c r="AG478" s="156" t="str">
        <x:f>IF(AE478="","",MAX(0,AE478-IF(AF478="",0,AF478/60)))</x:f>
      </x:c>
      <x:c r="AH478" s="155"/>
      <x:c r="AI478" s="154"/>
      <x:c r="AJ478" s="154"/>
      <x:c r="AK478" s="156" t="n">
        <x:f>IFERROR(U478*W478,"")</x:f>
        <x:v>0</x:v>
      </x:c>
      <x:c r="AL478" s="156" t="n">
        <x:f>IFERROR(AE478*AI478,"")</x:f>
        <x:v>0</x:v>
      </x:c>
      <x:c r="AM478" s="157" t="str">
        <x:f>IFERROR(AH478/Q478,"")</x:f>
      </x:c>
      <x:c r="AN478" s="156" t="str">
        <x:f>IFERROR(AH478/AG478,"")</x:f>
      </x:c>
      <x:c r="AO478" s="156" t="str">
        <x:f>IFERROR(AL478/AH478,"")</x:f>
      </x:c>
      <x:c r="AP478" s="157" t="str">
        <x:f>IFERROR(AG478/AE478,"")</x:f>
      </x:c>
      <x:c r="AQ478" s="157" t="str">
        <x:f>IFERROR(AN478/(R478/'Configuracion'!$B$13),"")</x:f>
      </x:c>
      <x:c r="AR478" s="156" t="n">
        <x:f>IFERROR(AE478-U478,"")</x:f>
        <x:v>0</x:v>
      </x:c>
      <x:c r="AS478" s="154"/>
      <x:c r="AT478" s="154"/>
      <x:c r="AU478" s="154"/>
      <x:c r="AV478" s="154"/>
      <x:c r="AW478" s="152"/>
      <x:c r="AX478" s="154"/>
      <x:c r="AY478" s="154"/>
      <x:c r="AZ478" s="151"/>
      <x:c r="BA478" s="151"/>
    </x:row>
    <x:row r="479">
      <x:c r="A479" s="151" t="str">
        <x:f>IF(B479="","",TEXT(B479,"yyyymmdd")&amp;"-"&amp;TEXT(COUNTIF($B$5:B479,B479),"000"))</x:f>
      </x:c>
      <x:c r="B479" s="152"/>
      <x:c r="C479" s="153"/>
      <x:c r="D479" s="151" t="str">
        <x:f>IF(B479="","",'Configuracion'!$B$4)</x:f>
      </x:c>
      <x:c r="E479" s="154"/>
      <x:c r="F479" s="154"/>
      <x:c r="G479" s="151" t="str">
        <x:f>IFERROR(VLOOKUP(F479,'Base Sectores'!$A$5:$J$47,2,FALSE),"")</x:f>
      </x:c>
      <x:c r="H479" s="151" t="str">
        <x:f>IFERROR(VLOOKUP(F479,'Base Sectores'!$A$5:$J$47,3,FALSE),"")</x:f>
      </x:c>
      <x:c r="I479" s="151" t="str">
        <x:f>IFERROR(VLOOKUP(F479,'Base Sectores'!$A$5:$J$47,4,FALSE),"")</x:f>
      </x:c>
      <x:c r="J479" s="151" t="str">
        <x:f>IFERROR(VLOOKUP(F479,'Base Sectores'!$A$5:$J$47,5,FALSE),"")</x:f>
      </x:c>
      <x:c r="K479" s="151" t="str">
        <x:f>IFERROR(VLOOKUP(F479,'Base Sectores'!$A$5:$J$47,6,FALSE),"")</x:f>
      </x:c>
      <x:c r="L479" s="151" t="str">
        <x:f>IFERROR(VLOOKUP(F479,'Base Sectores'!$A$5:$J$47,7,FALSE),"")</x:f>
      </x:c>
      <x:c r="M479" s="151" t="str">
        <x:f>IFERROR(VLOOKUP(F479,'Base Sectores'!$A$5:$J$47,9,FALSE),"")</x:f>
      </x:c>
      <x:c r="N479" s="154"/>
      <x:c r="O479" s="151" t="str">
        <x:f>IFERROR(VLOOKUP(N479,'Configuracion'!$D$4:$H$15,2,FALSE),"")</x:f>
      </x:c>
      <x:c r="P479" s="151" t="str">
        <x:f>IFERROR(VLOOKUP(N479,'Configuracion'!$D$4:$H$15,3,FALSE),"")</x:f>
      </x:c>
      <x:c r="Q479" s="155"/>
      <x:c r="R479" s="156" t="str">
        <x:f>IFERROR(VLOOKUP(N479,'Configuracion'!$D$4:$H$15,4,FALSE),"")</x:f>
      </x:c>
      <x:c r="S479" s="153"/>
      <x:c r="T479" s="153"/>
      <x:c r="U479" s="156" t="str">
        <x:f>IF(OR(S479="",T479=""),"",MOD(T479-S479,1)*24)</x:f>
      </x:c>
      <x:c r="V479" s="154"/>
      <x:c r="W479" s="154"/>
      <x:c r="X479" s="151" t="str">
        <x:f>IFERROR(VLOOKUP(N479,'Configuracion'!$D$4:$H$15,5,FALSE),"")</x:f>
      </x:c>
      <x:c r="Y479" s="151" t="str">
        <x:f>IFERROR(VLOOKUP(V479,'Cuadrillas'!$A$5:$J$14,2,FALSE),"")</x:f>
      </x:c>
      <x:c r="Z479" s="154"/>
      <x:c r="AA479" s="154"/>
      <x:c r="AB479" s="154"/>
      <x:c r="AC479" s="153"/>
      <x:c r="AD479" s="153"/>
      <x:c r="AE479" s="156" t="str">
        <x:f>IF(OR(AC479="",AD479=""),"",MOD(AD479-AC479,1)*24)</x:f>
      </x:c>
      <x:c r="AF479" s="154"/>
      <x:c r="AG479" s="156" t="str">
        <x:f>IF(AE479="","",MAX(0,AE479-IF(AF479="",0,AF479/60)))</x:f>
      </x:c>
      <x:c r="AH479" s="155"/>
      <x:c r="AI479" s="154"/>
      <x:c r="AJ479" s="154"/>
      <x:c r="AK479" s="156" t="n">
        <x:f>IFERROR(U479*W479,"")</x:f>
        <x:v>0</x:v>
      </x:c>
      <x:c r="AL479" s="156" t="n">
        <x:f>IFERROR(AE479*AI479,"")</x:f>
        <x:v>0</x:v>
      </x:c>
      <x:c r="AM479" s="157" t="str">
        <x:f>IFERROR(AH479/Q479,"")</x:f>
      </x:c>
      <x:c r="AN479" s="156" t="str">
        <x:f>IFERROR(AH479/AG479,"")</x:f>
      </x:c>
      <x:c r="AO479" s="156" t="str">
        <x:f>IFERROR(AL479/AH479,"")</x:f>
      </x:c>
      <x:c r="AP479" s="157" t="str">
        <x:f>IFERROR(AG479/AE479,"")</x:f>
      </x:c>
      <x:c r="AQ479" s="157" t="str">
        <x:f>IFERROR(AN479/(R479/'Configuracion'!$B$13),"")</x:f>
      </x:c>
      <x:c r="AR479" s="156" t="n">
        <x:f>IFERROR(AE479-U479,"")</x:f>
        <x:v>0</x:v>
      </x:c>
      <x:c r="AS479" s="154"/>
      <x:c r="AT479" s="154"/>
      <x:c r="AU479" s="154"/>
      <x:c r="AV479" s="154"/>
      <x:c r="AW479" s="152"/>
      <x:c r="AX479" s="154"/>
      <x:c r="AY479" s="154"/>
      <x:c r="AZ479" s="151"/>
      <x:c r="BA479" s="151"/>
    </x:row>
    <x:row r="480">
      <x:c r="A480" s="151" t="str">
        <x:f>IF(B480="","",TEXT(B480,"yyyymmdd")&amp;"-"&amp;TEXT(COUNTIF($B$5:B480,B480),"000"))</x:f>
      </x:c>
      <x:c r="B480" s="152"/>
      <x:c r="C480" s="153"/>
      <x:c r="D480" s="151" t="str">
        <x:f>IF(B480="","",'Configuracion'!$B$4)</x:f>
      </x:c>
      <x:c r="E480" s="154"/>
      <x:c r="F480" s="154"/>
      <x:c r="G480" s="151" t="str">
        <x:f>IFERROR(VLOOKUP(F480,'Base Sectores'!$A$5:$J$47,2,FALSE),"")</x:f>
      </x:c>
      <x:c r="H480" s="151" t="str">
        <x:f>IFERROR(VLOOKUP(F480,'Base Sectores'!$A$5:$J$47,3,FALSE),"")</x:f>
      </x:c>
      <x:c r="I480" s="151" t="str">
        <x:f>IFERROR(VLOOKUP(F480,'Base Sectores'!$A$5:$J$47,4,FALSE),"")</x:f>
      </x:c>
      <x:c r="J480" s="151" t="str">
        <x:f>IFERROR(VLOOKUP(F480,'Base Sectores'!$A$5:$J$47,5,FALSE),"")</x:f>
      </x:c>
      <x:c r="K480" s="151" t="str">
        <x:f>IFERROR(VLOOKUP(F480,'Base Sectores'!$A$5:$J$47,6,FALSE),"")</x:f>
      </x:c>
      <x:c r="L480" s="151" t="str">
        <x:f>IFERROR(VLOOKUP(F480,'Base Sectores'!$A$5:$J$47,7,FALSE),"")</x:f>
      </x:c>
      <x:c r="M480" s="151" t="str">
        <x:f>IFERROR(VLOOKUP(F480,'Base Sectores'!$A$5:$J$47,9,FALSE),"")</x:f>
      </x:c>
      <x:c r="N480" s="154"/>
      <x:c r="O480" s="151" t="str">
        <x:f>IFERROR(VLOOKUP(N480,'Configuracion'!$D$4:$H$15,2,FALSE),"")</x:f>
      </x:c>
      <x:c r="P480" s="151" t="str">
        <x:f>IFERROR(VLOOKUP(N480,'Configuracion'!$D$4:$H$15,3,FALSE),"")</x:f>
      </x:c>
      <x:c r="Q480" s="155"/>
      <x:c r="R480" s="156" t="str">
        <x:f>IFERROR(VLOOKUP(N480,'Configuracion'!$D$4:$H$15,4,FALSE),"")</x:f>
      </x:c>
      <x:c r="S480" s="153"/>
      <x:c r="T480" s="153"/>
      <x:c r="U480" s="156" t="str">
        <x:f>IF(OR(S480="",T480=""),"",MOD(T480-S480,1)*24)</x:f>
      </x:c>
      <x:c r="V480" s="154"/>
      <x:c r="W480" s="154"/>
      <x:c r="X480" s="151" t="str">
        <x:f>IFERROR(VLOOKUP(N480,'Configuracion'!$D$4:$H$15,5,FALSE),"")</x:f>
      </x:c>
      <x:c r="Y480" s="151" t="str">
        <x:f>IFERROR(VLOOKUP(V480,'Cuadrillas'!$A$5:$J$14,2,FALSE),"")</x:f>
      </x:c>
      <x:c r="Z480" s="154"/>
      <x:c r="AA480" s="154"/>
      <x:c r="AB480" s="154"/>
      <x:c r="AC480" s="153"/>
      <x:c r="AD480" s="153"/>
      <x:c r="AE480" s="156" t="str">
        <x:f>IF(OR(AC480="",AD480=""),"",MOD(AD480-AC480,1)*24)</x:f>
      </x:c>
      <x:c r="AF480" s="154"/>
      <x:c r="AG480" s="156" t="str">
        <x:f>IF(AE480="","",MAX(0,AE480-IF(AF480="",0,AF480/60)))</x:f>
      </x:c>
      <x:c r="AH480" s="155"/>
      <x:c r="AI480" s="154"/>
      <x:c r="AJ480" s="154"/>
      <x:c r="AK480" s="156" t="n">
        <x:f>IFERROR(U480*W480,"")</x:f>
        <x:v>0</x:v>
      </x:c>
      <x:c r="AL480" s="156" t="n">
        <x:f>IFERROR(AE480*AI480,"")</x:f>
        <x:v>0</x:v>
      </x:c>
      <x:c r="AM480" s="157" t="str">
        <x:f>IFERROR(AH480/Q480,"")</x:f>
      </x:c>
      <x:c r="AN480" s="156" t="str">
        <x:f>IFERROR(AH480/AG480,"")</x:f>
      </x:c>
      <x:c r="AO480" s="156" t="str">
        <x:f>IFERROR(AL480/AH480,"")</x:f>
      </x:c>
      <x:c r="AP480" s="157" t="str">
        <x:f>IFERROR(AG480/AE480,"")</x:f>
      </x:c>
      <x:c r="AQ480" s="157" t="str">
        <x:f>IFERROR(AN480/(R480/'Configuracion'!$B$13),"")</x:f>
      </x:c>
      <x:c r="AR480" s="156" t="n">
        <x:f>IFERROR(AE480-U480,"")</x:f>
        <x:v>0</x:v>
      </x:c>
      <x:c r="AS480" s="154"/>
      <x:c r="AT480" s="154"/>
      <x:c r="AU480" s="154"/>
      <x:c r="AV480" s="154"/>
      <x:c r="AW480" s="152"/>
      <x:c r="AX480" s="154"/>
      <x:c r="AY480" s="154"/>
      <x:c r="AZ480" s="151"/>
      <x:c r="BA480" s="151"/>
    </x:row>
    <x:row r="481">
      <x:c r="A481" s="151" t="str">
        <x:f>IF(B481="","",TEXT(B481,"yyyymmdd")&amp;"-"&amp;TEXT(COUNTIF($B$5:B481,B481),"000"))</x:f>
      </x:c>
      <x:c r="B481" s="152"/>
      <x:c r="C481" s="153"/>
      <x:c r="D481" s="151" t="str">
        <x:f>IF(B481="","",'Configuracion'!$B$4)</x:f>
      </x:c>
      <x:c r="E481" s="154"/>
      <x:c r="F481" s="154"/>
      <x:c r="G481" s="151" t="str">
        <x:f>IFERROR(VLOOKUP(F481,'Base Sectores'!$A$5:$J$47,2,FALSE),"")</x:f>
      </x:c>
      <x:c r="H481" s="151" t="str">
        <x:f>IFERROR(VLOOKUP(F481,'Base Sectores'!$A$5:$J$47,3,FALSE),"")</x:f>
      </x:c>
      <x:c r="I481" s="151" t="str">
        <x:f>IFERROR(VLOOKUP(F481,'Base Sectores'!$A$5:$J$47,4,FALSE),"")</x:f>
      </x:c>
      <x:c r="J481" s="151" t="str">
        <x:f>IFERROR(VLOOKUP(F481,'Base Sectores'!$A$5:$J$47,5,FALSE),"")</x:f>
      </x:c>
      <x:c r="K481" s="151" t="str">
        <x:f>IFERROR(VLOOKUP(F481,'Base Sectores'!$A$5:$J$47,6,FALSE),"")</x:f>
      </x:c>
      <x:c r="L481" s="151" t="str">
        <x:f>IFERROR(VLOOKUP(F481,'Base Sectores'!$A$5:$J$47,7,FALSE),"")</x:f>
      </x:c>
      <x:c r="M481" s="151" t="str">
        <x:f>IFERROR(VLOOKUP(F481,'Base Sectores'!$A$5:$J$47,9,FALSE),"")</x:f>
      </x:c>
      <x:c r="N481" s="154"/>
      <x:c r="O481" s="151" t="str">
        <x:f>IFERROR(VLOOKUP(N481,'Configuracion'!$D$4:$H$15,2,FALSE),"")</x:f>
      </x:c>
      <x:c r="P481" s="151" t="str">
        <x:f>IFERROR(VLOOKUP(N481,'Configuracion'!$D$4:$H$15,3,FALSE),"")</x:f>
      </x:c>
      <x:c r="Q481" s="155"/>
      <x:c r="R481" s="156" t="str">
        <x:f>IFERROR(VLOOKUP(N481,'Configuracion'!$D$4:$H$15,4,FALSE),"")</x:f>
      </x:c>
      <x:c r="S481" s="153"/>
      <x:c r="T481" s="153"/>
      <x:c r="U481" s="156" t="str">
        <x:f>IF(OR(S481="",T481=""),"",MOD(T481-S481,1)*24)</x:f>
      </x:c>
      <x:c r="V481" s="154"/>
      <x:c r="W481" s="154"/>
      <x:c r="X481" s="151" t="str">
        <x:f>IFERROR(VLOOKUP(N481,'Configuracion'!$D$4:$H$15,5,FALSE),"")</x:f>
      </x:c>
      <x:c r="Y481" s="151" t="str">
        <x:f>IFERROR(VLOOKUP(V481,'Cuadrillas'!$A$5:$J$14,2,FALSE),"")</x:f>
      </x:c>
      <x:c r="Z481" s="154"/>
      <x:c r="AA481" s="154"/>
      <x:c r="AB481" s="154"/>
      <x:c r="AC481" s="153"/>
      <x:c r="AD481" s="153"/>
      <x:c r="AE481" s="156" t="str">
        <x:f>IF(OR(AC481="",AD481=""),"",MOD(AD481-AC481,1)*24)</x:f>
      </x:c>
      <x:c r="AF481" s="154"/>
      <x:c r="AG481" s="156" t="str">
        <x:f>IF(AE481="","",MAX(0,AE481-IF(AF481="",0,AF481/60)))</x:f>
      </x:c>
      <x:c r="AH481" s="155"/>
      <x:c r="AI481" s="154"/>
      <x:c r="AJ481" s="154"/>
      <x:c r="AK481" s="156" t="n">
        <x:f>IFERROR(U481*W481,"")</x:f>
        <x:v>0</x:v>
      </x:c>
      <x:c r="AL481" s="156" t="n">
        <x:f>IFERROR(AE481*AI481,"")</x:f>
        <x:v>0</x:v>
      </x:c>
      <x:c r="AM481" s="157" t="str">
        <x:f>IFERROR(AH481/Q481,"")</x:f>
      </x:c>
      <x:c r="AN481" s="156" t="str">
        <x:f>IFERROR(AH481/AG481,"")</x:f>
      </x:c>
      <x:c r="AO481" s="156" t="str">
        <x:f>IFERROR(AL481/AH481,"")</x:f>
      </x:c>
      <x:c r="AP481" s="157" t="str">
        <x:f>IFERROR(AG481/AE481,"")</x:f>
      </x:c>
      <x:c r="AQ481" s="157" t="str">
        <x:f>IFERROR(AN481/(R481/'Configuracion'!$B$13),"")</x:f>
      </x:c>
      <x:c r="AR481" s="156" t="n">
        <x:f>IFERROR(AE481-U481,"")</x:f>
        <x:v>0</x:v>
      </x:c>
      <x:c r="AS481" s="154"/>
      <x:c r="AT481" s="154"/>
      <x:c r="AU481" s="154"/>
      <x:c r="AV481" s="154"/>
      <x:c r="AW481" s="152"/>
      <x:c r="AX481" s="154"/>
      <x:c r="AY481" s="154"/>
      <x:c r="AZ481" s="151"/>
      <x:c r="BA481" s="151"/>
    </x:row>
    <x:row r="482">
      <x:c r="A482" s="151" t="str">
        <x:f>IF(B482="","",TEXT(B482,"yyyymmdd")&amp;"-"&amp;TEXT(COUNTIF($B$5:B482,B482),"000"))</x:f>
      </x:c>
      <x:c r="B482" s="152"/>
      <x:c r="C482" s="153"/>
      <x:c r="D482" s="151" t="str">
        <x:f>IF(B482="","",'Configuracion'!$B$4)</x:f>
      </x:c>
      <x:c r="E482" s="154"/>
      <x:c r="F482" s="154"/>
      <x:c r="G482" s="151" t="str">
        <x:f>IFERROR(VLOOKUP(F482,'Base Sectores'!$A$5:$J$47,2,FALSE),"")</x:f>
      </x:c>
      <x:c r="H482" s="151" t="str">
        <x:f>IFERROR(VLOOKUP(F482,'Base Sectores'!$A$5:$J$47,3,FALSE),"")</x:f>
      </x:c>
      <x:c r="I482" s="151" t="str">
        <x:f>IFERROR(VLOOKUP(F482,'Base Sectores'!$A$5:$J$47,4,FALSE),"")</x:f>
      </x:c>
      <x:c r="J482" s="151" t="str">
        <x:f>IFERROR(VLOOKUP(F482,'Base Sectores'!$A$5:$J$47,5,FALSE),"")</x:f>
      </x:c>
      <x:c r="K482" s="151" t="str">
        <x:f>IFERROR(VLOOKUP(F482,'Base Sectores'!$A$5:$J$47,6,FALSE),"")</x:f>
      </x:c>
      <x:c r="L482" s="151" t="str">
        <x:f>IFERROR(VLOOKUP(F482,'Base Sectores'!$A$5:$J$47,7,FALSE),"")</x:f>
      </x:c>
      <x:c r="M482" s="151" t="str">
        <x:f>IFERROR(VLOOKUP(F482,'Base Sectores'!$A$5:$J$47,9,FALSE),"")</x:f>
      </x:c>
      <x:c r="N482" s="154"/>
      <x:c r="O482" s="151" t="str">
        <x:f>IFERROR(VLOOKUP(N482,'Configuracion'!$D$4:$H$15,2,FALSE),"")</x:f>
      </x:c>
      <x:c r="P482" s="151" t="str">
        <x:f>IFERROR(VLOOKUP(N482,'Configuracion'!$D$4:$H$15,3,FALSE),"")</x:f>
      </x:c>
      <x:c r="Q482" s="155"/>
      <x:c r="R482" s="156" t="str">
        <x:f>IFERROR(VLOOKUP(N482,'Configuracion'!$D$4:$H$15,4,FALSE),"")</x:f>
      </x:c>
      <x:c r="S482" s="153"/>
      <x:c r="T482" s="153"/>
      <x:c r="U482" s="156" t="str">
        <x:f>IF(OR(S482="",T482=""),"",MOD(T482-S482,1)*24)</x:f>
      </x:c>
      <x:c r="V482" s="154"/>
      <x:c r="W482" s="154"/>
      <x:c r="X482" s="151" t="str">
        <x:f>IFERROR(VLOOKUP(N482,'Configuracion'!$D$4:$H$15,5,FALSE),"")</x:f>
      </x:c>
      <x:c r="Y482" s="151" t="str">
        <x:f>IFERROR(VLOOKUP(V482,'Cuadrillas'!$A$5:$J$14,2,FALSE),"")</x:f>
      </x:c>
      <x:c r="Z482" s="154"/>
      <x:c r="AA482" s="154"/>
      <x:c r="AB482" s="154"/>
      <x:c r="AC482" s="153"/>
      <x:c r="AD482" s="153"/>
      <x:c r="AE482" s="156" t="str">
        <x:f>IF(OR(AC482="",AD482=""),"",MOD(AD482-AC482,1)*24)</x:f>
      </x:c>
      <x:c r="AF482" s="154"/>
      <x:c r="AG482" s="156" t="str">
        <x:f>IF(AE482="","",MAX(0,AE482-IF(AF482="",0,AF482/60)))</x:f>
      </x:c>
      <x:c r="AH482" s="155"/>
      <x:c r="AI482" s="154"/>
      <x:c r="AJ482" s="154"/>
      <x:c r="AK482" s="156" t="n">
        <x:f>IFERROR(U482*W482,"")</x:f>
        <x:v>0</x:v>
      </x:c>
      <x:c r="AL482" s="156" t="n">
        <x:f>IFERROR(AE482*AI482,"")</x:f>
        <x:v>0</x:v>
      </x:c>
      <x:c r="AM482" s="157" t="str">
        <x:f>IFERROR(AH482/Q482,"")</x:f>
      </x:c>
      <x:c r="AN482" s="156" t="str">
        <x:f>IFERROR(AH482/AG482,"")</x:f>
      </x:c>
      <x:c r="AO482" s="156" t="str">
        <x:f>IFERROR(AL482/AH482,"")</x:f>
      </x:c>
      <x:c r="AP482" s="157" t="str">
        <x:f>IFERROR(AG482/AE482,"")</x:f>
      </x:c>
      <x:c r="AQ482" s="157" t="str">
        <x:f>IFERROR(AN482/(R482/'Configuracion'!$B$13),"")</x:f>
      </x:c>
      <x:c r="AR482" s="156" t="n">
        <x:f>IFERROR(AE482-U482,"")</x:f>
        <x:v>0</x:v>
      </x:c>
      <x:c r="AS482" s="154"/>
      <x:c r="AT482" s="154"/>
      <x:c r="AU482" s="154"/>
      <x:c r="AV482" s="154"/>
      <x:c r="AW482" s="152"/>
      <x:c r="AX482" s="154"/>
      <x:c r="AY482" s="154"/>
      <x:c r="AZ482" s="151"/>
      <x:c r="BA482" s="151"/>
    </x:row>
    <x:row r="483">
      <x:c r="A483" s="151" t="str">
        <x:f>IF(B483="","",TEXT(B483,"yyyymmdd")&amp;"-"&amp;TEXT(COUNTIF($B$5:B483,B483),"000"))</x:f>
      </x:c>
      <x:c r="B483" s="152"/>
      <x:c r="C483" s="153"/>
      <x:c r="D483" s="151" t="str">
        <x:f>IF(B483="","",'Configuracion'!$B$4)</x:f>
      </x:c>
      <x:c r="E483" s="154"/>
      <x:c r="F483" s="154"/>
      <x:c r="G483" s="151" t="str">
        <x:f>IFERROR(VLOOKUP(F483,'Base Sectores'!$A$5:$J$47,2,FALSE),"")</x:f>
      </x:c>
      <x:c r="H483" s="151" t="str">
        <x:f>IFERROR(VLOOKUP(F483,'Base Sectores'!$A$5:$J$47,3,FALSE),"")</x:f>
      </x:c>
      <x:c r="I483" s="151" t="str">
        <x:f>IFERROR(VLOOKUP(F483,'Base Sectores'!$A$5:$J$47,4,FALSE),"")</x:f>
      </x:c>
      <x:c r="J483" s="151" t="str">
        <x:f>IFERROR(VLOOKUP(F483,'Base Sectores'!$A$5:$J$47,5,FALSE),"")</x:f>
      </x:c>
      <x:c r="K483" s="151" t="str">
        <x:f>IFERROR(VLOOKUP(F483,'Base Sectores'!$A$5:$J$47,6,FALSE),"")</x:f>
      </x:c>
      <x:c r="L483" s="151" t="str">
        <x:f>IFERROR(VLOOKUP(F483,'Base Sectores'!$A$5:$J$47,7,FALSE),"")</x:f>
      </x:c>
      <x:c r="M483" s="151" t="str">
        <x:f>IFERROR(VLOOKUP(F483,'Base Sectores'!$A$5:$J$47,9,FALSE),"")</x:f>
      </x:c>
      <x:c r="N483" s="154"/>
      <x:c r="O483" s="151" t="str">
        <x:f>IFERROR(VLOOKUP(N483,'Configuracion'!$D$4:$H$15,2,FALSE),"")</x:f>
      </x:c>
      <x:c r="P483" s="151" t="str">
        <x:f>IFERROR(VLOOKUP(N483,'Configuracion'!$D$4:$H$15,3,FALSE),"")</x:f>
      </x:c>
      <x:c r="Q483" s="155"/>
      <x:c r="R483" s="156" t="str">
        <x:f>IFERROR(VLOOKUP(N483,'Configuracion'!$D$4:$H$15,4,FALSE),"")</x:f>
      </x:c>
      <x:c r="S483" s="153"/>
      <x:c r="T483" s="153"/>
      <x:c r="U483" s="156" t="str">
        <x:f>IF(OR(S483="",T483=""),"",MOD(T483-S483,1)*24)</x:f>
      </x:c>
      <x:c r="V483" s="154"/>
      <x:c r="W483" s="154"/>
      <x:c r="X483" s="151" t="str">
        <x:f>IFERROR(VLOOKUP(N483,'Configuracion'!$D$4:$H$15,5,FALSE),"")</x:f>
      </x:c>
      <x:c r="Y483" s="151" t="str">
        <x:f>IFERROR(VLOOKUP(V483,'Cuadrillas'!$A$5:$J$14,2,FALSE),"")</x:f>
      </x:c>
      <x:c r="Z483" s="154"/>
      <x:c r="AA483" s="154"/>
      <x:c r="AB483" s="154"/>
      <x:c r="AC483" s="153"/>
      <x:c r="AD483" s="153"/>
      <x:c r="AE483" s="156" t="str">
        <x:f>IF(OR(AC483="",AD483=""),"",MOD(AD483-AC483,1)*24)</x:f>
      </x:c>
      <x:c r="AF483" s="154"/>
      <x:c r="AG483" s="156" t="str">
        <x:f>IF(AE483="","",MAX(0,AE483-IF(AF483="",0,AF483/60)))</x:f>
      </x:c>
      <x:c r="AH483" s="155"/>
      <x:c r="AI483" s="154"/>
      <x:c r="AJ483" s="154"/>
      <x:c r="AK483" s="156" t="n">
        <x:f>IFERROR(U483*W483,"")</x:f>
        <x:v>0</x:v>
      </x:c>
      <x:c r="AL483" s="156" t="n">
        <x:f>IFERROR(AE483*AI483,"")</x:f>
        <x:v>0</x:v>
      </x:c>
      <x:c r="AM483" s="157" t="str">
        <x:f>IFERROR(AH483/Q483,"")</x:f>
      </x:c>
      <x:c r="AN483" s="156" t="str">
        <x:f>IFERROR(AH483/AG483,"")</x:f>
      </x:c>
      <x:c r="AO483" s="156" t="str">
        <x:f>IFERROR(AL483/AH483,"")</x:f>
      </x:c>
      <x:c r="AP483" s="157" t="str">
        <x:f>IFERROR(AG483/AE483,"")</x:f>
      </x:c>
      <x:c r="AQ483" s="157" t="str">
        <x:f>IFERROR(AN483/(R483/'Configuracion'!$B$13),"")</x:f>
      </x:c>
      <x:c r="AR483" s="156" t="n">
        <x:f>IFERROR(AE483-U483,"")</x:f>
        <x:v>0</x:v>
      </x:c>
      <x:c r="AS483" s="154"/>
      <x:c r="AT483" s="154"/>
      <x:c r="AU483" s="154"/>
      <x:c r="AV483" s="154"/>
      <x:c r="AW483" s="152"/>
      <x:c r="AX483" s="154"/>
      <x:c r="AY483" s="154"/>
      <x:c r="AZ483" s="151"/>
      <x:c r="BA483" s="151"/>
    </x:row>
    <x:row r="484">
      <x:c r="A484" s="151" t="str">
        <x:f>IF(B484="","",TEXT(B484,"yyyymmdd")&amp;"-"&amp;TEXT(COUNTIF($B$5:B484,B484),"000"))</x:f>
      </x:c>
      <x:c r="B484" s="152"/>
      <x:c r="C484" s="153"/>
      <x:c r="D484" s="151" t="str">
        <x:f>IF(B484="","",'Configuracion'!$B$4)</x:f>
      </x:c>
      <x:c r="E484" s="154"/>
      <x:c r="F484" s="154"/>
      <x:c r="G484" s="151" t="str">
        <x:f>IFERROR(VLOOKUP(F484,'Base Sectores'!$A$5:$J$47,2,FALSE),"")</x:f>
      </x:c>
      <x:c r="H484" s="151" t="str">
        <x:f>IFERROR(VLOOKUP(F484,'Base Sectores'!$A$5:$J$47,3,FALSE),"")</x:f>
      </x:c>
      <x:c r="I484" s="151" t="str">
        <x:f>IFERROR(VLOOKUP(F484,'Base Sectores'!$A$5:$J$47,4,FALSE),"")</x:f>
      </x:c>
      <x:c r="J484" s="151" t="str">
        <x:f>IFERROR(VLOOKUP(F484,'Base Sectores'!$A$5:$J$47,5,FALSE),"")</x:f>
      </x:c>
      <x:c r="K484" s="151" t="str">
        <x:f>IFERROR(VLOOKUP(F484,'Base Sectores'!$A$5:$J$47,6,FALSE),"")</x:f>
      </x:c>
      <x:c r="L484" s="151" t="str">
        <x:f>IFERROR(VLOOKUP(F484,'Base Sectores'!$A$5:$J$47,7,FALSE),"")</x:f>
      </x:c>
      <x:c r="M484" s="151" t="str">
        <x:f>IFERROR(VLOOKUP(F484,'Base Sectores'!$A$5:$J$47,9,FALSE),"")</x:f>
      </x:c>
      <x:c r="N484" s="154"/>
      <x:c r="O484" s="151" t="str">
        <x:f>IFERROR(VLOOKUP(N484,'Configuracion'!$D$4:$H$15,2,FALSE),"")</x:f>
      </x:c>
      <x:c r="P484" s="151" t="str">
        <x:f>IFERROR(VLOOKUP(N484,'Configuracion'!$D$4:$H$15,3,FALSE),"")</x:f>
      </x:c>
      <x:c r="Q484" s="155"/>
      <x:c r="R484" s="156" t="str">
        <x:f>IFERROR(VLOOKUP(N484,'Configuracion'!$D$4:$H$15,4,FALSE),"")</x:f>
      </x:c>
      <x:c r="S484" s="153"/>
      <x:c r="T484" s="153"/>
      <x:c r="U484" s="156" t="str">
        <x:f>IF(OR(S484="",T484=""),"",MOD(T484-S484,1)*24)</x:f>
      </x:c>
      <x:c r="V484" s="154"/>
      <x:c r="W484" s="154"/>
      <x:c r="X484" s="151" t="str">
        <x:f>IFERROR(VLOOKUP(N484,'Configuracion'!$D$4:$H$15,5,FALSE),"")</x:f>
      </x:c>
      <x:c r="Y484" s="151" t="str">
        <x:f>IFERROR(VLOOKUP(V484,'Cuadrillas'!$A$5:$J$14,2,FALSE),"")</x:f>
      </x:c>
      <x:c r="Z484" s="154"/>
      <x:c r="AA484" s="154"/>
      <x:c r="AB484" s="154"/>
      <x:c r="AC484" s="153"/>
      <x:c r="AD484" s="153"/>
      <x:c r="AE484" s="156" t="str">
        <x:f>IF(OR(AC484="",AD484=""),"",MOD(AD484-AC484,1)*24)</x:f>
      </x:c>
      <x:c r="AF484" s="154"/>
      <x:c r="AG484" s="156" t="str">
        <x:f>IF(AE484="","",MAX(0,AE484-IF(AF484="",0,AF484/60)))</x:f>
      </x:c>
      <x:c r="AH484" s="155"/>
      <x:c r="AI484" s="154"/>
      <x:c r="AJ484" s="154"/>
      <x:c r="AK484" s="156" t="n">
        <x:f>IFERROR(U484*W484,"")</x:f>
        <x:v>0</x:v>
      </x:c>
      <x:c r="AL484" s="156" t="n">
        <x:f>IFERROR(AE484*AI484,"")</x:f>
        <x:v>0</x:v>
      </x:c>
      <x:c r="AM484" s="157" t="str">
        <x:f>IFERROR(AH484/Q484,"")</x:f>
      </x:c>
      <x:c r="AN484" s="156" t="str">
        <x:f>IFERROR(AH484/AG484,"")</x:f>
      </x:c>
      <x:c r="AO484" s="156" t="str">
        <x:f>IFERROR(AL484/AH484,"")</x:f>
      </x:c>
      <x:c r="AP484" s="157" t="str">
        <x:f>IFERROR(AG484/AE484,"")</x:f>
      </x:c>
      <x:c r="AQ484" s="157" t="str">
        <x:f>IFERROR(AN484/(R484/'Configuracion'!$B$13),"")</x:f>
      </x:c>
      <x:c r="AR484" s="156" t="n">
        <x:f>IFERROR(AE484-U484,"")</x:f>
        <x:v>0</x:v>
      </x:c>
      <x:c r="AS484" s="154"/>
      <x:c r="AT484" s="154"/>
      <x:c r="AU484" s="154"/>
      <x:c r="AV484" s="154"/>
      <x:c r="AW484" s="152"/>
      <x:c r="AX484" s="154"/>
      <x:c r="AY484" s="154"/>
      <x:c r="AZ484" s="151"/>
      <x:c r="BA484" s="151"/>
    </x:row>
    <x:row r="485">
      <x:c r="A485" s="151" t="str">
        <x:f>IF(B485="","",TEXT(B485,"yyyymmdd")&amp;"-"&amp;TEXT(COUNTIF($B$5:B485,B485),"000"))</x:f>
      </x:c>
      <x:c r="B485" s="152"/>
      <x:c r="C485" s="153"/>
      <x:c r="D485" s="151" t="str">
        <x:f>IF(B485="","",'Configuracion'!$B$4)</x:f>
      </x:c>
      <x:c r="E485" s="154"/>
      <x:c r="F485" s="154"/>
      <x:c r="G485" s="151" t="str">
        <x:f>IFERROR(VLOOKUP(F485,'Base Sectores'!$A$5:$J$47,2,FALSE),"")</x:f>
      </x:c>
      <x:c r="H485" s="151" t="str">
        <x:f>IFERROR(VLOOKUP(F485,'Base Sectores'!$A$5:$J$47,3,FALSE),"")</x:f>
      </x:c>
      <x:c r="I485" s="151" t="str">
        <x:f>IFERROR(VLOOKUP(F485,'Base Sectores'!$A$5:$J$47,4,FALSE),"")</x:f>
      </x:c>
      <x:c r="J485" s="151" t="str">
        <x:f>IFERROR(VLOOKUP(F485,'Base Sectores'!$A$5:$J$47,5,FALSE),"")</x:f>
      </x:c>
      <x:c r="K485" s="151" t="str">
        <x:f>IFERROR(VLOOKUP(F485,'Base Sectores'!$A$5:$J$47,6,FALSE),"")</x:f>
      </x:c>
      <x:c r="L485" s="151" t="str">
        <x:f>IFERROR(VLOOKUP(F485,'Base Sectores'!$A$5:$J$47,7,FALSE),"")</x:f>
      </x:c>
      <x:c r="M485" s="151" t="str">
        <x:f>IFERROR(VLOOKUP(F485,'Base Sectores'!$A$5:$J$47,9,FALSE),"")</x:f>
      </x:c>
      <x:c r="N485" s="154"/>
      <x:c r="O485" s="151" t="str">
        <x:f>IFERROR(VLOOKUP(N485,'Configuracion'!$D$4:$H$15,2,FALSE),"")</x:f>
      </x:c>
      <x:c r="P485" s="151" t="str">
        <x:f>IFERROR(VLOOKUP(N485,'Configuracion'!$D$4:$H$15,3,FALSE),"")</x:f>
      </x:c>
      <x:c r="Q485" s="155"/>
      <x:c r="R485" s="156" t="str">
        <x:f>IFERROR(VLOOKUP(N485,'Configuracion'!$D$4:$H$15,4,FALSE),"")</x:f>
      </x:c>
      <x:c r="S485" s="153"/>
      <x:c r="T485" s="153"/>
      <x:c r="U485" s="156" t="str">
        <x:f>IF(OR(S485="",T485=""),"",MOD(T485-S485,1)*24)</x:f>
      </x:c>
      <x:c r="V485" s="154"/>
      <x:c r="W485" s="154"/>
      <x:c r="X485" s="151" t="str">
        <x:f>IFERROR(VLOOKUP(N485,'Configuracion'!$D$4:$H$15,5,FALSE),"")</x:f>
      </x:c>
      <x:c r="Y485" s="151" t="str">
        <x:f>IFERROR(VLOOKUP(V485,'Cuadrillas'!$A$5:$J$14,2,FALSE),"")</x:f>
      </x:c>
      <x:c r="Z485" s="154"/>
      <x:c r="AA485" s="154"/>
      <x:c r="AB485" s="154"/>
      <x:c r="AC485" s="153"/>
      <x:c r="AD485" s="153"/>
      <x:c r="AE485" s="156" t="str">
        <x:f>IF(OR(AC485="",AD485=""),"",MOD(AD485-AC485,1)*24)</x:f>
      </x:c>
      <x:c r="AF485" s="154"/>
      <x:c r="AG485" s="156" t="str">
        <x:f>IF(AE485="","",MAX(0,AE485-IF(AF485="",0,AF485/60)))</x:f>
      </x:c>
      <x:c r="AH485" s="155"/>
      <x:c r="AI485" s="154"/>
      <x:c r="AJ485" s="154"/>
      <x:c r="AK485" s="156" t="n">
        <x:f>IFERROR(U485*W485,"")</x:f>
        <x:v>0</x:v>
      </x:c>
      <x:c r="AL485" s="156" t="n">
        <x:f>IFERROR(AE485*AI485,"")</x:f>
        <x:v>0</x:v>
      </x:c>
      <x:c r="AM485" s="157" t="str">
        <x:f>IFERROR(AH485/Q485,"")</x:f>
      </x:c>
      <x:c r="AN485" s="156" t="str">
        <x:f>IFERROR(AH485/AG485,"")</x:f>
      </x:c>
      <x:c r="AO485" s="156" t="str">
        <x:f>IFERROR(AL485/AH485,"")</x:f>
      </x:c>
      <x:c r="AP485" s="157" t="str">
        <x:f>IFERROR(AG485/AE485,"")</x:f>
      </x:c>
      <x:c r="AQ485" s="157" t="str">
        <x:f>IFERROR(AN485/(R485/'Configuracion'!$B$13),"")</x:f>
      </x:c>
      <x:c r="AR485" s="156" t="n">
        <x:f>IFERROR(AE485-U485,"")</x:f>
        <x:v>0</x:v>
      </x:c>
      <x:c r="AS485" s="154"/>
      <x:c r="AT485" s="154"/>
      <x:c r="AU485" s="154"/>
      <x:c r="AV485" s="154"/>
      <x:c r="AW485" s="152"/>
      <x:c r="AX485" s="154"/>
      <x:c r="AY485" s="154"/>
      <x:c r="AZ485" s="151"/>
      <x:c r="BA485" s="151"/>
    </x:row>
    <x:row r="486">
      <x:c r="A486" s="151" t="str">
        <x:f>IF(B486="","",TEXT(B486,"yyyymmdd")&amp;"-"&amp;TEXT(COUNTIF($B$5:B486,B486),"000"))</x:f>
      </x:c>
      <x:c r="B486" s="152"/>
      <x:c r="C486" s="153"/>
      <x:c r="D486" s="151" t="str">
        <x:f>IF(B486="","",'Configuracion'!$B$4)</x:f>
      </x:c>
      <x:c r="E486" s="154"/>
      <x:c r="F486" s="154"/>
      <x:c r="G486" s="151" t="str">
        <x:f>IFERROR(VLOOKUP(F486,'Base Sectores'!$A$5:$J$47,2,FALSE),"")</x:f>
      </x:c>
      <x:c r="H486" s="151" t="str">
        <x:f>IFERROR(VLOOKUP(F486,'Base Sectores'!$A$5:$J$47,3,FALSE),"")</x:f>
      </x:c>
      <x:c r="I486" s="151" t="str">
        <x:f>IFERROR(VLOOKUP(F486,'Base Sectores'!$A$5:$J$47,4,FALSE),"")</x:f>
      </x:c>
      <x:c r="J486" s="151" t="str">
        <x:f>IFERROR(VLOOKUP(F486,'Base Sectores'!$A$5:$J$47,5,FALSE),"")</x:f>
      </x:c>
      <x:c r="K486" s="151" t="str">
        <x:f>IFERROR(VLOOKUP(F486,'Base Sectores'!$A$5:$J$47,6,FALSE),"")</x:f>
      </x:c>
      <x:c r="L486" s="151" t="str">
        <x:f>IFERROR(VLOOKUP(F486,'Base Sectores'!$A$5:$J$47,7,FALSE),"")</x:f>
      </x:c>
      <x:c r="M486" s="151" t="str">
        <x:f>IFERROR(VLOOKUP(F486,'Base Sectores'!$A$5:$J$47,9,FALSE),"")</x:f>
      </x:c>
      <x:c r="N486" s="154"/>
      <x:c r="O486" s="151" t="str">
        <x:f>IFERROR(VLOOKUP(N486,'Configuracion'!$D$4:$H$15,2,FALSE),"")</x:f>
      </x:c>
      <x:c r="P486" s="151" t="str">
        <x:f>IFERROR(VLOOKUP(N486,'Configuracion'!$D$4:$H$15,3,FALSE),"")</x:f>
      </x:c>
      <x:c r="Q486" s="155"/>
      <x:c r="R486" s="156" t="str">
        <x:f>IFERROR(VLOOKUP(N486,'Configuracion'!$D$4:$H$15,4,FALSE),"")</x:f>
      </x:c>
      <x:c r="S486" s="153"/>
      <x:c r="T486" s="153"/>
      <x:c r="U486" s="156" t="str">
        <x:f>IF(OR(S486="",T486=""),"",MOD(T486-S486,1)*24)</x:f>
      </x:c>
      <x:c r="V486" s="154"/>
      <x:c r="W486" s="154"/>
      <x:c r="X486" s="151" t="str">
        <x:f>IFERROR(VLOOKUP(N486,'Configuracion'!$D$4:$H$15,5,FALSE),"")</x:f>
      </x:c>
      <x:c r="Y486" s="151" t="str">
        <x:f>IFERROR(VLOOKUP(V486,'Cuadrillas'!$A$5:$J$14,2,FALSE),"")</x:f>
      </x:c>
      <x:c r="Z486" s="154"/>
      <x:c r="AA486" s="154"/>
      <x:c r="AB486" s="154"/>
      <x:c r="AC486" s="153"/>
      <x:c r="AD486" s="153"/>
      <x:c r="AE486" s="156" t="str">
        <x:f>IF(OR(AC486="",AD486=""),"",MOD(AD486-AC486,1)*24)</x:f>
      </x:c>
      <x:c r="AF486" s="154"/>
      <x:c r="AG486" s="156" t="str">
        <x:f>IF(AE486="","",MAX(0,AE486-IF(AF486="",0,AF486/60)))</x:f>
      </x:c>
      <x:c r="AH486" s="155"/>
      <x:c r="AI486" s="154"/>
      <x:c r="AJ486" s="154"/>
      <x:c r="AK486" s="156" t="n">
        <x:f>IFERROR(U486*W486,"")</x:f>
        <x:v>0</x:v>
      </x:c>
      <x:c r="AL486" s="156" t="n">
        <x:f>IFERROR(AE486*AI486,"")</x:f>
        <x:v>0</x:v>
      </x:c>
      <x:c r="AM486" s="157" t="str">
        <x:f>IFERROR(AH486/Q486,"")</x:f>
      </x:c>
      <x:c r="AN486" s="156" t="str">
        <x:f>IFERROR(AH486/AG486,"")</x:f>
      </x:c>
      <x:c r="AO486" s="156" t="str">
        <x:f>IFERROR(AL486/AH486,"")</x:f>
      </x:c>
      <x:c r="AP486" s="157" t="str">
        <x:f>IFERROR(AG486/AE486,"")</x:f>
      </x:c>
      <x:c r="AQ486" s="157" t="str">
        <x:f>IFERROR(AN486/(R486/'Configuracion'!$B$13),"")</x:f>
      </x:c>
      <x:c r="AR486" s="156" t="n">
        <x:f>IFERROR(AE486-U486,"")</x:f>
        <x:v>0</x:v>
      </x:c>
      <x:c r="AS486" s="154"/>
      <x:c r="AT486" s="154"/>
      <x:c r="AU486" s="154"/>
      <x:c r="AV486" s="154"/>
      <x:c r="AW486" s="152"/>
      <x:c r="AX486" s="154"/>
      <x:c r="AY486" s="154"/>
      <x:c r="AZ486" s="151"/>
      <x:c r="BA486" s="151"/>
    </x:row>
    <x:row r="487">
      <x:c r="A487" s="151" t="str">
        <x:f>IF(B487="","",TEXT(B487,"yyyymmdd")&amp;"-"&amp;TEXT(COUNTIF($B$5:B487,B487),"000"))</x:f>
      </x:c>
      <x:c r="B487" s="152"/>
      <x:c r="C487" s="153"/>
      <x:c r="D487" s="151" t="str">
        <x:f>IF(B487="","",'Configuracion'!$B$4)</x:f>
      </x:c>
      <x:c r="E487" s="154"/>
      <x:c r="F487" s="154"/>
      <x:c r="G487" s="151" t="str">
        <x:f>IFERROR(VLOOKUP(F487,'Base Sectores'!$A$5:$J$47,2,FALSE),"")</x:f>
      </x:c>
      <x:c r="H487" s="151" t="str">
        <x:f>IFERROR(VLOOKUP(F487,'Base Sectores'!$A$5:$J$47,3,FALSE),"")</x:f>
      </x:c>
      <x:c r="I487" s="151" t="str">
        <x:f>IFERROR(VLOOKUP(F487,'Base Sectores'!$A$5:$J$47,4,FALSE),"")</x:f>
      </x:c>
      <x:c r="J487" s="151" t="str">
        <x:f>IFERROR(VLOOKUP(F487,'Base Sectores'!$A$5:$J$47,5,FALSE),"")</x:f>
      </x:c>
      <x:c r="K487" s="151" t="str">
        <x:f>IFERROR(VLOOKUP(F487,'Base Sectores'!$A$5:$J$47,6,FALSE),"")</x:f>
      </x:c>
      <x:c r="L487" s="151" t="str">
        <x:f>IFERROR(VLOOKUP(F487,'Base Sectores'!$A$5:$J$47,7,FALSE),"")</x:f>
      </x:c>
      <x:c r="M487" s="151" t="str">
        <x:f>IFERROR(VLOOKUP(F487,'Base Sectores'!$A$5:$J$47,9,FALSE),"")</x:f>
      </x:c>
      <x:c r="N487" s="154"/>
      <x:c r="O487" s="151" t="str">
        <x:f>IFERROR(VLOOKUP(N487,'Configuracion'!$D$4:$H$15,2,FALSE),"")</x:f>
      </x:c>
      <x:c r="P487" s="151" t="str">
        <x:f>IFERROR(VLOOKUP(N487,'Configuracion'!$D$4:$H$15,3,FALSE),"")</x:f>
      </x:c>
      <x:c r="Q487" s="155"/>
      <x:c r="R487" s="156" t="str">
        <x:f>IFERROR(VLOOKUP(N487,'Configuracion'!$D$4:$H$15,4,FALSE),"")</x:f>
      </x:c>
      <x:c r="S487" s="153"/>
      <x:c r="T487" s="153"/>
      <x:c r="U487" s="156" t="str">
        <x:f>IF(OR(S487="",T487=""),"",MOD(T487-S487,1)*24)</x:f>
      </x:c>
      <x:c r="V487" s="154"/>
      <x:c r="W487" s="154"/>
      <x:c r="X487" s="151" t="str">
        <x:f>IFERROR(VLOOKUP(N487,'Configuracion'!$D$4:$H$15,5,FALSE),"")</x:f>
      </x:c>
      <x:c r="Y487" s="151" t="str">
        <x:f>IFERROR(VLOOKUP(V487,'Cuadrillas'!$A$5:$J$14,2,FALSE),"")</x:f>
      </x:c>
      <x:c r="Z487" s="154"/>
      <x:c r="AA487" s="154"/>
      <x:c r="AB487" s="154"/>
      <x:c r="AC487" s="153"/>
      <x:c r="AD487" s="153"/>
      <x:c r="AE487" s="156" t="str">
        <x:f>IF(OR(AC487="",AD487=""),"",MOD(AD487-AC487,1)*24)</x:f>
      </x:c>
      <x:c r="AF487" s="154"/>
      <x:c r="AG487" s="156" t="str">
        <x:f>IF(AE487="","",MAX(0,AE487-IF(AF487="",0,AF487/60)))</x:f>
      </x:c>
      <x:c r="AH487" s="155"/>
      <x:c r="AI487" s="154"/>
      <x:c r="AJ487" s="154"/>
      <x:c r="AK487" s="156" t="n">
        <x:f>IFERROR(U487*W487,"")</x:f>
        <x:v>0</x:v>
      </x:c>
      <x:c r="AL487" s="156" t="n">
        <x:f>IFERROR(AE487*AI487,"")</x:f>
        <x:v>0</x:v>
      </x:c>
      <x:c r="AM487" s="157" t="str">
        <x:f>IFERROR(AH487/Q487,"")</x:f>
      </x:c>
      <x:c r="AN487" s="156" t="str">
        <x:f>IFERROR(AH487/AG487,"")</x:f>
      </x:c>
      <x:c r="AO487" s="156" t="str">
        <x:f>IFERROR(AL487/AH487,"")</x:f>
      </x:c>
      <x:c r="AP487" s="157" t="str">
        <x:f>IFERROR(AG487/AE487,"")</x:f>
      </x:c>
      <x:c r="AQ487" s="157" t="str">
        <x:f>IFERROR(AN487/(R487/'Configuracion'!$B$13),"")</x:f>
      </x:c>
      <x:c r="AR487" s="156" t="n">
        <x:f>IFERROR(AE487-U487,"")</x:f>
        <x:v>0</x:v>
      </x:c>
      <x:c r="AS487" s="154"/>
      <x:c r="AT487" s="154"/>
      <x:c r="AU487" s="154"/>
      <x:c r="AV487" s="154"/>
      <x:c r="AW487" s="152"/>
      <x:c r="AX487" s="154"/>
      <x:c r="AY487" s="154"/>
      <x:c r="AZ487" s="151"/>
      <x:c r="BA487" s="151"/>
    </x:row>
    <x:row r="488">
      <x:c r="A488" s="151" t="str">
        <x:f>IF(B488="","",TEXT(B488,"yyyymmdd")&amp;"-"&amp;TEXT(COUNTIF($B$5:B488,B488),"000"))</x:f>
      </x:c>
      <x:c r="B488" s="152"/>
      <x:c r="C488" s="153"/>
      <x:c r="D488" s="151" t="str">
        <x:f>IF(B488="","",'Configuracion'!$B$4)</x:f>
      </x:c>
      <x:c r="E488" s="154"/>
      <x:c r="F488" s="154"/>
      <x:c r="G488" s="151" t="str">
        <x:f>IFERROR(VLOOKUP(F488,'Base Sectores'!$A$5:$J$47,2,FALSE),"")</x:f>
      </x:c>
      <x:c r="H488" s="151" t="str">
        <x:f>IFERROR(VLOOKUP(F488,'Base Sectores'!$A$5:$J$47,3,FALSE),"")</x:f>
      </x:c>
      <x:c r="I488" s="151" t="str">
        <x:f>IFERROR(VLOOKUP(F488,'Base Sectores'!$A$5:$J$47,4,FALSE),"")</x:f>
      </x:c>
      <x:c r="J488" s="151" t="str">
        <x:f>IFERROR(VLOOKUP(F488,'Base Sectores'!$A$5:$J$47,5,FALSE),"")</x:f>
      </x:c>
      <x:c r="K488" s="151" t="str">
        <x:f>IFERROR(VLOOKUP(F488,'Base Sectores'!$A$5:$J$47,6,FALSE),"")</x:f>
      </x:c>
      <x:c r="L488" s="151" t="str">
        <x:f>IFERROR(VLOOKUP(F488,'Base Sectores'!$A$5:$J$47,7,FALSE),"")</x:f>
      </x:c>
      <x:c r="M488" s="151" t="str">
        <x:f>IFERROR(VLOOKUP(F488,'Base Sectores'!$A$5:$J$47,9,FALSE),"")</x:f>
      </x:c>
      <x:c r="N488" s="154"/>
      <x:c r="O488" s="151" t="str">
        <x:f>IFERROR(VLOOKUP(N488,'Configuracion'!$D$4:$H$15,2,FALSE),"")</x:f>
      </x:c>
      <x:c r="P488" s="151" t="str">
        <x:f>IFERROR(VLOOKUP(N488,'Configuracion'!$D$4:$H$15,3,FALSE),"")</x:f>
      </x:c>
      <x:c r="Q488" s="155"/>
      <x:c r="R488" s="156" t="str">
        <x:f>IFERROR(VLOOKUP(N488,'Configuracion'!$D$4:$H$15,4,FALSE),"")</x:f>
      </x:c>
      <x:c r="S488" s="153"/>
      <x:c r="T488" s="153"/>
      <x:c r="U488" s="156" t="str">
        <x:f>IF(OR(S488="",T488=""),"",MOD(T488-S488,1)*24)</x:f>
      </x:c>
      <x:c r="V488" s="154"/>
      <x:c r="W488" s="154"/>
      <x:c r="X488" s="151" t="str">
        <x:f>IFERROR(VLOOKUP(N488,'Configuracion'!$D$4:$H$15,5,FALSE),"")</x:f>
      </x:c>
      <x:c r="Y488" s="151" t="str">
        <x:f>IFERROR(VLOOKUP(V488,'Cuadrillas'!$A$5:$J$14,2,FALSE),"")</x:f>
      </x:c>
      <x:c r="Z488" s="154"/>
      <x:c r="AA488" s="154"/>
      <x:c r="AB488" s="154"/>
      <x:c r="AC488" s="153"/>
      <x:c r="AD488" s="153"/>
      <x:c r="AE488" s="156" t="str">
        <x:f>IF(OR(AC488="",AD488=""),"",MOD(AD488-AC488,1)*24)</x:f>
      </x:c>
      <x:c r="AF488" s="154"/>
      <x:c r="AG488" s="156" t="str">
        <x:f>IF(AE488="","",MAX(0,AE488-IF(AF488="",0,AF488/60)))</x:f>
      </x:c>
      <x:c r="AH488" s="155"/>
      <x:c r="AI488" s="154"/>
      <x:c r="AJ488" s="154"/>
      <x:c r="AK488" s="156" t="n">
        <x:f>IFERROR(U488*W488,"")</x:f>
        <x:v>0</x:v>
      </x:c>
      <x:c r="AL488" s="156" t="n">
        <x:f>IFERROR(AE488*AI488,"")</x:f>
        <x:v>0</x:v>
      </x:c>
      <x:c r="AM488" s="157" t="str">
        <x:f>IFERROR(AH488/Q488,"")</x:f>
      </x:c>
      <x:c r="AN488" s="156" t="str">
        <x:f>IFERROR(AH488/AG488,"")</x:f>
      </x:c>
      <x:c r="AO488" s="156" t="str">
        <x:f>IFERROR(AL488/AH488,"")</x:f>
      </x:c>
      <x:c r="AP488" s="157" t="str">
        <x:f>IFERROR(AG488/AE488,"")</x:f>
      </x:c>
      <x:c r="AQ488" s="157" t="str">
        <x:f>IFERROR(AN488/(R488/'Configuracion'!$B$13),"")</x:f>
      </x:c>
      <x:c r="AR488" s="156" t="n">
        <x:f>IFERROR(AE488-U488,"")</x:f>
        <x:v>0</x:v>
      </x:c>
      <x:c r="AS488" s="154"/>
      <x:c r="AT488" s="154"/>
      <x:c r="AU488" s="154"/>
      <x:c r="AV488" s="154"/>
      <x:c r="AW488" s="152"/>
      <x:c r="AX488" s="154"/>
      <x:c r="AY488" s="154"/>
      <x:c r="AZ488" s="151"/>
      <x:c r="BA488" s="151"/>
    </x:row>
    <x:row r="489">
      <x:c r="A489" s="151" t="str">
        <x:f>IF(B489="","",TEXT(B489,"yyyymmdd")&amp;"-"&amp;TEXT(COUNTIF($B$5:B489,B489),"000"))</x:f>
      </x:c>
      <x:c r="B489" s="152"/>
      <x:c r="C489" s="153"/>
      <x:c r="D489" s="151" t="str">
        <x:f>IF(B489="","",'Configuracion'!$B$4)</x:f>
      </x:c>
      <x:c r="E489" s="154"/>
      <x:c r="F489" s="154"/>
      <x:c r="G489" s="151" t="str">
        <x:f>IFERROR(VLOOKUP(F489,'Base Sectores'!$A$5:$J$47,2,FALSE),"")</x:f>
      </x:c>
      <x:c r="H489" s="151" t="str">
        <x:f>IFERROR(VLOOKUP(F489,'Base Sectores'!$A$5:$J$47,3,FALSE),"")</x:f>
      </x:c>
      <x:c r="I489" s="151" t="str">
        <x:f>IFERROR(VLOOKUP(F489,'Base Sectores'!$A$5:$J$47,4,FALSE),"")</x:f>
      </x:c>
      <x:c r="J489" s="151" t="str">
        <x:f>IFERROR(VLOOKUP(F489,'Base Sectores'!$A$5:$J$47,5,FALSE),"")</x:f>
      </x:c>
      <x:c r="K489" s="151" t="str">
        <x:f>IFERROR(VLOOKUP(F489,'Base Sectores'!$A$5:$J$47,6,FALSE),"")</x:f>
      </x:c>
      <x:c r="L489" s="151" t="str">
        <x:f>IFERROR(VLOOKUP(F489,'Base Sectores'!$A$5:$J$47,7,FALSE),"")</x:f>
      </x:c>
      <x:c r="M489" s="151" t="str">
        <x:f>IFERROR(VLOOKUP(F489,'Base Sectores'!$A$5:$J$47,9,FALSE),"")</x:f>
      </x:c>
      <x:c r="N489" s="154"/>
      <x:c r="O489" s="151" t="str">
        <x:f>IFERROR(VLOOKUP(N489,'Configuracion'!$D$4:$H$15,2,FALSE),"")</x:f>
      </x:c>
      <x:c r="P489" s="151" t="str">
        <x:f>IFERROR(VLOOKUP(N489,'Configuracion'!$D$4:$H$15,3,FALSE),"")</x:f>
      </x:c>
      <x:c r="Q489" s="155"/>
      <x:c r="R489" s="156" t="str">
        <x:f>IFERROR(VLOOKUP(N489,'Configuracion'!$D$4:$H$15,4,FALSE),"")</x:f>
      </x:c>
      <x:c r="S489" s="153"/>
      <x:c r="T489" s="153"/>
      <x:c r="U489" s="156" t="str">
        <x:f>IF(OR(S489="",T489=""),"",MOD(T489-S489,1)*24)</x:f>
      </x:c>
      <x:c r="V489" s="154"/>
      <x:c r="W489" s="154"/>
      <x:c r="X489" s="151" t="str">
        <x:f>IFERROR(VLOOKUP(N489,'Configuracion'!$D$4:$H$15,5,FALSE),"")</x:f>
      </x:c>
      <x:c r="Y489" s="151" t="str">
        <x:f>IFERROR(VLOOKUP(V489,'Cuadrillas'!$A$5:$J$14,2,FALSE),"")</x:f>
      </x:c>
      <x:c r="Z489" s="154"/>
      <x:c r="AA489" s="154"/>
      <x:c r="AB489" s="154"/>
      <x:c r="AC489" s="153"/>
      <x:c r="AD489" s="153"/>
      <x:c r="AE489" s="156" t="str">
        <x:f>IF(OR(AC489="",AD489=""),"",MOD(AD489-AC489,1)*24)</x:f>
      </x:c>
      <x:c r="AF489" s="154"/>
      <x:c r="AG489" s="156" t="str">
        <x:f>IF(AE489="","",MAX(0,AE489-IF(AF489="",0,AF489/60)))</x:f>
      </x:c>
      <x:c r="AH489" s="155"/>
      <x:c r="AI489" s="154"/>
      <x:c r="AJ489" s="154"/>
      <x:c r="AK489" s="156" t="n">
        <x:f>IFERROR(U489*W489,"")</x:f>
        <x:v>0</x:v>
      </x:c>
      <x:c r="AL489" s="156" t="n">
        <x:f>IFERROR(AE489*AI489,"")</x:f>
        <x:v>0</x:v>
      </x:c>
      <x:c r="AM489" s="157" t="str">
        <x:f>IFERROR(AH489/Q489,"")</x:f>
      </x:c>
      <x:c r="AN489" s="156" t="str">
        <x:f>IFERROR(AH489/AG489,"")</x:f>
      </x:c>
      <x:c r="AO489" s="156" t="str">
        <x:f>IFERROR(AL489/AH489,"")</x:f>
      </x:c>
      <x:c r="AP489" s="157" t="str">
        <x:f>IFERROR(AG489/AE489,"")</x:f>
      </x:c>
      <x:c r="AQ489" s="157" t="str">
        <x:f>IFERROR(AN489/(R489/'Configuracion'!$B$13),"")</x:f>
      </x:c>
      <x:c r="AR489" s="156" t="n">
        <x:f>IFERROR(AE489-U489,"")</x:f>
        <x:v>0</x:v>
      </x:c>
      <x:c r="AS489" s="154"/>
      <x:c r="AT489" s="154"/>
      <x:c r="AU489" s="154"/>
      <x:c r="AV489" s="154"/>
      <x:c r="AW489" s="152"/>
      <x:c r="AX489" s="154"/>
      <x:c r="AY489" s="154"/>
      <x:c r="AZ489" s="151"/>
      <x:c r="BA489" s="151"/>
    </x:row>
    <x:row r="490">
      <x:c r="A490" s="151" t="str">
        <x:f>IF(B490="","",TEXT(B490,"yyyymmdd")&amp;"-"&amp;TEXT(COUNTIF($B$5:B490,B490),"000"))</x:f>
      </x:c>
      <x:c r="B490" s="152"/>
      <x:c r="C490" s="153"/>
      <x:c r="D490" s="151" t="str">
        <x:f>IF(B490="","",'Configuracion'!$B$4)</x:f>
      </x:c>
      <x:c r="E490" s="154"/>
      <x:c r="F490" s="154"/>
      <x:c r="G490" s="151" t="str">
        <x:f>IFERROR(VLOOKUP(F490,'Base Sectores'!$A$5:$J$47,2,FALSE),"")</x:f>
      </x:c>
      <x:c r="H490" s="151" t="str">
        <x:f>IFERROR(VLOOKUP(F490,'Base Sectores'!$A$5:$J$47,3,FALSE),"")</x:f>
      </x:c>
      <x:c r="I490" s="151" t="str">
        <x:f>IFERROR(VLOOKUP(F490,'Base Sectores'!$A$5:$J$47,4,FALSE),"")</x:f>
      </x:c>
      <x:c r="J490" s="151" t="str">
        <x:f>IFERROR(VLOOKUP(F490,'Base Sectores'!$A$5:$J$47,5,FALSE),"")</x:f>
      </x:c>
      <x:c r="K490" s="151" t="str">
        <x:f>IFERROR(VLOOKUP(F490,'Base Sectores'!$A$5:$J$47,6,FALSE),"")</x:f>
      </x:c>
      <x:c r="L490" s="151" t="str">
        <x:f>IFERROR(VLOOKUP(F490,'Base Sectores'!$A$5:$J$47,7,FALSE),"")</x:f>
      </x:c>
      <x:c r="M490" s="151" t="str">
        <x:f>IFERROR(VLOOKUP(F490,'Base Sectores'!$A$5:$J$47,9,FALSE),"")</x:f>
      </x:c>
      <x:c r="N490" s="154"/>
      <x:c r="O490" s="151" t="str">
        <x:f>IFERROR(VLOOKUP(N490,'Configuracion'!$D$4:$H$15,2,FALSE),"")</x:f>
      </x:c>
      <x:c r="P490" s="151" t="str">
        <x:f>IFERROR(VLOOKUP(N490,'Configuracion'!$D$4:$H$15,3,FALSE),"")</x:f>
      </x:c>
      <x:c r="Q490" s="155"/>
      <x:c r="R490" s="156" t="str">
        <x:f>IFERROR(VLOOKUP(N490,'Configuracion'!$D$4:$H$15,4,FALSE),"")</x:f>
      </x:c>
      <x:c r="S490" s="153"/>
      <x:c r="T490" s="153"/>
      <x:c r="U490" s="156" t="str">
        <x:f>IF(OR(S490="",T490=""),"",MOD(T490-S490,1)*24)</x:f>
      </x:c>
      <x:c r="V490" s="154"/>
      <x:c r="W490" s="154"/>
      <x:c r="X490" s="151" t="str">
        <x:f>IFERROR(VLOOKUP(N490,'Configuracion'!$D$4:$H$15,5,FALSE),"")</x:f>
      </x:c>
      <x:c r="Y490" s="151" t="str">
        <x:f>IFERROR(VLOOKUP(V490,'Cuadrillas'!$A$5:$J$14,2,FALSE),"")</x:f>
      </x:c>
      <x:c r="Z490" s="154"/>
      <x:c r="AA490" s="154"/>
      <x:c r="AB490" s="154"/>
      <x:c r="AC490" s="153"/>
      <x:c r="AD490" s="153"/>
      <x:c r="AE490" s="156" t="str">
        <x:f>IF(OR(AC490="",AD490=""),"",MOD(AD490-AC490,1)*24)</x:f>
      </x:c>
      <x:c r="AF490" s="154"/>
      <x:c r="AG490" s="156" t="str">
        <x:f>IF(AE490="","",MAX(0,AE490-IF(AF490="",0,AF490/60)))</x:f>
      </x:c>
      <x:c r="AH490" s="155"/>
      <x:c r="AI490" s="154"/>
      <x:c r="AJ490" s="154"/>
      <x:c r="AK490" s="156" t="n">
        <x:f>IFERROR(U490*W490,"")</x:f>
        <x:v>0</x:v>
      </x:c>
      <x:c r="AL490" s="156" t="n">
        <x:f>IFERROR(AE490*AI490,"")</x:f>
        <x:v>0</x:v>
      </x:c>
      <x:c r="AM490" s="157" t="str">
        <x:f>IFERROR(AH490/Q490,"")</x:f>
      </x:c>
      <x:c r="AN490" s="156" t="str">
        <x:f>IFERROR(AH490/AG490,"")</x:f>
      </x:c>
      <x:c r="AO490" s="156" t="str">
        <x:f>IFERROR(AL490/AH490,"")</x:f>
      </x:c>
      <x:c r="AP490" s="157" t="str">
        <x:f>IFERROR(AG490/AE490,"")</x:f>
      </x:c>
      <x:c r="AQ490" s="157" t="str">
        <x:f>IFERROR(AN490/(R490/'Configuracion'!$B$13),"")</x:f>
      </x:c>
      <x:c r="AR490" s="156" t="n">
        <x:f>IFERROR(AE490-U490,"")</x:f>
        <x:v>0</x:v>
      </x:c>
      <x:c r="AS490" s="154"/>
      <x:c r="AT490" s="154"/>
      <x:c r="AU490" s="154"/>
      <x:c r="AV490" s="154"/>
      <x:c r="AW490" s="152"/>
      <x:c r="AX490" s="154"/>
      <x:c r="AY490" s="154"/>
      <x:c r="AZ490" s="151"/>
      <x:c r="BA490" s="151"/>
    </x:row>
    <x:row r="491">
      <x:c r="A491" s="151" t="str">
        <x:f>IF(B491="","",TEXT(B491,"yyyymmdd")&amp;"-"&amp;TEXT(COUNTIF($B$5:B491,B491),"000"))</x:f>
      </x:c>
      <x:c r="B491" s="152"/>
      <x:c r="C491" s="153"/>
      <x:c r="D491" s="151" t="str">
        <x:f>IF(B491="","",'Configuracion'!$B$4)</x:f>
      </x:c>
      <x:c r="E491" s="154"/>
      <x:c r="F491" s="154"/>
      <x:c r="G491" s="151" t="str">
        <x:f>IFERROR(VLOOKUP(F491,'Base Sectores'!$A$5:$J$47,2,FALSE),"")</x:f>
      </x:c>
      <x:c r="H491" s="151" t="str">
        <x:f>IFERROR(VLOOKUP(F491,'Base Sectores'!$A$5:$J$47,3,FALSE),"")</x:f>
      </x:c>
      <x:c r="I491" s="151" t="str">
        <x:f>IFERROR(VLOOKUP(F491,'Base Sectores'!$A$5:$J$47,4,FALSE),"")</x:f>
      </x:c>
      <x:c r="J491" s="151" t="str">
        <x:f>IFERROR(VLOOKUP(F491,'Base Sectores'!$A$5:$J$47,5,FALSE),"")</x:f>
      </x:c>
      <x:c r="K491" s="151" t="str">
        <x:f>IFERROR(VLOOKUP(F491,'Base Sectores'!$A$5:$J$47,6,FALSE),"")</x:f>
      </x:c>
      <x:c r="L491" s="151" t="str">
        <x:f>IFERROR(VLOOKUP(F491,'Base Sectores'!$A$5:$J$47,7,FALSE),"")</x:f>
      </x:c>
      <x:c r="M491" s="151" t="str">
        <x:f>IFERROR(VLOOKUP(F491,'Base Sectores'!$A$5:$J$47,9,FALSE),"")</x:f>
      </x:c>
      <x:c r="N491" s="154"/>
      <x:c r="O491" s="151" t="str">
        <x:f>IFERROR(VLOOKUP(N491,'Configuracion'!$D$4:$H$15,2,FALSE),"")</x:f>
      </x:c>
      <x:c r="P491" s="151" t="str">
        <x:f>IFERROR(VLOOKUP(N491,'Configuracion'!$D$4:$H$15,3,FALSE),"")</x:f>
      </x:c>
      <x:c r="Q491" s="155"/>
      <x:c r="R491" s="156" t="str">
        <x:f>IFERROR(VLOOKUP(N491,'Configuracion'!$D$4:$H$15,4,FALSE),"")</x:f>
      </x:c>
      <x:c r="S491" s="153"/>
      <x:c r="T491" s="153"/>
      <x:c r="U491" s="156" t="str">
        <x:f>IF(OR(S491="",T491=""),"",MOD(T491-S491,1)*24)</x:f>
      </x:c>
      <x:c r="V491" s="154"/>
      <x:c r="W491" s="154"/>
      <x:c r="X491" s="151" t="str">
        <x:f>IFERROR(VLOOKUP(N491,'Configuracion'!$D$4:$H$15,5,FALSE),"")</x:f>
      </x:c>
      <x:c r="Y491" s="151" t="str">
        <x:f>IFERROR(VLOOKUP(V491,'Cuadrillas'!$A$5:$J$14,2,FALSE),"")</x:f>
      </x:c>
      <x:c r="Z491" s="154"/>
      <x:c r="AA491" s="154"/>
      <x:c r="AB491" s="154"/>
      <x:c r="AC491" s="153"/>
      <x:c r="AD491" s="153"/>
      <x:c r="AE491" s="156" t="str">
        <x:f>IF(OR(AC491="",AD491=""),"",MOD(AD491-AC491,1)*24)</x:f>
      </x:c>
      <x:c r="AF491" s="154"/>
      <x:c r="AG491" s="156" t="str">
        <x:f>IF(AE491="","",MAX(0,AE491-IF(AF491="",0,AF491/60)))</x:f>
      </x:c>
      <x:c r="AH491" s="155"/>
      <x:c r="AI491" s="154"/>
      <x:c r="AJ491" s="154"/>
      <x:c r="AK491" s="156" t="n">
        <x:f>IFERROR(U491*W491,"")</x:f>
        <x:v>0</x:v>
      </x:c>
      <x:c r="AL491" s="156" t="n">
        <x:f>IFERROR(AE491*AI491,"")</x:f>
        <x:v>0</x:v>
      </x:c>
      <x:c r="AM491" s="157" t="str">
        <x:f>IFERROR(AH491/Q491,"")</x:f>
      </x:c>
      <x:c r="AN491" s="156" t="str">
        <x:f>IFERROR(AH491/AG491,"")</x:f>
      </x:c>
      <x:c r="AO491" s="156" t="str">
        <x:f>IFERROR(AL491/AH491,"")</x:f>
      </x:c>
      <x:c r="AP491" s="157" t="str">
        <x:f>IFERROR(AG491/AE491,"")</x:f>
      </x:c>
      <x:c r="AQ491" s="157" t="str">
        <x:f>IFERROR(AN491/(R491/'Configuracion'!$B$13),"")</x:f>
      </x:c>
      <x:c r="AR491" s="156" t="n">
        <x:f>IFERROR(AE491-U491,"")</x:f>
        <x:v>0</x:v>
      </x:c>
      <x:c r="AS491" s="154"/>
      <x:c r="AT491" s="154"/>
      <x:c r="AU491" s="154"/>
      <x:c r="AV491" s="154"/>
      <x:c r="AW491" s="152"/>
      <x:c r="AX491" s="154"/>
      <x:c r="AY491" s="154"/>
      <x:c r="AZ491" s="151"/>
      <x:c r="BA491" s="151"/>
    </x:row>
    <x:row r="492">
      <x:c r="A492" s="151" t="str">
        <x:f>IF(B492="","",TEXT(B492,"yyyymmdd")&amp;"-"&amp;TEXT(COUNTIF($B$5:B492,B492),"000"))</x:f>
      </x:c>
      <x:c r="B492" s="152"/>
      <x:c r="C492" s="153"/>
      <x:c r="D492" s="151" t="str">
        <x:f>IF(B492="","",'Configuracion'!$B$4)</x:f>
      </x:c>
      <x:c r="E492" s="154"/>
      <x:c r="F492" s="154"/>
      <x:c r="G492" s="151" t="str">
        <x:f>IFERROR(VLOOKUP(F492,'Base Sectores'!$A$5:$J$47,2,FALSE),"")</x:f>
      </x:c>
      <x:c r="H492" s="151" t="str">
        <x:f>IFERROR(VLOOKUP(F492,'Base Sectores'!$A$5:$J$47,3,FALSE),"")</x:f>
      </x:c>
      <x:c r="I492" s="151" t="str">
        <x:f>IFERROR(VLOOKUP(F492,'Base Sectores'!$A$5:$J$47,4,FALSE),"")</x:f>
      </x:c>
      <x:c r="J492" s="151" t="str">
        <x:f>IFERROR(VLOOKUP(F492,'Base Sectores'!$A$5:$J$47,5,FALSE),"")</x:f>
      </x:c>
      <x:c r="K492" s="151" t="str">
        <x:f>IFERROR(VLOOKUP(F492,'Base Sectores'!$A$5:$J$47,6,FALSE),"")</x:f>
      </x:c>
      <x:c r="L492" s="151" t="str">
        <x:f>IFERROR(VLOOKUP(F492,'Base Sectores'!$A$5:$J$47,7,FALSE),"")</x:f>
      </x:c>
      <x:c r="M492" s="151" t="str">
        <x:f>IFERROR(VLOOKUP(F492,'Base Sectores'!$A$5:$J$47,9,FALSE),"")</x:f>
      </x:c>
      <x:c r="N492" s="154"/>
      <x:c r="O492" s="151" t="str">
        <x:f>IFERROR(VLOOKUP(N492,'Configuracion'!$D$4:$H$15,2,FALSE),"")</x:f>
      </x:c>
      <x:c r="P492" s="151" t="str">
        <x:f>IFERROR(VLOOKUP(N492,'Configuracion'!$D$4:$H$15,3,FALSE),"")</x:f>
      </x:c>
      <x:c r="Q492" s="155"/>
      <x:c r="R492" s="156" t="str">
        <x:f>IFERROR(VLOOKUP(N492,'Configuracion'!$D$4:$H$15,4,FALSE),"")</x:f>
      </x:c>
      <x:c r="S492" s="153"/>
      <x:c r="T492" s="153"/>
      <x:c r="U492" s="156" t="str">
        <x:f>IF(OR(S492="",T492=""),"",MOD(T492-S492,1)*24)</x:f>
      </x:c>
      <x:c r="V492" s="154"/>
      <x:c r="W492" s="154"/>
      <x:c r="X492" s="151" t="str">
        <x:f>IFERROR(VLOOKUP(N492,'Configuracion'!$D$4:$H$15,5,FALSE),"")</x:f>
      </x:c>
      <x:c r="Y492" s="151" t="str">
        <x:f>IFERROR(VLOOKUP(V492,'Cuadrillas'!$A$5:$J$14,2,FALSE),"")</x:f>
      </x:c>
      <x:c r="Z492" s="154"/>
      <x:c r="AA492" s="154"/>
      <x:c r="AB492" s="154"/>
      <x:c r="AC492" s="153"/>
      <x:c r="AD492" s="153"/>
      <x:c r="AE492" s="156" t="str">
        <x:f>IF(OR(AC492="",AD492=""),"",MOD(AD492-AC492,1)*24)</x:f>
      </x:c>
      <x:c r="AF492" s="154"/>
      <x:c r="AG492" s="156" t="str">
        <x:f>IF(AE492="","",MAX(0,AE492-IF(AF492="",0,AF492/60)))</x:f>
      </x:c>
      <x:c r="AH492" s="155"/>
      <x:c r="AI492" s="154"/>
      <x:c r="AJ492" s="154"/>
      <x:c r="AK492" s="156" t="n">
        <x:f>IFERROR(U492*W492,"")</x:f>
        <x:v>0</x:v>
      </x:c>
      <x:c r="AL492" s="156" t="n">
        <x:f>IFERROR(AE492*AI492,"")</x:f>
        <x:v>0</x:v>
      </x:c>
      <x:c r="AM492" s="157" t="str">
        <x:f>IFERROR(AH492/Q492,"")</x:f>
      </x:c>
      <x:c r="AN492" s="156" t="str">
        <x:f>IFERROR(AH492/AG492,"")</x:f>
      </x:c>
      <x:c r="AO492" s="156" t="str">
        <x:f>IFERROR(AL492/AH492,"")</x:f>
      </x:c>
      <x:c r="AP492" s="157" t="str">
        <x:f>IFERROR(AG492/AE492,"")</x:f>
      </x:c>
      <x:c r="AQ492" s="157" t="str">
        <x:f>IFERROR(AN492/(R492/'Configuracion'!$B$13),"")</x:f>
      </x:c>
      <x:c r="AR492" s="156" t="n">
        <x:f>IFERROR(AE492-U492,"")</x:f>
        <x:v>0</x:v>
      </x:c>
      <x:c r="AS492" s="154"/>
      <x:c r="AT492" s="154"/>
      <x:c r="AU492" s="154"/>
      <x:c r="AV492" s="154"/>
      <x:c r="AW492" s="152"/>
      <x:c r="AX492" s="154"/>
      <x:c r="AY492" s="154"/>
      <x:c r="AZ492" s="151"/>
      <x:c r="BA492" s="151"/>
    </x:row>
    <x:row r="493">
      <x:c r="A493" s="151" t="str">
        <x:f>IF(B493="","",TEXT(B493,"yyyymmdd")&amp;"-"&amp;TEXT(COUNTIF($B$5:B493,B493),"000"))</x:f>
      </x:c>
      <x:c r="B493" s="152"/>
      <x:c r="C493" s="153"/>
      <x:c r="D493" s="151" t="str">
        <x:f>IF(B493="","",'Configuracion'!$B$4)</x:f>
      </x:c>
      <x:c r="E493" s="154"/>
      <x:c r="F493" s="154"/>
      <x:c r="G493" s="151" t="str">
        <x:f>IFERROR(VLOOKUP(F493,'Base Sectores'!$A$5:$J$47,2,FALSE),"")</x:f>
      </x:c>
      <x:c r="H493" s="151" t="str">
        <x:f>IFERROR(VLOOKUP(F493,'Base Sectores'!$A$5:$J$47,3,FALSE),"")</x:f>
      </x:c>
      <x:c r="I493" s="151" t="str">
        <x:f>IFERROR(VLOOKUP(F493,'Base Sectores'!$A$5:$J$47,4,FALSE),"")</x:f>
      </x:c>
      <x:c r="J493" s="151" t="str">
        <x:f>IFERROR(VLOOKUP(F493,'Base Sectores'!$A$5:$J$47,5,FALSE),"")</x:f>
      </x:c>
      <x:c r="K493" s="151" t="str">
        <x:f>IFERROR(VLOOKUP(F493,'Base Sectores'!$A$5:$J$47,6,FALSE),"")</x:f>
      </x:c>
      <x:c r="L493" s="151" t="str">
        <x:f>IFERROR(VLOOKUP(F493,'Base Sectores'!$A$5:$J$47,7,FALSE),"")</x:f>
      </x:c>
      <x:c r="M493" s="151" t="str">
        <x:f>IFERROR(VLOOKUP(F493,'Base Sectores'!$A$5:$J$47,9,FALSE),"")</x:f>
      </x:c>
      <x:c r="N493" s="154"/>
      <x:c r="O493" s="151" t="str">
        <x:f>IFERROR(VLOOKUP(N493,'Configuracion'!$D$4:$H$15,2,FALSE),"")</x:f>
      </x:c>
      <x:c r="P493" s="151" t="str">
        <x:f>IFERROR(VLOOKUP(N493,'Configuracion'!$D$4:$H$15,3,FALSE),"")</x:f>
      </x:c>
      <x:c r="Q493" s="155"/>
      <x:c r="R493" s="156" t="str">
        <x:f>IFERROR(VLOOKUP(N493,'Configuracion'!$D$4:$H$15,4,FALSE),"")</x:f>
      </x:c>
      <x:c r="S493" s="153"/>
      <x:c r="T493" s="153"/>
      <x:c r="U493" s="156" t="str">
        <x:f>IF(OR(S493="",T493=""),"",MOD(T493-S493,1)*24)</x:f>
      </x:c>
      <x:c r="V493" s="154"/>
      <x:c r="W493" s="154"/>
      <x:c r="X493" s="151" t="str">
        <x:f>IFERROR(VLOOKUP(N493,'Configuracion'!$D$4:$H$15,5,FALSE),"")</x:f>
      </x:c>
      <x:c r="Y493" s="151" t="str">
        <x:f>IFERROR(VLOOKUP(V493,'Cuadrillas'!$A$5:$J$14,2,FALSE),"")</x:f>
      </x:c>
      <x:c r="Z493" s="154"/>
      <x:c r="AA493" s="154"/>
      <x:c r="AB493" s="154"/>
      <x:c r="AC493" s="153"/>
      <x:c r="AD493" s="153"/>
      <x:c r="AE493" s="156" t="str">
        <x:f>IF(OR(AC493="",AD493=""),"",MOD(AD493-AC493,1)*24)</x:f>
      </x:c>
      <x:c r="AF493" s="154"/>
      <x:c r="AG493" s="156" t="str">
        <x:f>IF(AE493="","",MAX(0,AE493-IF(AF493="",0,AF493/60)))</x:f>
      </x:c>
      <x:c r="AH493" s="155"/>
      <x:c r="AI493" s="154"/>
      <x:c r="AJ493" s="154"/>
      <x:c r="AK493" s="156" t="n">
        <x:f>IFERROR(U493*W493,"")</x:f>
        <x:v>0</x:v>
      </x:c>
      <x:c r="AL493" s="156" t="n">
        <x:f>IFERROR(AE493*AI493,"")</x:f>
        <x:v>0</x:v>
      </x:c>
      <x:c r="AM493" s="157" t="str">
        <x:f>IFERROR(AH493/Q493,"")</x:f>
      </x:c>
      <x:c r="AN493" s="156" t="str">
        <x:f>IFERROR(AH493/AG493,"")</x:f>
      </x:c>
      <x:c r="AO493" s="156" t="str">
        <x:f>IFERROR(AL493/AH493,"")</x:f>
      </x:c>
      <x:c r="AP493" s="157" t="str">
        <x:f>IFERROR(AG493/AE493,"")</x:f>
      </x:c>
      <x:c r="AQ493" s="157" t="str">
        <x:f>IFERROR(AN493/(R493/'Configuracion'!$B$13),"")</x:f>
      </x:c>
      <x:c r="AR493" s="156" t="n">
        <x:f>IFERROR(AE493-U493,"")</x:f>
        <x:v>0</x:v>
      </x:c>
      <x:c r="AS493" s="154"/>
      <x:c r="AT493" s="154"/>
      <x:c r="AU493" s="154"/>
      <x:c r="AV493" s="154"/>
      <x:c r="AW493" s="152"/>
      <x:c r="AX493" s="154"/>
      <x:c r="AY493" s="154"/>
      <x:c r="AZ493" s="151"/>
      <x:c r="BA493" s="151"/>
    </x:row>
    <x:row r="494">
      <x:c r="A494" s="151" t="str">
        <x:f>IF(B494="","",TEXT(B494,"yyyymmdd")&amp;"-"&amp;TEXT(COUNTIF($B$5:B494,B494),"000"))</x:f>
      </x:c>
      <x:c r="B494" s="152"/>
      <x:c r="C494" s="153"/>
      <x:c r="D494" s="151" t="str">
        <x:f>IF(B494="","",'Configuracion'!$B$4)</x:f>
      </x:c>
      <x:c r="E494" s="154"/>
      <x:c r="F494" s="154"/>
      <x:c r="G494" s="151" t="str">
        <x:f>IFERROR(VLOOKUP(F494,'Base Sectores'!$A$5:$J$47,2,FALSE),"")</x:f>
      </x:c>
      <x:c r="H494" s="151" t="str">
        <x:f>IFERROR(VLOOKUP(F494,'Base Sectores'!$A$5:$J$47,3,FALSE),"")</x:f>
      </x:c>
      <x:c r="I494" s="151" t="str">
        <x:f>IFERROR(VLOOKUP(F494,'Base Sectores'!$A$5:$J$47,4,FALSE),"")</x:f>
      </x:c>
      <x:c r="J494" s="151" t="str">
        <x:f>IFERROR(VLOOKUP(F494,'Base Sectores'!$A$5:$J$47,5,FALSE),"")</x:f>
      </x:c>
      <x:c r="K494" s="151" t="str">
        <x:f>IFERROR(VLOOKUP(F494,'Base Sectores'!$A$5:$J$47,6,FALSE),"")</x:f>
      </x:c>
      <x:c r="L494" s="151" t="str">
        <x:f>IFERROR(VLOOKUP(F494,'Base Sectores'!$A$5:$J$47,7,FALSE),"")</x:f>
      </x:c>
      <x:c r="M494" s="151" t="str">
        <x:f>IFERROR(VLOOKUP(F494,'Base Sectores'!$A$5:$J$47,9,FALSE),"")</x:f>
      </x:c>
      <x:c r="N494" s="154"/>
      <x:c r="O494" s="151" t="str">
        <x:f>IFERROR(VLOOKUP(N494,'Configuracion'!$D$4:$H$15,2,FALSE),"")</x:f>
      </x:c>
      <x:c r="P494" s="151" t="str">
        <x:f>IFERROR(VLOOKUP(N494,'Configuracion'!$D$4:$H$15,3,FALSE),"")</x:f>
      </x:c>
      <x:c r="Q494" s="155"/>
      <x:c r="R494" s="156" t="str">
        <x:f>IFERROR(VLOOKUP(N494,'Configuracion'!$D$4:$H$15,4,FALSE),"")</x:f>
      </x:c>
      <x:c r="S494" s="153"/>
      <x:c r="T494" s="153"/>
      <x:c r="U494" s="156" t="str">
        <x:f>IF(OR(S494="",T494=""),"",MOD(T494-S494,1)*24)</x:f>
      </x:c>
      <x:c r="V494" s="154"/>
      <x:c r="W494" s="154"/>
      <x:c r="X494" s="151" t="str">
        <x:f>IFERROR(VLOOKUP(N494,'Configuracion'!$D$4:$H$15,5,FALSE),"")</x:f>
      </x:c>
      <x:c r="Y494" s="151" t="str">
        <x:f>IFERROR(VLOOKUP(V494,'Cuadrillas'!$A$5:$J$14,2,FALSE),"")</x:f>
      </x:c>
      <x:c r="Z494" s="154"/>
      <x:c r="AA494" s="154"/>
      <x:c r="AB494" s="154"/>
      <x:c r="AC494" s="153"/>
      <x:c r="AD494" s="153"/>
      <x:c r="AE494" s="156" t="str">
        <x:f>IF(OR(AC494="",AD494=""),"",MOD(AD494-AC494,1)*24)</x:f>
      </x:c>
      <x:c r="AF494" s="154"/>
      <x:c r="AG494" s="156" t="str">
        <x:f>IF(AE494="","",MAX(0,AE494-IF(AF494="",0,AF494/60)))</x:f>
      </x:c>
      <x:c r="AH494" s="155"/>
      <x:c r="AI494" s="154"/>
      <x:c r="AJ494" s="154"/>
      <x:c r="AK494" s="156" t="n">
        <x:f>IFERROR(U494*W494,"")</x:f>
        <x:v>0</x:v>
      </x:c>
      <x:c r="AL494" s="156" t="n">
        <x:f>IFERROR(AE494*AI494,"")</x:f>
        <x:v>0</x:v>
      </x:c>
      <x:c r="AM494" s="157" t="str">
        <x:f>IFERROR(AH494/Q494,"")</x:f>
      </x:c>
      <x:c r="AN494" s="156" t="str">
        <x:f>IFERROR(AH494/AG494,"")</x:f>
      </x:c>
      <x:c r="AO494" s="156" t="str">
        <x:f>IFERROR(AL494/AH494,"")</x:f>
      </x:c>
      <x:c r="AP494" s="157" t="str">
        <x:f>IFERROR(AG494/AE494,"")</x:f>
      </x:c>
      <x:c r="AQ494" s="157" t="str">
        <x:f>IFERROR(AN494/(R494/'Configuracion'!$B$13),"")</x:f>
      </x:c>
      <x:c r="AR494" s="156" t="n">
        <x:f>IFERROR(AE494-U494,"")</x:f>
        <x:v>0</x:v>
      </x:c>
      <x:c r="AS494" s="154"/>
      <x:c r="AT494" s="154"/>
      <x:c r="AU494" s="154"/>
      <x:c r="AV494" s="154"/>
      <x:c r="AW494" s="152"/>
      <x:c r="AX494" s="154"/>
      <x:c r="AY494" s="154"/>
      <x:c r="AZ494" s="151"/>
      <x:c r="BA494" s="151"/>
    </x:row>
    <x:row r="495">
      <x:c r="A495" s="151" t="str">
        <x:f>IF(B495="","",TEXT(B495,"yyyymmdd")&amp;"-"&amp;TEXT(COUNTIF($B$5:B495,B495),"000"))</x:f>
      </x:c>
      <x:c r="B495" s="152"/>
      <x:c r="C495" s="153"/>
      <x:c r="D495" s="151" t="str">
        <x:f>IF(B495="","",'Configuracion'!$B$4)</x:f>
      </x:c>
      <x:c r="E495" s="154"/>
      <x:c r="F495" s="154"/>
      <x:c r="G495" s="151" t="str">
        <x:f>IFERROR(VLOOKUP(F495,'Base Sectores'!$A$5:$J$47,2,FALSE),"")</x:f>
      </x:c>
      <x:c r="H495" s="151" t="str">
        <x:f>IFERROR(VLOOKUP(F495,'Base Sectores'!$A$5:$J$47,3,FALSE),"")</x:f>
      </x:c>
      <x:c r="I495" s="151" t="str">
        <x:f>IFERROR(VLOOKUP(F495,'Base Sectores'!$A$5:$J$47,4,FALSE),"")</x:f>
      </x:c>
      <x:c r="J495" s="151" t="str">
        <x:f>IFERROR(VLOOKUP(F495,'Base Sectores'!$A$5:$J$47,5,FALSE),"")</x:f>
      </x:c>
      <x:c r="K495" s="151" t="str">
        <x:f>IFERROR(VLOOKUP(F495,'Base Sectores'!$A$5:$J$47,6,FALSE),"")</x:f>
      </x:c>
      <x:c r="L495" s="151" t="str">
        <x:f>IFERROR(VLOOKUP(F495,'Base Sectores'!$A$5:$J$47,7,FALSE),"")</x:f>
      </x:c>
      <x:c r="M495" s="151" t="str">
        <x:f>IFERROR(VLOOKUP(F495,'Base Sectores'!$A$5:$J$47,9,FALSE),"")</x:f>
      </x:c>
      <x:c r="N495" s="154"/>
      <x:c r="O495" s="151" t="str">
        <x:f>IFERROR(VLOOKUP(N495,'Configuracion'!$D$4:$H$15,2,FALSE),"")</x:f>
      </x:c>
      <x:c r="P495" s="151" t="str">
        <x:f>IFERROR(VLOOKUP(N495,'Configuracion'!$D$4:$H$15,3,FALSE),"")</x:f>
      </x:c>
      <x:c r="Q495" s="155"/>
      <x:c r="R495" s="156" t="str">
        <x:f>IFERROR(VLOOKUP(N495,'Configuracion'!$D$4:$H$15,4,FALSE),"")</x:f>
      </x:c>
      <x:c r="S495" s="153"/>
      <x:c r="T495" s="153"/>
      <x:c r="U495" s="156" t="str">
        <x:f>IF(OR(S495="",T495=""),"",MOD(T495-S495,1)*24)</x:f>
      </x:c>
      <x:c r="V495" s="154"/>
      <x:c r="W495" s="154"/>
      <x:c r="X495" s="151" t="str">
        <x:f>IFERROR(VLOOKUP(N495,'Configuracion'!$D$4:$H$15,5,FALSE),"")</x:f>
      </x:c>
      <x:c r="Y495" s="151" t="str">
        <x:f>IFERROR(VLOOKUP(V495,'Cuadrillas'!$A$5:$J$14,2,FALSE),"")</x:f>
      </x:c>
      <x:c r="Z495" s="154"/>
      <x:c r="AA495" s="154"/>
      <x:c r="AB495" s="154"/>
      <x:c r="AC495" s="153"/>
      <x:c r="AD495" s="153"/>
      <x:c r="AE495" s="156" t="str">
        <x:f>IF(OR(AC495="",AD495=""),"",MOD(AD495-AC495,1)*24)</x:f>
      </x:c>
      <x:c r="AF495" s="154"/>
      <x:c r="AG495" s="156" t="str">
        <x:f>IF(AE495="","",MAX(0,AE495-IF(AF495="",0,AF495/60)))</x:f>
      </x:c>
      <x:c r="AH495" s="155"/>
      <x:c r="AI495" s="154"/>
      <x:c r="AJ495" s="154"/>
      <x:c r="AK495" s="156" t="n">
        <x:f>IFERROR(U495*W495,"")</x:f>
        <x:v>0</x:v>
      </x:c>
      <x:c r="AL495" s="156" t="n">
        <x:f>IFERROR(AE495*AI495,"")</x:f>
        <x:v>0</x:v>
      </x:c>
      <x:c r="AM495" s="157" t="str">
        <x:f>IFERROR(AH495/Q495,"")</x:f>
      </x:c>
      <x:c r="AN495" s="156" t="str">
        <x:f>IFERROR(AH495/AG495,"")</x:f>
      </x:c>
      <x:c r="AO495" s="156" t="str">
        <x:f>IFERROR(AL495/AH495,"")</x:f>
      </x:c>
      <x:c r="AP495" s="157" t="str">
        <x:f>IFERROR(AG495/AE495,"")</x:f>
      </x:c>
      <x:c r="AQ495" s="157" t="str">
        <x:f>IFERROR(AN495/(R495/'Configuracion'!$B$13),"")</x:f>
      </x:c>
      <x:c r="AR495" s="156" t="n">
        <x:f>IFERROR(AE495-U495,"")</x:f>
        <x:v>0</x:v>
      </x:c>
      <x:c r="AS495" s="154"/>
      <x:c r="AT495" s="154"/>
      <x:c r="AU495" s="154"/>
      <x:c r="AV495" s="154"/>
      <x:c r="AW495" s="152"/>
      <x:c r="AX495" s="154"/>
      <x:c r="AY495" s="154"/>
      <x:c r="AZ495" s="151"/>
      <x:c r="BA495" s="151"/>
    </x:row>
    <x:row r="496">
      <x:c r="A496" s="151" t="str">
        <x:f>IF(B496="","",TEXT(B496,"yyyymmdd")&amp;"-"&amp;TEXT(COUNTIF($B$5:B496,B496),"000"))</x:f>
      </x:c>
      <x:c r="B496" s="152"/>
      <x:c r="C496" s="153"/>
      <x:c r="D496" s="151" t="str">
        <x:f>IF(B496="","",'Configuracion'!$B$4)</x:f>
      </x:c>
      <x:c r="E496" s="154"/>
      <x:c r="F496" s="154"/>
      <x:c r="G496" s="151" t="str">
        <x:f>IFERROR(VLOOKUP(F496,'Base Sectores'!$A$5:$J$47,2,FALSE),"")</x:f>
      </x:c>
      <x:c r="H496" s="151" t="str">
        <x:f>IFERROR(VLOOKUP(F496,'Base Sectores'!$A$5:$J$47,3,FALSE),"")</x:f>
      </x:c>
      <x:c r="I496" s="151" t="str">
        <x:f>IFERROR(VLOOKUP(F496,'Base Sectores'!$A$5:$J$47,4,FALSE),"")</x:f>
      </x:c>
      <x:c r="J496" s="151" t="str">
        <x:f>IFERROR(VLOOKUP(F496,'Base Sectores'!$A$5:$J$47,5,FALSE),"")</x:f>
      </x:c>
      <x:c r="K496" s="151" t="str">
        <x:f>IFERROR(VLOOKUP(F496,'Base Sectores'!$A$5:$J$47,6,FALSE),"")</x:f>
      </x:c>
      <x:c r="L496" s="151" t="str">
        <x:f>IFERROR(VLOOKUP(F496,'Base Sectores'!$A$5:$J$47,7,FALSE),"")</x:f>
      </x:c>
      <x:c r="M496" s="151" t="str">
        <x:f>IFERROR(VLOOKUP(F496,'Base Sectores'!$A$5:$J$47,9,FALSE),"")</x:f>
      </x:c>
      <x:c r="N496" s="154"/>
      <x:c r="O496" s="151" t="str">
        <x:f>IFERROR(VLOOKUP(N496,'Configuracion'!$D$4:$H$15,2,FALSE),"")</x:f>
      </x:c>
      <x:c r="P496" s="151" t="str">
        <x:f>IFERROR(VLOOKUP(N496,'Configuracion'!$D$4:$H$15,3,FALSE),"")</x:f>
      </x:c>
      <x:c r="Q496" s="155"/>
      <x:c r="R496" s="156" t="str">
        <x:f>IFERROR(VLOOKUP(N496,'Configuracion'!$D$4:$H$15,4,FALSE),"")</x:f>
      </x:c>
      <x:c r="S496" s="153"/>
      <x:c r="T496" s="153"/>
      <x:c r="U496" s="156" t="str">
        <x:f>IF(OR(S496="",T496=""),"",MOD(T496-S496,1)*24)</x:f>
      </x:c>
      <x:c r="V496" s="154"/>
      <x:c r="W496" s="154"/>
      <x:c r="X496" s="151" t="str">
        <x:f>IFERROR(VLOOKUP(N496,'Configuracion'!$D$4:$H$15,5,FALSE),"")</x:f>
      </x:c>
      <x:c r="Y496" s="151" t="str">
        <x:f>IFERROR(VLOOKUP(V496,'Cuadrillas'!$A$5:$J$14,2,FALSE),"")</x:f>
      </x:c>
      <x:c r="Z496" s="154"/>
      <x:c r="AA496" s="154"/>
      <x:c r="AB496" s="154"/>
      <x:c r="AC496" s="153"/>
      <x:c r="AD496" s="153"/>
      <x:c r="AE496" s="156" t="str">
        <x:f>IF(OR(AC496="",AD496=""),"",MOD(AD496-AC496,1)*24)</x:f>
      </x:c>
      <x:c r="AF496" s="154"/>
      <x:c r="AG496" s="156" t="str">
        <x:f>IF(AE496="","",MAX(0,AE496-IF(AF496="",0,AF496/60)))</x:f>
      </x:c>
      <x:c r="AH496" s="155"/>
      <x:c r="AI496" s="154"/>
      <x:c r="AJ496" s="154"/>
      <x:c r="AK496" s="156" t="n">
        <x:f>IFERROR(U496*W496,"")</x:f>
        <x:v>0</x:v>
      </x:c>
      <x:c r="AL496" s="156" t="n">
        <x:f>IFERROR(AE496*AI496,"")</x:f>
        <x:v>0</x:v>
      </x:c>
      <x:c r="AM496" s="157" t="str">
        <x:f>IFERROR(AH496/Q496,"")</x:f>
      </x:c>
      <x:c r="AN496" s="156" t="str">
        <x:f>IFERROR(AH496/AG496,"")</x:f>
      </x:c>
      <x:c r="AO496" s="156" t="str">
        <x:f>IFERROR(AL496/AH496,"")</x:f>
      </x:c>
      <x:c r="AP496" s="157" t="str">
        <x:f>IFERROR(AG496/AE496,"")</x:f>
      </x:c>
      <x:c r="AQ496" s="157" t="str">
        <x:f>IFERROR(AN496/(R496/'Configuracion'!$B$13),"")</x:f>
      </x:c>
      <x:c r="AR496" s="156" t="n">
        <x:f>IFERROR(AE496-U496,"")</x:f>
        <x:v>0</x:v>
      </x:c>
      <x:c r="AS496" s="154"/>
      <x:c r="AT496" s="154"/>
      <x:c r="AU496" s="154"/>
      <x:c r="AV496" s="154"/>
      <x:c r="AW496" s="152"/>
      <x:c r="AX496" s="154"/>
      <x:c r="AY496" s="154"/>
      <x:c r="AZ496" s="151"/>
      <x:c r="BA496" s="151"/>
    </x:row>
    <x:row r="497">
      <x:c r="A497" s="151" t="str">
        <x:f>IF(B497="","",TEXT(B497,"yyyymmdd")&amp;"-"&amp;TEXT(COUNTIF($B$5:B497,B497),"000"))</x:f>
      </x:c>
      <x:c r="B497" s="152"/>
      <x:c r="C497" s="153"/>
      <x:c r="D497" s="151" t="str">
        <x:f>IF(B497="","",'Configuracion'!$B$4)</x:f>
      </x:c>
      <x:c r="E497" s="154"/>
      <x:c r="F497" s="154"/>
      <x:c r="G497" s="151" t="str">
        <x:f>IFERROR(VLOOKUP(F497,'Base Sectores'!$A$5:$J$47,2,FALSE),"")</x:f>
      </x:c>
      <x:c r="H497" s="151" t="str">
        <x:f>IFERROR(VLOOKUP(F497,'Base Sectores'!$A$5:$J$47,3,FALSE),"")</x:f>
      </x:c>
      <x:c r="I497" s="151" t="str">
        <x:f>IFERROR(VLOOKUP(F497,'Base Sectores'!$A$5:$J$47,4,FALSE),"")</x:f>
      </x:c>
      <x:c r="J497" s="151" t="str">
        <x:f>IFERROR(VLOOKUP(F497,'Base Sectores'!$A$5:$J$47,5,FALSE),"")</x:f>
      </x:c>
      <x:c r="K497" s="151" t="str">
        <x:f>IFERROR(VLOOKUP(F497,'Base Sectores'!$A$5:$J$47,6,FALSE),"")</x:f>
      </x:c>
      <x:c r="L497" s="151" t="str">
        <x:f>IFERROR(VLOOKUP(F497,'Base Sectores'!$A$5:$J$47,7,FALSE),"")</x:f>
      </x:c>
      <x:c r="M497" s="151" t="str">
        <x:f>IFERROR(VLOOKUP(F497,'Base Sectores'!$A$5:$J$47,9,FALSE),"")</x:f>
      </x:c>
      <x:c r="N497" s="154"/>
      <x:c r="O497" s="151" t="str">
        <x:f>IFERROR(VLOOKUP(N497,'Configuracion'!$D$4:$H$15,2,FALSE),"")</x:f>
      </x:c>
      <x:c r="P497" s="151" t="str">
        <x:f>IFERROR(VLOOKUP(N497,'Configuracion'!$D$4:$H$15,3,FALSE),"")</x:f>
      </x:c>
      <x:c r="Q497" s="155"/>
      <x:c r="R497" s="156" t="str">
        <x:f>IFERROR(VLOOKUP(N497,'Configuracion'!$D$4:$H$15,4,FALSE),"")</x:f>
      </x:c>
      <x:c r="S497" s="153"/>
      <x:c r="T497" s="153"/>
      <x:c r="U497" s="156" t="str">
        <x:f>IF(OR(S497="",T497=""),"",MOD(T497-S497,1)*24)</x:f>
      </x:c>
      <x:c r="V497" s="154"/>
      <x:c r="W497" s="154"/>
      <x:c r="X497" s="151" t="str">
        <x:f>IFERROR(VLOOKUP(N497,'Configuracion'!$D$4:$H$15,5,FALSE),"")</x:f>
      </x:c>
      <x:c r="Y497" s="151" t="str">
        <x:f>IFERROR(VLOOKUP(V497,'Cuadrillas'!$A$5:$J$14,2,FALSE),"")</x:f>
      </x:c>
      <x:c r="Z497" s="154"/>
      <x:c r="AA497" s="154"/>
      <x:c r="AB497" s="154"/>
      <x:c r="AC497" s="153"/>
      <x:c r="AD497" s="153"/>
      <x:c r="AE497" s="156" t="str">
        <x:f>IF(OR(AC497="",AD497=""),"",MOD(AD497-AC497,1)*24)</x:f>
      </x:c>
      <x:c r="AF497" s="154"/>
      <x:c r="AG497" s="156" t="str">
        <x:f>IF(AE497="","",MAX(0,AE497-IF(AF497="",0,AF497/60)))</x:f>
      </x:c>
      <x:c r="AH497" s="155"/>
      <x:c r="AI497" s="154"/>
      <x:c r="AJ497" s="154"/>
      <x:c r="AK497" s="156" t="n">
        <x:f>IFERROR(U497*W497,"")</x:f>
        <x:v>0</x:v>
      </x:c>
      <x:c r="AL497" s="156" t="n">
        <x:f>IFERROR(AE497*AI497,"")</x:f>
        <x:v>0</x:v>
      </x:c>
      <x:c r="AM497" s="157" t="str">
        <x:f>IFERROR(AH497/Q497,"")</x:f>
      </x:c>
      <x:c r="AN497" s="156" t="str">
        <x:f>IFERROR(AH497/AG497,"")</x:f>
      </x:c>
      <x:c r="AO497" s="156" t="str">
        <x:f>IFERROR(AL497/AH497,"")</x:f>
      </x:c>
      <x:c r="AP497" s="157" t="str">
        <x:f>IFERROR(AG497/AE497,"")</x:f>
      </x:c>
      <x:c r="AQ497" s="157" t="str">
        <x:f>IFERROR(AN497/(R497/'Configuracion'!$B$13),"")</x:f>
      </x:c>
      <x:c r="AR497" s="156" t="n">
        <x:f>IFERROR(AE497-U497,"")</x:f>
        <x:v>0</x:v>
      </x:c>
      <x:c r="AS497" s="154"/>
      <x:c r="AT497" s="154"/>
      <x:c r="AU497" s="154"/>
      <x:c r="AV497" s="154"/>
      <x:c r="AW497" s="152"/>
      <x:c r="AX497" s="154"/>
      <x:c r="AY497" s="154"/>
      <x:c r="AZ497" s="151"/>
      <x:c r="BA497" s="151"/>
    </x:row>
    <x:row r="498">
      <x:c r="A498" s="151" t="str">
        <x:f>IF(B498="","",TEXT(B498,"yyyymmdd")&amp;"-"&amp;TEXT(COUNTIF($B$5:B498,B498),"000"))</x:f>
      </x:c>
      <x:c r="B498" s="152"/>
      <x:c r="C498" s="153"/>
      <x:c r="D498" s="151" t="str">
        <x:f>IF(B498="","",'Configuracion'!$B$4)</x:f>
      </x:c>
      <x:c r="E498" s="154"/>
      <x:c r="F498" s="154"/>
      <x:c r="G498" s="151" t="str">
        <x:f>IFERROR(VLOOKUP(F498,'Base Sectores'!$A$5:$J$47,2,FALSE),"")</x:f>
      </x:c>
      <x:c r="H498" s="151" t="str">
        <x:f>IFERROR(VLOOKUP(F498,'Base Sectores'!$A$5:$J$47,3,FALSE),"")</x:f>
      </x:c>
      <x:c r="I498" s="151" t="str">
        <x:f>IFERROR(VLOOKUP(F498,'Base Sectores'!$A$5:$J$47,4,FALSE),"")</x:f>
      </x:c>
      <x:c r="J498" s="151" t="str">
        <x:f>IFERROR(VLOOKUP(F498,'Base Sectores'!$A$5:$J$47,5,FALSE),"")</x:f>
      </x:c>
      <x:c r="K498" s="151" t="str">
        <x:f>IFERROR(VLOOKUP(F498,'Base Sectores'!$A$5:$J$47,6,FALSE),"")</x:f>
      </x:c>
      <x:c r="L498" s="151" t="str">
        <x:f>IFERROR(VLOOKUP(F498,'Base Sectores'!$A$5:$J$47,7,FALSE),"")</x:f>
      </x:c>
      <x:c r="M498" s="151" t="str">
        <x:f>IFERROR(VLOOKUP(F498,'Base Sectores'!$A$5:$J$47,9,FALSE),"")</x:f>
      </x:c>
      <x:c r="N498" s="154"/>
      <x:c r="O498" s="151" t="str">
        <x:f>IFERROR(VLOOKUP(N498,'Configuracion'!$D$4:$H$15,2,FALSE),"")</x:f>
      </x:c>
      <x:c r="P498" s="151" t="str">
        <x:f>IFERROR(VLOOKUP(N498,'Configuracion'!$D$4:$H$15,3,FALSE),"")</x:f>
      </x:c>
      <x:c r="Q498" s="155"/>
      <x:c r="R498" s="156" t="str">
        <x:f>IFERROR(VLOOKUP(N498,'Configuracion'!$D$4:$H$15,4,FALSE),"")</x:f>
      </x:c>
      <x:c r="S498" s="153"/>
      <x:c r="T498" s="153"/>
      <x:c r="U498" s="156" t="str">
        <x:f>IF(OR(S498="",T498=""),"",MOD(T498-S498,1)*24)</x:f>
      </x:c>
      <x:c r="V498" s="154"/>
      <x:c r="W498" s="154"/>
      <x:c r="X498" s="151" t="str">
        <x:f>IFERROR(VLOOKUP(N498,'Configuracion'!$D$4:$H$15,5,FALSE),"")</x:f>
      </x:c>
      <x:c r="Y498" s="151" t="str">
        <x:f>IFERROR(VLOOKUP(V498,'Cuadrillas'!$A$5:$J$14,2,FALSE),"")</x:f>
      </x:c>
      <x:c r="Z498" s="154"/>
      <x:c r="AA498" s="154"/>
      <x:c r="AB498" s="154"/>
      <x:c r="AC498" s="153"/>
      <x:c r="AD498" s="153"/>
      <x:c r="AE498" s="156" t="str">
        <x:f>IF(OR(AC498="",AD498=""),"",MOD(AD498-AC498,1)*24)</x:f>
      </x:c>
      <x:c r="AF498" s="154"/>
      <x:c r="AG498" s="156" t="str">
        <x:f>IF(AE498="","",MAX(0,AE498-IF(AF498="",0,AF498/60)))</x:f>
      </x:c>
      <x:c r="AH498" s="155"/>
      <x:c r="AI498" s="154"/>
      <x:c r="AJ498" s="154"/>
      <x:c r="AK498" s="156" t="n">
        <x:f>IFERROR(U498*W498,"")</x:f>
        <x:v>0</x:v>
      </x:c>
      <x:c r="AL498" s="156" t="n">
        <x:f>IFERROR(AE498*AI498,"")</x:f>
        <x:v>0</x:v>
      </x:c>
      <x:c r="AM498" s="157" t="str">
        <x:f>IFERROR(AH498/Q498,"")</x:f>
      </x:c>
      <x:c r="AN498" s="156" t="str">
        <x:f>IFERROR(AH498/AG498,"")</x:f>
      </x:c>
      <x:c r="AO498" s="156" t="str">
        <x:f>IFERROR(AL498/AH498,"")</x:f>
      </x:c>
      <x:c r="AP498" s="157" t="str">
        <x:f>IFERROR(AG498/AE498,"")</x:f>
      </x:c>
      <x:c r="AQ498" s="157" t="str">
        <x:f>IFERROR(AN498/(R498/'Configuracion'!$B$13),"")</x:f>
      </x:c>
      <x:c r="AR498" s="156" t="n">
        <x:f>IFERROR(AE498-U498,"")</x:f>
        <x:v>0</x:v>
      </x:c>
      <x:c r="AS498" s="154"/>
      <x:c r="AT498" s="154"/>
      <x:c r="AU498" s="154"/>
      <x:c r="AV498" s="154"/>
      <x:c r="AW498" s="152"/>
      <x:c r="AX498" s="154"/>
      <x:c r="AY498" s="154"/>
      <x:c r="AZ498" s="151"/>
      <x:c r="BA498" s="151"/>
    </x:row>
    <x:row r="499">
      <x:c r="A499" s="151" t="str">
        <x:f>IF(B499="","",TEXT(B499,"yyyymmdd")&amp;"-"&amp;TEXT(COUNTIF($B$5:B499,B499),"000"))</x:f>
      </x:c>
      <x:c r="B499" s="152"/>
      <x:c r="C499" s="153"/>
      <x:c r="D499" s="151" t="str">
        <x:f>IF(B499="","",'Configuracion'!$B$4)</x:f>
      </x:c>
      <x:c r="E499" s="154"/>
      <x:c r="F499" s="154"/>
      <x:c r="G499" s="151" t="str">
        <x:f>IFERROR(VLOOKUP(F499,'Base Sectores'!$A$5:$J$47,2,FALSE),"")</x:f>
      </x:c>
      <x:c r="H499" s="151" t="str">
        <x:f>IFERROR(VLOOKUP(F499,'Base Sectores'!$A$5:$J$47,3,FALSE),"")</x:f>
      </x:c>
      <x:c r="I499" s="151" t="str">
        <x:f>IFERROR(VLOOKUP(F499,'Base Sectores'!$A$5:$J$47,4,FALSE),"")</x:f>
      </x:c>
      <x:c r="J499" s="151" t="str">
        <x:f>IFERROR(VLOOKUP(F499,'Base Sectores'!$A$5:$J$47,5,FALSE),"")</x:f>
      </x:c>
      <x:c r="K499" s="151" t="str">
        <x:f>IFERROR(VLOOKUP(F499,'Base Sectores'!$A$5:$J$47,6,FALSE),"")</x:f>
      </x:c>
      <x:c r="L499" s="151" t="str">
        <x:f>IFERROR(VLOOKUP(F499,'Base Sectores'!$A$5:$J$47,7,FALSE),"")</x:f>
      </x:c>
      <x:c r="M499" s="151" t="str">
        <x:f>IFERROR(VLOOKUP(F499,'Base Sectores'!$A$5:$J$47,9,FALSE),"")</x:f>
      </x:c>
      <x:c r="N499" s="154"/>
      <x:c r="O499" s="151" t="str">
        <x:f>IFERROR(VLOOKUP(N499,'Configuracion'!$D$4:$H$15,2,FALSE),"")</x:f>
      </x:c>
      <x:c r="P499" s="151" t="str">
        <x:f>IFERROR(VLOOKUP(N499,'Configuracion'!$D$4:$H$15,3,FALSE),"")</x:f>
      </x:c>
      <x:c r="Q499" s="155"/>
      <x:c r="R499" s="156" t="str">
        <x:f>IFERROR(VLOOKUP(N499,'Configuracion'!$D$4:$H$15,4,FALSE),"")</x:f>
      </x:c>
      <x:c r="S499" s="153"/>
      <x:c r="T499" s="153"/>
      <x:c r="U499" s="156" t="str">
        <x:f>IF(OR(S499="",T499=""),"",MOD(T499-S499,1)*24)</x:f>
      </x:c>
      <x:c r="V499" s="154"/>
      <x:c r="W499" s="154"/>
      <x:c r="X499" s="151" t="str">
        <x:f>IFERROR(VLOOKUP(N499,'Configuracion'!$D$4:$H$15,5,FALSE),"")</x:f>
      </x:c>
      <x:c r="Y499" s="151" t="str">
        <x:f>IFERROR(VLOOKUP(V499,'Cuadrillas'!$A$5:$J$14,2,FALSE),"")</x:f>
      </x:c>
      <x:c r="Z499" s="154"/>
      <x:c r="AA499" s="154"/>
      <x:c r="AB499" s="154"/>
      <x:c r="AC499" s="153"/>
      <x:c r="AD499" s="153"/>
      <x:c r="AE499" s="156" t="str">
        <x:f>IF(OR(AC499="",AD499=""),"",MOD(AD499-AC499,1)*24)</x:f>
      </x:c>
      <x:c r="AF499" s="154"/>
      <x:c r="AG499" s="156" t="str">
        <x:f>IF(AE499="","",MAX(0,AE499-IF(AF499="",0,AF499/60)))</x:f>
      </x:c>
      <x:c r="AH499" s="155"/>
      <x:c r="AI499" s="154"/>
      <x:c r="AJ499" s="154"/>
      <x:c r="AK499" s="156" t="n">
        <x:f>IFERROR(U499*W499,"")</x:f>
        <x:v>0</x:v>
      </x:c>
      <x:c r="AL499" s="156" t="n">
        <x:f>IFERROR(AE499*AI499,"")</x:f>
        <x:v>0</x:v>
      </x:c>
      <x:c r="AM499" s="157" t="str">
        <x:f>IFERROR(AH499/Q499,"")</x:f>
      </x:c>
      <x:c r="AN499" s="156" t="str">
        <x:f>IFERROR(AH499/AG499,"")</x:f>
      </x:c>
      <x:c r="AO499" s="156" t="str">
        <x:f>IFERROR(AL499/AH499,"")</x:f>
      </x:c>
      <x:c r="AP499" s="157" t="str">
        <x:f>IFERROR(AG499/AE499,"")</x:f>
      </x:c>
      <x:c r="AQ499" s="157" t="str">
        <x:f>IFERROR(AN499/(R499/'Configuracion'!$B$13),"")</x:f>
      </x:c>
      <x:c r="AR499" s="156" t="n">
        <x:f>IFERROR(AE499-U499,"")</x:f>
        <x:v>0</x:v>
      </x:c>
      <x:c r="AS499" s="154"/>
      <x:c r="AT499" s="154"/>
      <x:c r="AU499" s="154"/>
      <x:c r="AV499" s="154"/>
      <x:c r="AW499" s="152"/>
      <x:c r="AX499" s="154"/>
      <x:c r="AY499" s="154"/>
      <x:c r="AZ499" s="151"/>
      <x:c r="BA499" s="151"/>
    </x:row>
    <x:row r="500">
      <x:c r="A500" s="151" t="str">
        <x:f>IF(B500="","",TEXT(B500,"yyyymmdd")&amp;"-"&amp;TEXT(COUNTIF($B$5:B500,B500),"000"))</x:f>
      </x:c>
      <x:c r="B500" s="152"/>
      <x:c r="C500" s="153"/>
      <x:c r="D500" s="151" t="str">
        <x:f>IF(B500="","",'Configuracion'!$B$4)</x:f>
      </x:c>
      <x:c r="E500" s="154"/>
      <x:c r="F500" s="154"/>
      <x:c r="G500" s="151" t="str">
        <x:f>IFERROR(VLOOKUP(F500,'Base Sectores'!$A$5:$J$47,2,FALSE),"")</x:f>
      </x:c>
      <x:c r="H500" s="151" t="str">
        <x:f>IFERROR(VLOOKUP(F500,'Base Sectores'!$A$5:$J$47,3,FALSE),"")</x:f>
      </x:c>
      <x:c r="I500" s="151" t="str">
        <x:f>IFERROR(VLOOKUP(F500,'Base Sectores'!$A$5:$J$47,4,FALSE),"")</x:f>
      </x:c>
      <x:c r="J500" s="151" t="str">
        <x:f>IFERROR(VLOOKUP(F500,'Base Sectores'!$A$5:$J$47,5,FALSE),"")</x:f>
      </x:c>
      <x:c r="K500" s="151" t="str">
        <x:f>IFERROR(VLOOKUP(F500,'Base Sectores'!$A$5:$J$47,6,FALSE),"")</x:f>
      </x:c>
      <x:c r="L500" s="151" t="str">
        <x:f>IFERROR(VLOOKUP(F500,'Base Sectores'!$A$5:$J$47,7,FALSE),"")</x:f>
      </x:c>
      <x:c r="M500" s="151" t="str">
        <x:f>IFERROR(VLOOKUP(F500,'Base Sectores'!$A$5:$J$47,9,FALSE),"")</x:f>
      </x:c>
      <x:c r="N500" s="154"/>
      <x:c r="O500" s="151" t="str">
        <x:f>IFERROR(VLOOKUP(N500,'Configuracion'!$D$4:$H$15,2,FALSE),"")</x:f>
      </x:c>
      <x:c r="P500" s="151" t="str">
        <x:f>IFERROR(VLOOKUP(N500,'Configuracion'!$D$4:$H$15,3,FALSE),"")</x:f>
      </x:c>
      <x:c r="Q500" s="155"/>
      <x:c r="R500" s="156" t="str">
        <x:f>IFERROR(VLOOKUP(N500,'Configuracion'!$D$4:$H$15,4,FALSE),"")</x:f>
      </x:c>
      <x:c r="S500" s="153"/>
      <x:c r="T500" s="153"/>
      <x:c r="U500" s="156" t="str">
        <x:f>IF(OR(S500="",T500=""),"",MOD(T500-S500,1)*24)</x:f>
      </x:c>
      <x:c r="V500" s="154"/>
      <x:c r="W500" s="154"/>
      <x:c r="X500" s="151" t="str">
        <x:f>IFERROR(VLOOKUP(N500,'Configuracion'!$D$4:$H$15,5,FALSE),"")</x:f>
      </x:c>
      <x:c r="Y500" s="151" t="str">
        <x:f>IFERROR(VLOOKUP(V500,'Cuadrillas'!$A$5:$J$14,2,FALSE),"")</x:f>
      </x:c>
      <x:c r="Z500" s="154"/>
      <x:c r="AA500" s="154"/>
      <x:c r="AB500" s="154"/>
      <x:c r="AC500" s="153"/>
      <x:c r="AD500" s="153"/>
      <x:c r="AE500" s="156" t="str">
        <x:f>IF(OR(AC500="",AD500=""),"",MOD(AD500-AC500,1)*24)</x:f>
      </x:c>
      <x:c r="AF500" s="154"/>
      <x:c r="AG500" s="156" t="str">
        <x:f>IF(AE500="","",MAX(0,AE500-IF(AF500="",0,AF500/60)))</x:f>
      </x:c>
      <x:c r="AH500" s="155"/>
      <x:c r="AI500" s="154"/>
      <x:c r="AJ500" s="154"/>
      <x:c r="AK500" s="156" t="n">
        <x:f>IFERROR(U500*W500,"")</x:f>
        <x:v>0</x:v>
      </x:c>
      <x:c r="AL500" s="156" t="n">
        <x:f>IFERROR(AE500*AI500,"")</x:f>
        <x:v>0</x:v>
      </x:c>
      <x:c r="AM500" s="157" t="str">
        <x:f>IFERROR(AH500/Q500,"")</x:f>
      </x:c>
      <x:c r="AN500" s="156" t="str">
        <x:f>IFERROR(AH500/AG500,"")</x:f>
      </x:c>
      <x:c r="AO500" s="156" t="str">
        <x:f>IFERROR(AL500/AH500,"")</x:f>
      </x:c>
      <x:c r="AP500" s="157" t="str">
        <x:f>IFERROR(AG500/AE500,"")</x:f>
      </x:c>
      <x:c r="AQ500" s="157" t="str">
        <x:f>IFERROR(AN500/(R500/'Configuracion'!$B$13),"")</x:f>
      </x:c>
      <x:c r="AR500" s="156" t="n">
        <x:f>IFERROR(AE500-U500,"")</x:f>
        <x:v>0</x:v>
      </x:c>
      <x:c r="AS500" s="154"/>
      <x:c r="AT500" s="154"/>
      <x:c r="AU500" s="154"/>
      <x:c r="AV500" s="154"/>
      <x:c r="AW500" s="152"/>
      <x:c r="AX500" s="154"/>
      <x:c r="AY500" s="154"/>
      <x:c r="AZ500" s="151"/>
      <x:c r="BA500" s="151"/>
    </x:row>
    <x:row r="501">
      <x:c r="A501" s="151" t="str">
        <x:f>IF(B501="","",TEXT(B501,"yyyymmdd")&amp;"-"&amp;TEXT(COUNTIF($B$5:B501,B501),"000"))</x:f>
      </x:c>
      <x:c r="B501" s="152"/>
      <x:c r="C501" s="153"/>
      <x:c r="D501" s="151" t="str">
        <x:f>IF(B501="","",'Configuracion'!$B$4)</x:f>
      </x:c>
      <x:c r="E501" s="154"/>
      <x:c r="F501" s="154"/>
      <x:c r="G501" s="151" t="str">
        <x:f>IFERROR(VLOOKUP(F501,'Base Sectores'!$A$5:$J$47,2,FALSE),"")</x:f>
      </x:c>
      <x:c r="H501" s="151" t="str">
        <x:f>IFERROR(VLOOKUP(F501,'Base Sectores'!$A$5:$J$47,3,FALSE),"")</x:f>
      </x:c>
      <x:c r="I501" s="151" t="str">
        <x:f>IFERROR(VLOOKUP(F501,'Base Sectores'!$A$5:$J$47,4,FALSE),"")</x:f>
      </x:c>
      <x:c r="J501" s="151" t="str">
        <x:f>IFERROR(VLOOKUP(F501,'Base Sectores'!$A$5:$J$47,5,FALSE),"")</x:f>
      </x:c>
      <x:c r="K501" s="151" t="str">
        <x:f>IFERROR(VLOOKUP(F501,'Base Sectores'!$A$5:$J$47,6,FALSE),"")</x:f>
      </x:c>
      <x:c r="L501" s="151" t="str">
        <x:f>IFERROR(VLOOKUP(F501,'Base Sectores'!$A$5:$J$47,7,FALSE),"")</x:f>
      </x:c>
      <x:c r="M501" s="151" t="str">
        <x:f>IFERROR(VLOOKUP(F501,'Base Sectores'!$A$5:$J$47,9,FALSE),"")</x:f>
      </x:c>
      <x:c r="N501" s="154"/>
      <x:c r="O501" s="151" t="str">
        <x:f>IFERROR(VLOOKUP(N501,'Configuracion'!$D$4:$H$15,2,FALSE),"")</x:f>
      </x:c>
      <x:c r="P501" s="151" t="str">
        <x:f>IFERROR(VLOOKUP(N501,'Configuracion'!$D$4:$H$15,3,FALSE),"")</x:f>
      </x:c>
      <x:c r="Q501" s="155"/>
      <x:c r="R501" s="156" t="str">
        <x:f>IFERROR(VLOOKUP(N501,'Configuracion'!$D$4:$H$15,4,FALSE),"")</x:f>
      </x:c>
      <x:c r="S501" s="153"/>
      <x:c r="T501" s="153"/>
      <x:c r="U501" s="156" t="str">
        <x:f>IF(OR(S501="",T501=""),"",MOD(T501-S501,1)*24)</x:f>
      </x:c>
      <x:c r="V501" s="154"/>
      <x:c r="W501" s="154"/>
      <x:c r="X501" s="151" t="str">
        <x:f>IFERROR(VLOOKUP(N501,'Configuracion'!$D$4:$H$15,5,FALSE),"")</x:f>
      </x:c>
      <x:c r="Y501" s="151" t="str">
        <x:f>IFERROR(VLOOKUP(V501,'Cuadrillas'!$A$5:$J$14,2,FALSE),"")</x:f>
      </x:c>
      <x:c r="Z501" s="154"/>
      <x:c r="AA501" s="154"/>
      <x:c r="AB501" s="154"/>
      <x:c r="AC501" s="153"/>
      <x:c r="AD501" s="153"/>
      <x:c r="AE501" s="156" t="str">
        <x:f>IF(OR(AC501="",AD501=""),"",MOD(AD501-AC501,1)*24)</x:f>
      </x:c>
      <x:c r="AF501" s="154"/>
      <x:c r="AG501" s="156" t="str">
        <x:f>IF(AE501="","",MAX(0,AE501-IF(AF501="",0,AF501/60)))</x:f>
      </x:c>
      <x:c r="AH501" s="155"/>
      <x:c r="AI501" s="154"/>
      <x:c r="AJ501" s="154"/>
      <x:c r="AK501" s="156" t="n">
        <x:f>IFERROR(U501*W501,"")</x:f>
        <x:v>0</x:v>
      </x:c>
      <x:c r="AL501" s="156" t="n">
        <x:f>IFERROR(AE501*AI501,"")</x:f>
        <x:v>0</x:v>
      </x:c>
      <x:c r="AM501" s="157" t="str">
        <x:f>IFERROR(AH501/Q501,"")</x:f>
      </x:c>
      <x:c r="AN501" s="156" t="str">
        <x:f>IFERROR(AH501/AG501,"")</x:f>
      </x:c>
      <x:c r="AO501" s="156" t="str">
        <x:f>IFERROR(AL501/AH501,"")</x:f>
      </x:c>
      <x:c r="AP501" s="157" t="str">
        <x:f>IFERROR(AG501/AE501,"")</x:f>
      </x:c>
      <x:c r="AQ501" s="157" t="str">
        <x:f>IFERROR(AN501/(R501/'Configuracion'!$B$13),"")</x:f>
      </x:c>
      <x:c r="AR501" s="156" t="n">
        <x:f>IFERROR(AE501-U501,"")</x:f>
        <x:v>0</x:v>
      </x:c>
      <x:c r="AS501" s="154"/>
      <x:c r="AT501" s="154"/>
      <x:c r="AU501" s="154"/>
      <x:c r="AV501" s="154"/>
      <x:c r="AW501" s="152"/>
      <x:c r="AX501" s="154"/>
      <x:c r="AY501" s="154"/>
      <x:c r="AZ501" s="151"/>
      <x:c r="BA501" s="151"/>
    </x:row>
    <x:row r="502">
      <x:c r="A502" s="151" t="str">
        <x:f>IF(B502="","",TEXT(B502,"yyyymmdd")&amp;"-"&amp;TEXT(COUNTIF($B$5:B502,B502),"000"))</x:f>
      </x:c>
      <x:c r="B502" s="152"/>
      <x:c r="C502" s="153"/>
      <x:c r="D502" s="151" t="str">
        <x:f>IF(B502="","",'Configuracion'!$B$4)</x:f>
      </x:c>
      <x:c r="E502" s="154"/>
      <x:c r="F502" s="154"/>
      <x:c r="G502" s="151" t="str">
        <x:f>IFERROR(VLOOKUP(F502,'Base Sectores'!$A$5:$J$47,2,FALSE),"")</x:f>
      </x:c>
      <x:c r="H502" s="151" t="str">
        <x:f>IFERROR(VLOOKUP(F502,'Base Sectores'!$A$5:$J$47,3,FALSE),"")</x:f>
      </x:c>
      <x:c r="I502" s="151" t="str">
        <x:f>IFERROR(VLOOKUP(F502,'Base Sectores'!$A$5:$J$47,4,FALSE),"")</x:f>
      </x:c>
      <x:c r="J502" s="151" t="str">
        <x:f>IFERROR(VLOOKUP(F502,'Base Sectores'!$A$5:$J$47,5,FALSE),"")</x:f>
      </x:c>
      <x:c r="K502" s="151" t="str">
        <x:f>IFERROR(VLOOKUP(F502,'Base Sectores'!$A$5:$J$47,6,FALSE),"")</x:f>
      </x:c>
      <x:c r="L502" s="151" t="str">
        <x:f>IFERROR(VLOOKUP(F502,'Base Sectores'!$A$5:$J$47,7,FALSE),"")</x:f>
      </x:c>
      <x:c r="M502" s="151" t="str">
        <x:f>IFERROR(VLOOKUP(F502,'Base Sectores'!$A$5:$J$47,9,FALSE),"")</x:f>
      </x:c>
      <x:c r="N502" s="154"/>
      <x:c r="O502" s="151" t="str">
        <x:f>IFERROR(VLOOKUP(N502,'Configuracion'!$D$4:$H$15,2,FALSE),"")</x:f>
      </x:c>
      <x:c r="P502" s="151" t="str">
        <x:f>IFERROR(VLOOKUP(N502,'Configuracion'!$D$4:$H$15,3,FALSE),"")</x:f>
      </x:c>
      <x:c r="Q502" s="155"/>
      <x:c r="R502" s="156" t="str">
        <x:f>IFERROR(VLOOKUP(N502,'Configuracion'!$D$4:$H$15,4,FALSE),"")</x:f>
      </x:c>
      <x:c r="S502" s="153"/>
      <x:c r="T502" s="153"/>
      <x:c r="U502" s="156" t="str">
        <x:f>IF(OR(S502="",T502=""),"",MOD(T502-S502,1)*24)</x:f>
      </x:c>
      <x:c r="V502" s="154"/>
      <x:c r="W502" s="154"/>
      <x:c r="X502" s="151" t="str">
        <x:f>IFERROR(VLOOKUP(N502,'Configuracion'!$D$4:$H$15,5,FALSE),"")</x:f>
      </x:c>
      <x:c r="Y502" s="151" t="str">
        <x:f>IFERROR(VLOOKUP(V502,'Cuadrillas'!$A$5:$J$14,2,FALSE),"")</x:f>
      </x:c>
      <x:c r="Z502" s="154"/>
      <x:c r="AA502" s="154"/>
      <x:c r="AB502" s="154"/>
      <x:c r="AC502" s="153"/>
      <x:c r="AD502" s="153"/>
      <x:c r="AE502" s="156" t="str">
        <x:f>IF(OR(AC502="",AD502=""),"",MOD(AD502-AC502,1)*24)</x:f>
      </x:c>
      <x:c r="AF502" s="154"/>
      <x:c r="AG502" s="156" t="str">
        <x:f>IF(AE502="","",MAX(0,AE502-IF(AF502="",0,AF502/60)))</x:f>
      </x:c>
      <x:c r="AH502" s="155"/>
      <x:c r="AI502" s="154"/>
      <x:c r="AJ502" s="154"/>
      <x:c r="AK502" s="156" t="n">
        <x:f>IFERROR(U502*W502,"")</x:f>
        <x:v>0</x:v>
      </x:c>
      <x:c r="AL502" s="156" t="n">
        <x:f>IFERROR(AE502*AI502,"")</x:f>
        <x:v>0</x:v>
      </x:c>
      <x:c r="AM502" s="157" t="str">
        <x:f>IFERROR(AH502/Q502,"")</x:f>
      </x:c>
      <x:c r="AN502" s="156" t="str">
        <x:f>IFERROR(AH502/AG502,"")</x:f>
      </x:c>
      <x:c r="AO502" s="156" t="str">
        <x:f>IFERROR(AL502/AH502,"")</x:f>
      </x:c>
      <x:c r="AP502" s="157" t="str">
        <x:f>IFERROR(AG502/AE502,"")</x:f>
      </x:c>
      <x:c r="AQ502" s="157" t="str">
        <x:f>IFERROR(AN502/(R502/'Configuracion'!$B$13),"")</x:f>
      </x:c>
      <x:c r="AR502" s="156" t="n">
        <x:f>IFERROR(AE502-U502,"")</x:f>
        <x:v>0</x:v>
      </x:c>
      <x:c r="AS502" s="154"/>
      <x:c r="AT502" s="154"/>
      <x:c r="AU502" s="154"/>
      <x:c r="AV502" s="154"/>
      <x:c r="AW502" s="152"/>
      <x:c r="AX502" s="154"/>
      <x:c r="AY502" s="154"/>
      <x:c r="AZ502" s="151"/>
      <x:c r="BA502" s="151"/>
    </x:row>
    <x:row r="503">
      <x:c r="A503" s="151" t="str">
        <x:f>IF(B503="","",TEXT(B503,"yyyymmdd")&amp;"-"&amp;TEXT(COUNTIF($B$5:B503,B503),"000"))</x:f>
      </x:c>
      <x:c r="B503" s="152"/>
      <x:c r="C503" s="153"/>
      <x:c r="D503" s="151" t="str">
        <x:f>IF(B503="","",'Configuracion'!$B$4)</x:f>
      </x:c>
      <x:c r="E503" s="154"/>
      <x:c r="F503" s="154"/>
      <x:c r="G503" s="151" t="str">
        <x:f>IFERROR(VLOOKUP(F503,'Base Sectores'!$A$5:$J$47,2,FALSE),"")</x:f>
      </x:c>
      <x:c r="H503" s="151" t="str">
        <x:f>IFERROR(VLOOKUP(F503,'Base Sectores'!$A$5:$J$47,3,FALSE),"")</x:f>
      </x:c>
      <x:c r="I503" s="151" t="str">
        <x:f>IFERROR(VLOOKUP(F503,'Base Sectores'!$A$5:$J$47,4,FALSE),"")</x:f>
      </x:c>
      <x:c r="J503" s="151" t="str">
        <x:f>IFERROR(VLOOKUP(F503,'Base Sectores'!$A$5:$J$47,5,FALSE),"")</x:f>
      </x:c>
      <x:c r="K503" s="151" t="str">
        <x:f>IFERROR(VLOOKUP(F503,'Base Sectores'!$A$5:$J$47,6,FALSE),"")</x:f>
      </x:c>
      <x:c r="L503" s="151" t="str">
        <x:f>IFERROR(VLOOKUP(F503,'Base Sectores'!$A$5:$J$47,7,FALSE),"")</x:f>
      </x:c>
      <x:c r="M503" s="151" t="str">
        <x:f>IFERROR(VLOOKUP(F503,'Base Sectores'!$A$5:$J$47,9,FALSE),"")</x:f>
      </x:c>
      <x:c r="N503" s="154"/>
      <x:c r="O503" s="151" t="str">
        <x:f>IFERROR(VLOOKUP(N503,'Configuracion'!$D$4:$H$15,2,FALSE),"")</x:f>
      </x:c>
      <x:c r="P503" s="151" t="str">
        <x:f>IFERROR(VLOOKUP(N503,'Configuracion'!$D$4:$H$15,3,FALSE),"")</x:f>
      </x:c>
      <x:c r="Q503" s="155"/>
      <x:c r="R503" s="156" t="str">
        <x:f>IFERROR(VLOOKUP(N503,'Configuracion'!$D$4:$H$15,4,FALSE),"")</x:f>
      </x:c>
      <x:c r="S503" s="153"/>
      <x:c r="T503" s="153"/>
      <x:c r="U503" s="156" t="str">
        <x:f>IF(OR(S503="",T503=""),"",MOD(T503-S503,1)*24)</x:f>
      </x:c>
      <x:c r="V503" s="154"/>
      <x:c r="W503" s="154"/>
      <x:c r="X503" s="151" t="str">
        <x:f>IFERROR(VLOOKUP(N503,'Configuracion'!$D$4:$H$15,5,FALSE),"")</x:f>
      </x:c>
      <x:c r="Y503" s="151" t="str">
        <x:f>IFERROR(VLOOKUP(V503,'Cuadrillas'!$A$5:$J$14,2,FALSE),"")</x:f>
      </x:c>
      <x:c r="Z503" s="154"/>
      <x:c r="AA503" s="154"/>
      <x:c r="AB503" s="154"/>
      <x:c r="AC503" s="153"/>
      <x:c r="AD503" s="153"/>
      <x:c r="AE503" s="156" t="str">
        <x:f>IF(OR(AC503="",AD503=""),"",MOD(AD503-AC503,1)*24)</x:f>
      </x:c>
      <x:c r="AF503" s="154"/>
      <x:c r="AG503" s="156" t="str">
        <x:f>IF(AE503="","",MAX(0,AE503-IF(AF503="",0,AF503/60)))</x:f>
      </x:c>
      <x:c r="AH503" s="155"/>
      <x:c r="AI503" s="154"/>
      <x:c r="AJ503" s="154"/>
      <x:c r="AK503" s="156" t="n">
        <x:f>IFERROR(U503*W503,"")</x:f>
        <x:v>0</x:v>
      </x:c>
      <x:c r="AL503" s="156" t="n">
        <x:f>IFERROR(AE503*AI503,"")</x:f>
        <x:v>0</x:v>
      </x:c>
      <x:c r="AM503" s="157" t="str">
        <x:f>IFERROR(AH503/Q503,"")</x:f>
      </x:c>
      <x:c r="AN503" s="156" t="str">
        <x:f>IFERROR(AH503/AG503,"")</x:f>
      </x:c>
      <x:c r="AO503" s="156" t="str">
        <x:f>IFERROR(AL503/AH503,"")</x:f>
      </x:c>
      <x:c r="AP503" s="157" t="str">
        <x:f>IFERROR(AG503/AE503,"")</x:f>
      </x:c>
      <x:c r="AQ503" s="157" t="str">
        <x:f>IFERROR(AN503/(R503/'Configuracion'!$B$13),"")</x:f>
      </x:c>
      <x:c r="AR503" s="156" t="n">
        <x:f>IFERROR(AE503-U503,"")</x:f>
        <x:v>0</x:v>
      </x:c>
      <x:c r="AS503" s="154"/>
      <x:c r="AT503" s="154"/>
      <x:c r="AU503" s="154"/>
      <x:c r="AV503" s="154"/>
      <x:c r="AW503" s="152"/>
      <x:c r="AX503" s="154"/>
      <x:c r="AY503" s="154"/>
      <x:c r="AZ503" s="151"/>
      <x:c r="BA503" s="151"/>
    </x:row>
    <x:row r="504">
      <x:c r="A504" s="151" t="str">
        <x:f>IF(B504="","",TEXT(B504,"yyyymmdd")&amp;"-"&amp;TEXT(COUNTIF($B$5:B504,B504),"000"))</x:f>
      </x:c>
      <x:c r="B504" s="152"/>
      <x:c r="C504" s="153"/>
      <x:c r="D504" s="151" t="str">
        <x:f>IF(B504="","",'Configuracion'!$B$4)</x:f>
      </x:c>
      <x:c r="E504" s="154"/>
      <x:c r="F504" s="154"/>
      <x:c r="G504" s="151" t="str">
        <x:f>IFERROR(VLOOKUP(F504,'Base Sectores'!$A$5:$J$47,2,FALSE),"")</x:f>
      </x:c>
      <x:c r="H504" s="151" t="str">
        <x:f>IFERROR(VLOOKUP(F504,'Base Sectores'!$A$5:$J$47,3,FALSE),"")</x:f>
      </x:c>
      <x:c r="I504" s="151" t="str">
        <x:f>IFERROR(VLOOKUP(F504,'Base Sectores'!$A$5:$J$47,4,FALSE),"")</x:f>
      </x:c>
      <x:c r="J504" s="151" t="str">
        <x:f>IFERROR(VLOOKUP(F504,'Base Sectores'!$A$5:$J$47,5,FALSE),"")</x:f>
      </x:c>
      <x:c r="K504" s="151" t="str">
        <x:f>IFERROR(VLOOKUP(F504,'Base Sectores'!$A$5:$J$47,6,FALSE),"")</x:f>
      </x:c>
      <x:c r="L504" s="151" t="str">
        <x:f>IFERROR(VLOOKUP(F504,'Base Sectores'!$A$5:$J$47,7,FALSE),"")</x:f>
      </x:c>
      <x:c r="M504" s="151" t="str">
        <x:f>IFERROR(VLOOKUP(F504,'Base Sectores'!$A$5:$J$47,9,FALSE),"")</x:f>
      </x:c>
      <x:c r="N504" s="154"/>
      <x:c r="O504" s="151" t="str">
        <x:f>IFERROR(VLOOKUP(N504,'Configuracion'!$D$4:$H$15,2,FALSE),"")</x:f>
      </x:c>
      <x:c r="P504" s="151" t="str">
        <x:f>IFERROR(VLOOKUP(N504,'Configuracion'!$D$4:$H$15,3,FALSE),"")</x:f>
      </x:c>
      <x:c r="Q504" s="155"/>
      <x:c r="R504" s="156" t="str">
        <x:f>IFERROR(VLOOKUP(N504,'Configuracion'!$D$4:$H$15,4,FALSE),"")</x:f>
      </x:c>
      <x:c r="S504" s="153"/>
      <x:c r="T504" s="153"/>
      <x:c r="U504" s="156" t="str">
        <x:f>IF(OR(S504="",T504=""),"",MOD(T504-S504,1)*24)</x:f>
      </x:c>
      <x:c r="V504" s="154"/>
      <x:c r="W504" s="154"/>
      <x:c r="X504" s="151" t="str">
        <x:f>IFERROR(VLOOKUP(N504,'Configuracion'!$D$4:$H$15,5,FALSE),"")</x:f>
      </x:c>
      <x:c r="Y504" s="151" t="str">
        <x:f>IFERROR(VLOOKUP(V504,'Cuadrillas'!$A$5:$J$14,2,FALSE),"")</x:f>
      </x:c>
      <x:c r="Z504" s="154"/>
      <x:c r="AA504" s="154"/>
      <x:c r="AB504" s="154"/>
      <x:c r="AC504" s="153"/>
      <x:c r="AD504" s="153"/>
      <x:c r="AE504" s="156" t="str">
        <x:f>IF(OR(AC504="",AD504=""),"",MOD(AD504-AC504,1)*24)</x:f>
      </x:c>
      <x:c r="AF504" s="154"/>
      <x:c r="AG504" s="156" t="str">
        <x:f>IF(AE504="","",MAX(0,AE504-IF(AF504="",0,AF504/60)))</x:f>
      </x:c>
      <x:c r="AH504" s="155"/>
      <x:c r="AI504" s="154"/>
      <x:c r="AJ504" s="154"/>
      <x:c r="AK504" s="156" t="n">
        <x:f>IFERROR(U504*W504,"")</x:f>
        <x:v>0</x:v>
      </x:c>
      <x:c r="AL504" s="156" t="n">
        <x:f>IFERROR(AE504*AI504,"")</x:f>
        <x:v>0</x:v>
      </x:c>
      <x:c r="AM504" s="157" t="str">
        <x:f>IFERROR(AH504/Q504,"")</x:f>
      </x:c>
      <x:c r="AN504" s="156" t="str">
        <x:f>IFERROR(AH504/AG504,"")</x:f>
      </x:c>
      <x:c r="AO504" s="156" t="str">
        <x:f>IFERROR(AL504/AH504,"")</x:f>
      </x:c>
      <x:c r="AP504" s="157" t="str">
        <x:f>IFERROR(AG504/AE504,"")</x:f>
      </x:c>
      <x:c r="AQ504" s="157" t="str">
        <x:f>IFERROR(AN504/(R504/'Configuracion'!$B$13),"")</x:f>
      </x:c>
      <x:c r="AR504" s="156" t="n">
        <x:f>IFERROR(AE504-U504,"")</x:f>
        <x:v>0</x:v>
      </x:c>
      <x:c r="AS504" s="154"/>
      <x:c r="AT504" s="154"/>
      <x:c r="AU504" s="154"/>
      <x:c r="AV504" s="154"/>
      <x:c r="AW504" s="152"/>
      <x:c r="AX504" s="154"/>
      <x:c r="AY504" s="154"/>
      <x:c r="AZ504" s="151"/>
      <x:c r="BA504" s="151"/>
    </x:row>
  </x:sheetData>
  <x:mergeCells>
    <x:mergeCell ref="A1:BA1"/>
    <x:mergeCell ref="A2:BA2"/>
  </x:mergeCells>
  <x:conditionalFormatting sqref="AB5:AB504">
    <x:cfRule type="expression" dxfId="6" priority="1">
      <x:formula>AB5="Terminada"</x:formula>
    </x:cfRule>
    <x:cfRule type="expression" dxfId="7" priority="2">
      <x:formula>AB5="En ejecución"</x:formula>
    </x:cfRule>
    <x:cfRule type="expression" dxfId="8" priority="3">
      <x:formula>OR(AB5="Detenida",AB5="Cancelada")</x:formula>
    </x:cfRule>
  </x:conditionalFormatting>
  <x:conditionalFormatting sqref="AQ5:AQ504">
    <x:cfRule type="expression" dxfId="9" priority="4">
      <x:formula>AQ5&gt;=0.95</x:formula>
    </x:cfRule>
    <x:cfRule type="expression" dxfId="10" priority="5">
      <x:formula>AND(AQ5&gt;=0.8,AQ5&lt;0.95)</x:formula>
    </x:cfRule>
    <x:cfRule type="expression" dxfId="11" priority="6">
      <x:formula>AND(AQ5&lt;&gt;"",AQ5&lt;0.8)</x:formula>
    </x:cfRule>
  </x:conditionalFormatting>
  <x:conditionalFormatting sqref="AF5:AF504">
    <x:cfRule type="cellIs" dxfId="12" priority="7" operator="greaterThan">
      <x:formula>0</x:formula>
    </x:cfRule>
  </x:conditionalFormatting>
  <x:conditionalFormatting sqref="AR5:AR504">
    <x:cfRule type="cellIs" dxfId="13" priority="8" operator="greaterThan">
      <x:formula>0</x:formula>
    </x:cfRule>
  </x:conditionalFormatting>
  <x:dataValidations count="8">
    <x:dataValidation type="list" sqref="F5:F504">
      <x:formula1>INDIRECT("'Base Sectores'!$A$5:$A$47")</x:formula1>
    </x:dataValidation>
    <x:dataValidation type="list" sqref="N5:N504">
      <x:formula1>INDIRECT("'Configuracion'!$D$4:$D$15")</x:formula1>
    </x:dataValidation>
    <x:dataValidation type="list" sqref="V5:V504">
      <x:formula1>INDIRECT("'Cuadrillas'!$A$5:$A$14")</x:formula1>
    </x:dataValidation>
    <x:dataValidation type="list" sqref="AB5:AB504">
      <x:formula1>INDIRECT("'98_Listas_Control'!$A$4:$A$10")</x:formula1>
    </x:dataValidation>
    <x:dataValidation type="list" sqref="AJ5:AJ504">
      <x:formula1>INDIRECT("'98_Listas_Control'!$C$4:$C$15")</x:formula1>
    </x:dataValidation>
    <x:dataValidation type="list" sqref="AS5:AS504">
      <x:formula1>INDIRECT("'98_Listas_Control'!$B$4:$B$22")</x:formula1>
    </x:dataValidation>
    <x:dataValidation type="list" sqref="AV5:AV504">
      <x:formula1>INDIRECT("'98_Listas_Control'!$E$4:$E$11")</x:formula1>
    </x:dataValidation>
    <x:dataValidation type="list" sqref="AY5:AY504">
      <x:formula1>INDIRECT("'98_Listas_Control'!$D$4:$D$7")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c6864675e54ee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120" t="str">
        <x:v>ECAR | CREAR / ASIGNAR TAREA</x:v>
      </x:c>
      <x:c r="B1" s="120"/>
      <x:c r="C1" s="120"/>
      <x:c r="D1" s="120"/>
      <x:c r="E1" s="120"/>
      <x:c r="F1" s="120"/>
    </x:row>
    <x:row r="2">
      <x:c r="A2" s="128" t="str">
        <x:v>Carga previa a entregar la orden a la cuadrilla. Azul = completar. Gris = automático.</x:v>
      </x:c>
      <x:c r="B2" s="128"/>
      <x:c r="C2" s="128"/>
      <x:c r="D2" s="128"/>
      <x:c r="E2" s="128"/>
      <x:c r="F2" s="128"/>
    </x:row>
    <x:row r="4">
      <x:c r="A4" s="167" t="str">
        <x:v>IDENTIFICACIÓN Y UBICACIÓN</x:v>
      </x:c>
      <x:c r="B4" s="167"/>
      <x:c r="C4" s="167"/>
      <x:c r="D4" s="167"/>
      <x:c r="E4" s="167"/>
      <x:c r="F4" s="167"/>
    </x:row>
    <x:row r="5">
      <x:c r="A5" s="173" t="str">
        <x:v>Fecha</x:v>
      </x:c>
      <x:c r="B5" s="189" t="n">
        <x:f>TODAY()</x:f>
        <x:v>46274</x:v>
      </x:c>
    </x:row>
    <x:row r="6">
      <x:c r="A6" s="173" t="str">
        <x:v>Hora entrega orden</x:v>
      </x:c>
      <x:c r="B6" s="191"/>
    </x:row>
    <x:row r="7">
      <x:c r="A7" s="173" t="str">
        <x:v>Obra</x:v>
      </x:c>
      <x:c r="B7" s="185" t="str">
        <x:f>'Configuracion'!$B$4</x:f>
        <x:v>Loteo Roque – Red Distribuidora de Agua</x:v>
      </x:c>
    </x:row>
    <x:row r="8">
      <x:c r="A8" s="173" t="str">
        <x:v>Orden N°</x:v>
      </x:c>
      <x:c r="B8" s="179"/>
    </x:row>
    <x:row r="9">
      <x:c r="A9" s="173" t="str">
        <x:v>ID Sector</x:v>
      </x:c>
      <x:c r="B9" s="179"/>
    </x:row>
    <x:row r="10">
      <x:c r="A10" s="173" t="str">
        <x:v>Manzana</x:v>
      </x:c>
      <x:c r="B10" s="185" t="str">
        <x:f>IFERROR(VLOOKUP($B$9,'Base Sectores'!$A$5:$J$47,3,FALSE),"")</x:f>
      </x:c>
    </x:row>
    <x:row r="11">
      <x:c r="A11" s="173" t="str">
        <x:v>Nodo desde</x:v>
      </x:c>
      <x:c r="B11" s="185" t="str">
        <x:f>IFERROR(VLOOKUP($B$9,'Base Sectores'!$A$5:$J$47,5,FALSE),"")</x:f>
      </x:c>
    </x:row>
    <x:row r="12">
      <x:c r="A12" s="173" t="str">
        <x:v>Nodo hasta</x:v>
      </x:c>
      <x:c r="B12" s="185" t="str">
        <x:f>IFERROR(VLOOKUP($B$9,'Base Sectores'!$A$5:$J$47,6,FALSE),"")</x:f>
      </x:c>
    </x:row>
    <x:row r="13">
      <x:c r="A13" s="173" t="str">
        <x:v>Tramo</x:v>
      </x:c>
      <x:c r="B13" s="185" t="str">
        <x:f>IFERROR(VLOOKUP($B$9,'Base Sectores'!$A$5:$J$47,7,FALSE),"")</x:f>
      </x:c>
    </x:row>
    <x:row r="14">
      <x:c r="A14" s="173" t="str">
        <x:v>Diámetro</x:v>
      </x:c>
      <x:c r="B14" s="185" t="str">
        <x:f>IFERROR(VLOOKUP($B$9,'Base Sectores'!$A$5:$J$47,9,FALSE),"")</x:f>
      </x:c>
    </x:row>
    <x:row r="16">
      <x:c r="A16" s="167" t="str">
        <x:v>ACTIVIDAD Y OBJETIVO</x:v>
      </x:c>
      <x:c r="B16" s="167"/>
      <x:c r="C16" s="167"/>
      <x:c r="D16" s="167"/>
      <x:c r="E16" s="167"/>
      <x:c r="F16" s="167"/>
    </x:row>
    <x:row r="17">
      <x:c r="A17" s="173" t="str">
        <x:v>Cód. actividad</x:v>
      </x:c>
      <x:c r="B17" s="179"/>
    </x:row>
    <x:row r="18">
      <x:c r="A18" s="173" t="str">
        <x:v>Actividad</x:v>
      </x:c>
      <x:c r="B18" s="185" t="str">
        <x:f>IFERROR(VLOOKUP($B$17,'Configuracion'!$D$4:$H$15,2,FALSE),"")</x:f>
      </x:c>
    </x:row>
    <x:row r="19">
      <x:c r="A19" s="173" t="str">
        <x:v>Unidad</x:v>
      </x:c>
      <x:c r="B19" s="185" t="str">
        <x:f>IFERROR(VLOOKUP($B$17,'Configuracion'!$D$4:$H$15,3,FALSE),"")</x:f>
      </x:c>
    </x:row>
    <x:row r="20">
      <x:c r="A20" s="173" t="str">
        <x:v>Cantidad objetivo</x:v>
      </x:c>
      <x:c r="B20" s="179"/>
    </x:row>
    <x:row r="21">
      <x:c r="A21" s="173" t="str">
        <x:v>Rend. objetivo/día</x:v>
      </x:c>
      <x:c r="B21" s="185" t="str">
        <x:f>IFERROR(VLOOKUP($B$17,'Configuracion'!$D$4:$H$15,4,FALSE),"")</x:f>
      </x:c>
    </x:row>
    <x:row r="23">
      <x:c r="A23" s="167" t="str">
        <x:v>HORARIO, CUADRILLA Y RECURSOS</x:v>
      </x:c>
      <x:c r="B23" s="167"/>
      <x:c r="C23" s="167"/>
      <x:c r="D23" s="167"/>
      <x:c r="E23" s="167"/>
      <x:c r="F23" s="167"/>
    </x:row>
    <x:row r="24">
      <x:c r="A24" s="173" t="str">
        <x:v>Inicio plan</x:v>
      </x:c>
      <x:c r="B24" s="191"/>
    </x:row>
    <x:row r="25">
      <x:c r="A25" s="173" t="str">
        <x:v>Fin plan</x:v>
      </x:c>
      <x:c r="B25" s="191"/>
    </x:row>
    <x:row r="26">
      <x:c r="A26" s="173" t="str">
        <x:v>Hs plan</x:v>
      </x:c>
      <x:c r="B26" s="193" t="str">
        <x:f>IF(OR(B24="",B25=""),"",MOD(B25-B24,1)*24)</x:f>
      </x:c>
    </x:row>
    <x:row r="27">
      <x:c r="A27" s="173" t="str">
        <x:v>Cuadrilla</x:v>
      </x:c>
      <x:c r="B27" s="179"/>
    </x:row>
    <x:row r="28">
      <x:c r="A28" s="173" t="str">
        <x:v>Responsable</x:v>
      </x:c>
      <x:c r="B28" s="185" t="str">
        <x:f>IFERROR(VLOOKUP($B$27,'Cuadrillas'!$A$5:$J$14,2,FALSE),"")</x:f>
      </x:c>
    </x:row>
    <x:row r="29">
      <x:c r="A29" s="173" t="str">
        <x:v>Personas plan</x:v>
      </x:c>
      <x:c r="B29" s="179"/>
    </x:row>
    <x:row r="30">
      <x:c r="A30" s="173" t="str">
        <x:v>Equipo previsto</x:v>
      </x:c>
      <x:c r="B30" s="185" t="str">
        <x:f>IFERROR(VLOOKUP($B$17,'Configuracion'!$D$4:$H$15,5,FALSE),"")</x:f>
      </x:c>
    </x:row>
    <x:row r="31">
      <x:c r="A31" s="173" t="str">
        <x:v>Material / Insumo</x:v>
      </x:c>
      <x:c r="B31" s="179"/>
    </x:row>
    <x:row r="32">
      <x:c r="A32" s="173" t="str">
        <x:v>Restricción / Seguridad</x:v>
      </x:c>
      <x:c r="B32" s="179"/>
    </x:row>
    <x:row r="34">
      <x:c r="A34" s="167" t="str">
        <x:v>CONTROL</x:v>
      </x:c>
      <x:c r="B34" s="167"/>
      <x:c r="C34" s="167"/>
      <x:c r="D34" s="167"/>
      <x:c r="E34" s="167"/>
      <x:c r="F34" s="167"/>
    </x:row>
    <x:row r="35">
      <x:c r="A35" s="173" t="str">
        <x:v>Próximo ID</x:v>
      </x:c>
      <x:c r="B35" s="185" t="str">
        <x:f>IF(B5="","",TEXT(B5,"yyyymmdd")&amp;"-"&amp;TEXT(COUNTIF('04_Registro_Tareas'!$B$5:$B$504,B5)+1,"000"))</x:f>
        <x:v>20260909-001</x:v>
      </x:c>
    </x:row>
    <x:row r="36">
      <x:c r="A36" s="173" t="str">
        <x:v>Estado inicial</x:v>
      </x:c>
      <x:c r="B36" s="185" t="str">
        <x:v>Planificada</x:v>
      </x:c>
    </x:row>
    <x:row r="38">
      <x:c r="A38" s="214" t="str">
        <x:v>✓ CREAR TAREA / OK</x:v>
      </x:c>
      <x:c r="B38" s="215"/>
      <x:c r="C38" s="215"/>
      <x:c r="D38" s="215"/>
      <x:c r="E38" s="215"/>
      <x:c r="F38" s="216"/>
    </x:row>
    <x:row r="39">
      <x:c r="A39" s="217"/>
      <x:c r="B39" s="218"/>
      <x:c r="C39" s="218"/>
      <x:c r="D39" s="218"/>
      <x:c r="E39" s="218"/>
      <x:c r="F39" s="219"/>
    </x:row>
    <x:row r="40">
      <x:c r="A40" s="220"/>
      <x:c r="B40" s="221"/>
      <x:c r="C40" s="221"/>
      <x:c r="D40" s="221"/>
      <x:c r="E40" s="221"/>
      <x:c r="F40" s="222"/>
    </x:row>
    <x:row r="42">
      <x:c r="A42" s="253" t="str">
        <x:v>IMPORTANTE: el botón queda preparado visualmente. Para que agregue la fila automáticamente desde la tablet usar Excel Web + Office Script (ver hoja 12_Script_ExcelWeb). En la app móvil puede usarse 04_Registro_Tareas directamente.</x:v>
      </x:c>
      <x:c r="B42" s="253"/>
      <x:c r="C42" s="253"/>
      <x:c r="D42" s="253"/>
      <x:c r="E42" s="253"/>
      <x:c r="F42" s="253"/>
    </x:row>
    <x:row r="43">
      <x:c r="A43" s="253"/>
      <x:c r="B43" s="253"/>
      <x:c r="C43" s="253"/>
      <x:c r="D43" s="253"/>
      <x:c r="E43" s="253"/>
      <x:c r="F43" s="253"/>
    </x:row>
    <x:row r="44">
      <x:c r="A44" s="253"/>
      <x:c r="B44" s="253"/>
      <x:c r="C44" s="253"/>
      <x:c r="D44" s="253"/>
      <x:c r="E44" s="253"/>
      <x:c r="F44" s="253"/>
    </x:row>
  </x:sheetData>
  <x:mergeCells>
    <x:mergeCell ref="A1:F1"/>
    <x:mergeCell ref="A2:F2"/>
    <x:mergeCell ref="A4:F4"/>
    <x:mergeCell ref="A16:F16"/>
    <x:mergeCell ref="A23:F23"/>
    <x:mergeCell ref="A34:F34"/>
    <x:mergeCell ref="A38:F40"/>
    <x:mergeCell ref="A42:F44"/>
  </x:mergeCells>
  <x:dataValidations count="3">
    <x:dataValidation type="list" sqref="B9">
      <x:formula1>INDIRECT("'Base Sectores'!$A$5:$A$47")</x:formula1>
    </x:dataValidation>
    <x:dataValidation type="list" sqref="B17">
      <x:formula1>INDIRECT("'Configuracion'!$D$4:$D$15")</x:formula1>
    </x:dataValidation>
    <x:dataValidation type="list" sqref="B27">
      <x:formula1>INDIRECT("'Cuadrillas'!$A$5:$A$14")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6" customHeight="1">
      <x:c r="A1" s="120" t="str">
        <x:v>ECAR | TAREAS ABIERTAS / PENDIENTES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>
      <x:c r="A2" s="128" t="str">
        <x:v>Vista automática de tareas no terminadas ni canceladas. Usar el ID para cerrar la tarea.</x:v>
      </x:c>
      <x:c r="B2" s="128"/>
      <x:c r="C2" s="128"/>
      <x:c r="D2" s="128"/>
      <x:c r="E2" s="128"/>
      <x:c r="F2" s="128"/>
      <x:c r="G2" s="128"/>
      <x:c r="H2" s="128"/>
      <x:c r="I2" s="128"/>
      <x:c r="J2" s="128"/>
    </x:row>
    <x:row r="4">
      <x:c r="A4" s="257" t="str">
        <x:v>ID Tarea</x:v>
      </x:c>
      <x:c r="B4" s="257" t="str">
        <x:v>Fecha</x:v>
      </x:c>
      <x:c r="C4" s="257" t="str">
        <x:v>ID Sector</x:v>
      </x:c>
      <x:c r="D4" s="257" t="str">
        <x:v>Actividad</x:v>
      </x:c>
      <x:c r="E4" s="257" t="str">
        <x:v>Cant. plan</x:v>
      </x:c>
      <x:c r="F4" s="257" t="str">
        <x:v>Inicio plan</x:v>
      </x:c>
      <x:c r="G4" s="257" t="str">
        <x:v>Fin plan</x:v>
      </x:c>
      <x:c r="H4" s="257" t="str">
        <x:v>Cuadrilla</x:v>
      </x:c>
      <x:c r="I4" s="257" t="str">
        <x:v>Estado</x:v>
      </x:c>
      <x:c r="J4" s="257" t="str">
        <x:v>Responsable</x:v>
      </x:c>
    </x:row>
    <x:row r="5">
      <x:c r="A5" t="str">
        <x:f>_xlfn._xlws.FILTER('04_Registro_Tareas'!$A$5:$A$504,('04_Registro_Tareas'!$A$5:$A$504&lt;&gt;"")*('04_Registro_Tareas'!$AB$5:$AB$504&lt;&gt;"Terminada")*('04_Registro_Tareas'!$AB$5:$AB$504&lt;&gt;"Cancelada"),"")</x:f>
      </x:c>
      <x:c r="B5" s="259" t="str">
        <x:f>_xlfn._xlws.FILTER('04_Registro_Tareas'!$B$5:$B$504,('04_Registro_Tareas'!$A$5:$A$504&lt;&gt;"")*('04_Registro_Tareas'!$AB$5:$AB$504&lt;&gt;"Terminada")*('04_Registro_Tareas'!$AB$5:$AB$504&lt;&gt;"Cancelada"),"")</x:f>
      </x:c>
      <x:c r="C5" t="str">
        <x:f>_xlfn._xlws.FILTER('04_Registro_Tareas'!$F$5:$F$504,('04_Registro_Tareas'!$A$5:$A$504&lt;&gt;"")*('04_Registro_Tareas'!$AB$5:$AB$504&lt;&gt;"Terminada")*('04_Registro_Tareas'!$AB$5:$AB$504&lt;&gt;"Cancelada"),"")</x:f>
      </x:c>
      <x:c r="D5" t="str">
        <x:f>_xlfn._xlws.FILTER('04_Registro_Tareas'!$O$5:$O$504,('04_Registro_Tareas'!$A$5:$A$504&lt;&gt;"")*('04_Registro_Tareas'!$AB$5:$AB$504&lt;&gt;"Terminada")*('04_Registro_Tareas'!$AB$5:$AB$504&lt;&gt;"Cancelada"),"")</x:f>
      </x:c>
      <x:c r="E5" t="str">
        <x:f>_xlfn._xlws.FILTER('04_Registro_Tareas'!$Q$5:$Q$504,('04_Registro_Tareas'!$A$5:$A$504&lt;&gt;"")*('04_Registro_Tareas'!$AB$5:$AB$504&lt;&gt;"Terminada")*('04_Registro_Tareas'!$AB$5:$AB$504&lt;&gt;"Cancelada"),"")</x:f>
      </x:c>
      <x:c r="F5" s="261" t="str">
        <x:f>_xlfn._xlws.FILTER('04_Registro_Tareas'!$S$5:$S$504,('04_Registro_Tareas'!$A$5:$A$504&lt;&gt;"")*('04_Registro_Tareas'!$AB$5:$AB$504&lt;&gt;"Terminada")*('04_Registro_Tareas'!$AB$5:$AB$504&lt;&gt;"Cancelada"),"")</x:f>
      </x:c>
      <x:c r="G5" s="261" t="str">
        <x:f>_xlfn._xlws.FILTER('04_Registro_Tareas'!$T$5:$T$504,('04_Registro_Tareas'!$A$5:$A$504&lt;&gt;"")*('04_Registro_Tareas'!$AB$5:$AB$504&lt;&gt;"Terminada")*('04_Registro_Tareas'!$AB$5:$AB$504&lt;&gt;"Cancelada"),"")</x:f>
      </x:c>
      <x:c r="H5" t="str">
        <x:f>_xlfn._xlws.FILTER('04_Registro_Tareas'!$V$5:$V$504,('04_Registro_Tareas'!$A$5:$A$504&lt;&gt;"")*('04_Registro_Tareas'!$AB$5:$AB$504&lt;&gt;"Terminada")*('04_Registro_Tareas'!$AB$5:$AB$504&lt;&gt;"Cancelada"),"")</x:f>
      </x:c>
      <x:c r="I5" t="str">
        <x:f>_xlfn._xlws.FILTER('04_Registro_Tareas'!$AB$5:$AB$504,('04_Registro_Tareas'!$A$5:$A$504&lt;&gt;"")*('04_Registro_Tareas'!$AB$5:$AB$504&lt;&gt;"Terminada")*('04_Registro_Tareas'!$AB$5:$AB$504&lt;&gt;"Cancelada"),"")</x:f>
      </x:c>
      <x:c r="J5" t="str">
        <x:f>_xlfn._xlws.FILTER('04_Registro_Tareas'!$Y$5:$Y$504,('04_Registro_Tareas'!$A$5:$A$504&lt;&gt;"")*('04_Registro_Tareas'!$AB$5:$AB$504&lt;&gt;"Terminada")*('04_Registro_Tareas'!$AB$5:$AB$504&lt;&gt;"Cancelada"),"")</x:f>
      </x:c>
    </x:row>
    <x:row r="6">
      <x:c r="B6" s="259"/>
      <x:c r="F6" s="261"/>
      <x:c r="G6" s="261"/>
    </x:row>
    <x:row r="7">
      <x:c r="B7" s="259"/>
      <x:c r="F7" s="261"/>
      <x:c r="G7" s="261"/>
    </x:row>
    <x:row r="8">
      <x:c r="B8" s="259"/>
      <x:c r="F8" s="261"/>
      <x:c r="G8" s="261"/>
    </x:row>
    <x:row r="9">
      <x:c r="B9" s="259"/>
      <x:c r="F9" s="261"/>
      <x:c r="G9" s="261"/>
    </x:row>
    <x:row r="10">
      <x:c r="B10" s="259"/>
      <x:c r="F10" s="261"/>
      <x:c r="G10" s="261"/>
    </x:row>
    <x:row r="11">
      <x:c r="B11" s="259"/>
      <x:c r="F11" s="261"/>
      <x:c r="G11" s="261"/>
    </x:row>
    <x:row r="12">
      <x:c r="B12" s="259"/>
      <x:c r="F12" s="261"/>
      <x:c r="G12" s="261"/>
    </x:row>
    <x:row r="13">
      <x:c r="B13" s="259"/>
      <x:c r="F13" s="261"/>
      <x:c r="G13" s="261"/>
    </x:row>
    <x:row r="14">
      <x:c r="B14" s="259"/>
      <x:c r="F14" s="261"/>
      <x:c r="G14" s="261"/>
    </x:row>
    <x:row r="15">
      <x:c r="B15" s="259"/>
      <x:c r="F15" s="261"/>
      <x:c r="G15" s="261"/>
    </x:row>
    <x:row r="16">
      <x:c r="B16" s="259"/>
      <x:c r="F16" s="261"/>
      <x:c r="G16" s="261"/>
    </x:row>
    <x:row r="17">
      <x:c r="B17" s="259"/>
      <x:c r="F17" s="261"/>
      <x:c r="G17" s="261"/>
    </x:row>
    <x:row r="18">
      <x:c r="B18" s="259"/>
      <x:c r="F18" s="261"/>
      <x:c r="G18" s="261"/>
    </x:row>
    <x:row r="19">
      <x:c r="B19" s="259"/>
      <x:c r="F19" s="261"/>
      <x:c r="G19" s="261"/>
    </x:row>
    <x:row r="20">
      <x:c r="B20" s="259"/>
      <x:c r="F20" s="261"/>
      <x:c r="G20" s="261"/>
    </x:row>
    <x:row r="21">
      <x:c r="B21" s="259"/>
      <x:c r="F21" s="261"/>
      <x:c r="G21" s="261"/>
    </x:row>
    <x:row r="22">
      <x:c r="B22" s="259"/>
      <x:c r="F22" s="261"/>
      <x:c r="G22" s="261"/>
    </x:row>
    <x:row r="23">
      <x:c r="B23" s="259"/>
      <x:c r="F23" s="261"/>
      <x:c r="G23" s="261"/>
    </x:row>
    <x:row r="24">
      <x:c r="B24" s="259"/>
      <x:c r="F24" s="261"/>
      <x:c r="G24" s="261"/>
    </x:row>
    <x:row r="25">
      <x:c r="B25" s="259"/>
      <x:c r="F25" s="261"/>
      <x:c r="G25" s="261"/>
    </x:row>
    <x:row r="26">
      <x:c r="B26" s="259"/>
      <x:c r="F26" s="261"/>
      <x:c r="G26" s="261"/>
    </x:row>
    <x:row r="27">
      <x:c r="B27" s="259"/>
      <x:c r="F27" s="261"/>
      <x:c r="G27" s="261"/>
    </x:row>
    <x:row r="28">
      <x:c r="B28" s="259"/>
      <x:c r="F28" s="261"/>
      <x:c r="G28" s="261"/>
    </x:row>
    <x:row r="29">
      <x:c r="B29" s="259"/>
      <x:c r="F29" s="261"/>
      <x:c r="G29" s="261"/>
    </x:row>
    <x:row r="30">
      <x:c r="B30" s="259"/>
      <x:c r="F30" s="261"/>
      <x:c r="G30" s="261"/>
    </x:row>
    <x:row r="31">
      <x:c r="B31" s="259"/>
      <x:c r="F31" s="261"/>
      <x:c r="G31" s="261"/>
    </x:row>
    <x:row r="32">
      <x:c r="B32" s="259"/>
      <x:c r="F32" s="261"/>
      <x:c r="G32" s="261"/>
    </x:row>
    <x:row r="33">
      <x:c r="B33" s="259"/>
      <x:c r="F33" s="261"/>
      <x:c r="G33" s="261"/>
    </x:row>
    <x:row r="34">
      <x:c r="B34" s="259"/>
      <x:c r="F34" s="261"/>
      <x:c r="G34" s="261"/>
    </x:row>
    <x:row r="35">
      <x:c r="B35" s="259"/>
      <x:c r="F35" s="261"/>
      <x:c r="G35" s="261"/>
    </x:row>
    <x:row r="36">
      <x:c r="B36" s="259"/>
      <x:c r="F36" s="261"/>
      <x:c r="G36" s="261"/>
    </x:row>
    <x:row r="37">
      <x:c r="B37" s="259"/>
      <x:c r="F37" s="261"/>
      <x:c r="G37" s="261"/>
    </x:row>
    <x:row r="38">
      <x:c r="B38" s="259"/>
      <x:c r="F38" s="261"/>
      <x:c r="G38" s="261"/>
    </x:row>
    <x:row r="39">
      <x:c r="B39" s="259"/>
      <x:c r="F39" s="261"/>
      <x:c r="G39" s="261"/>
    </x:row>
    <x:row r="40">
      <x:c r="B40" s="259"/>
      <x:c r="F40" s="261"/>
      <x:c r="G40" s="261"/>
    </x:row>
    <x:row r="41">
      <x:c r="B41" s="259"/>
      <x:c r="F41" s="261"/>
      <x:c r="G41" s="261"/>
    </x:row>
    <x:row r="42">
      <x:c r="B42" s="259"/>
      <x:c r="F42" s="261"/>
      <x:c r="G42" s="261"/>
    </x:row>
    <x:row r="43">
      <x:c r="B43" s="259"/>
      <x:c r="F43" s="261"/>
      <x:c r="G43" s="261"/>
    </x:row>
    <x:row r="44">
      <x:c r="B44" s="259"/>
      <x:c r="F44" s="261"/>
      <x:c r="G44" s="261"/>
    </x:row>
    <x:row r="45">
      <x:c r="B45" s="259"/>
      <x:c r="F45" s="261"/>
      <x:c r="G45" s="261"/>
    </x:row>
    <x:row r="46">
      <x:c r="B46" s="259"/>
      <x:c r="F46" s="261"/>
      <x:c r="G46" s="261"/>
    </x:row>
    <x:row r="47">
      <x:c r="B47" s="259"/>
      <x:c r="F47" s="261"/>
      <x:c r="G47" s="261"/>
    </x:row>
    <x:row r="48">
      <x:c r="B48" s="259"/>
      <x:c r="F48" s="261"/>
      <x:c r="G48" s="261"/>
    </x:row>
    <x:row r="49">
      <x:c r="B49" s="259"/>
      <x:c r="F49" s="261"/>
      <x:c r="G49" s="261"/>
    </x:row>
    <x:row r="50">
      <x:c r="B50" s="259"/>
      <x:c r="F50" s="261"/>
      <x:c r="G50" s="261"/>
    </x:row>
    <x:row r="51">
      <x:c r="B51" s="259"/>
      <x:c r="F51" s="261"/>
      <x:c r="G51" s="261"/>
    </x:row>
    <x:row r="52">
      <x:c r="B52" s="259"/>
      <x:c r="F52" s="261"/>
      <x:c r="G52" s="261"/>
    </x:row>
    <x:row r="53">
      <x:c r="B53" s="259"/>
      <x:c r="F53" s="261"/>
      <x:c r="G53" s="261"/>
    </x:row>
    <x:row r="54">
      <x:c r="B54" s="259"/>
      <x:c r="F54" s="261"/>
      <x:c r="G54" s="261"/>
    </x:row>
    <x:row r="55">
      <x:c r="B55" s="259"/>
      <x:c r="F55" s="261"/>
      <x:c r="G55" s="261"/>
    </x:row>
    <x:row r="56">
      <x:c r="B56" s="259"/>
      <x:c r="F56" s="261"/>
      <x:c r="G56" s="261"/>
    </x:row>
    <x:row r="57">
      <x:c r="B57" s="259"/>
      <x:c r="F57" s="261"/>
      <x:c r="G57" s="261"/>
    </x:row>
    <x:row r="58">
      <x:c r="B58" s="259"/>
      <x:c r="F58" s="261"/>
      <x:c r="G58" s="261"/>
    </x:row>
    <x:row r="59">
      <x:c r="B59" s="259"/>
      <x:c r="F59" s="261"/>
      <x:c r="G59" s="261"/>
    </x:row>
    <x:row r="60">
      <x:c r="B60" s="259"/>
      <x:c r="F60" s="261"/>
      <x:c r="G60" s="261"/>
    </x:row>
    <x:row r="61">
      <x:c r="B61" s="259"/>
      <x:c r="F61" s="261"/>
      <x:c r="G61" s="261"/>
    </x:row>
    <x:row r="62">
      <x:c r="B62" s="259"/>
      <x:c r="F62" s="261"/>
      <x:c r="G62" s="261"/>
    </x:row>
    <x:row r="63">
      <x:c r="B63" s="259"/>
      <x:c r="F63" s="261"/>
      <x:c r="G63" s="261"/>
    </x:row>
    <x:row r="64">
      <x:c r="B64" s="259"/>
      <x:c r="F64" s="261"/>
      <x:c r="G64" s="261"/>
    </x:row>
    <x:row r="65">
      <x:c r="B65" s="259"/>
      <x:c r="F65" s="261"/>
      <x:c r="G65" s="261"/>
    </x:row>
    <x:row r="66">
      <x:c r="B66" s="259"/>
      <x:c r="F66" s="261"/>
      <x:c r="G66" s="261"/>
    </x:row>
    <x:row r="67">
      <x:c r="B67" s="259"/>
      <x:c r="F67" s="261"/>
      <x:c r="G67" s="261"/>
    </x:row>
    <x:row r="68">
      <x:c r="B68" s="259"/>
      <x:c r="F68" s="261"/>
      <x:c r="G68" s="261"/>
    </x:row>
    <x:row r="69">
      <x:c r="B69" s="259"/>
      <x:c r="F69" s="261"/>
      <x:c r="G69" s="261"/>
    </x:row>
    <x:row r="70">
      <x:c r="B70" s="259"/>
      <x:c r="F70" s="261"/>
      <x:c r="G70" s="261"/>
    </x:row>
    <x:row r="71">
      <x:c r="B71" s="259"/>
      <x:c r="F71" s="261"/>
      <x:c r="G71" s="261"/>
    </x:row>
    <x:row r="72">
      <x:c r="B72" s="259"/>
      <x:c r="F72" s="261"/>
      <x:c r="G72" s="261"/>
    </x:row>
    <x:row r="73">
      <x:c r="B73" s="259"/>
      <x:c r="F73" s="261"/>
      <x:c r="G73" s="261"/>
    </x:row>
    <x:row r="74">
      <x:c r="B74" s="259"/>
      <x:c r="F74" s="261"/>
      <x:c r="G74" s="261"/>
    </x:row>
    <x:row r="75">
      <x:c r="B75" s="259"/>
      <x:c r="F75" s="261"/>
      <x:c r="G75" s="261"/>
    </x:row>
    <x:row r="76">
      <x:c r="B76" s="259"/>
      <x:c r="F76" s="261"/>
      <x:c r="G76" s="261"/>
    </x:row>
    <x:row r="77">
      <x:c r="B77" s="259"/>
      <x:c r="F77" s="261"/>
      <x:c r="G77" s="261"/>
    </x:row>
    <x:row r="78">
      <x:c r="B78" s="259"/>
      <x:c r="F78" s="261"/>
      <x:c r="G78" s="261"/>
    </x:row>
    <x:row r="79">
      <x:c r="B79" s="259"/>
      <x:c r="F79" s="261"/>
      <x:c r="G79" s="261"/>
    </x:row>
    <x:row r="80">
      <x:c r="B80" s="259"/>
      <x:c r="F80" s="261"/>
      <x:c r="G80" s="261"/>
    </x:row>
    <x:row r="81">
      <x:c r="B81" s="259"/>
      <x:c r="F81" s="261"/>
      <x:c r="G81" s="261"/>
    </x:row>
    <x:row r="82">
      <x:c r="B82" s="259"/>
      <x:c r="F82" s="261"/>
      <x:c r="G82" s="261"/>
    </x:row>
    <x:row r="83">
      <x:c r="B83" s="259"/>
      <x:c r="F83" s="261"/>
      <x:c r="G83" s="261"/>
    </x:row>
    <x:row r="84">
      <x:c r="B84" s="259"/>
      <x:c r="F84" s="261"/>
      <x:c r="G84" s="261"/>
    </x:row>
    <x:row r="85">
      <x:c r="B85" s="259"/>
      <x:c r="F85" s="261"/>
      <x:c r="G85" s="261"/>
    </x:row>
    <x:row r="86">
      <x:c r="B86" s="259"/>
      <x:c r="F86" s="261"/>
      <x:c r="G86" s="261"/>
    </x:row>
    <x:row r="87">
      <x:c r="B87" s="259"/>
      <x:c r="F87" s="261"/>
      <x:c r="G87" s="261"/>
    </x:row>
    <x:row r="88">
      <x:c r="B88" s="259"/>
      <x:c r="F88" s="261"/>
      <x:c r="G88" s="261"/>
    </x:row>
    <x:row r="89">
      <x:c r="B89" s="259"/>
      <x:c r="F89" s="261"/>
      <x:c r="G89" s="261"/>
    </x:row>
    <x:row r="90">
      <x:c r="B90" s="259"/>
      <x:c r="F90" s="261"/>
      <x:c r="G90" s="261"/>
    </x:row>
    <x:row r="91">
      <x:c r="B91" s="259"/>
      <x:c r="F91" s="261"/>
      <x:c r="G91" s="261"/>
    </x:row>
    <x:row r="92">
      <x:c r="B92" s="259"/>
      <x:c r="F92" s="261"/>
      <x:c r="G92" s="261"/>
    </x:row>
    <x:row r="93">
      <x:c r="B93" s="259"/>
      <x:c r="F93" s="261"/>
      <x:c r="G93" s="261"/>
    </x:row>
    <x:row r="94">
      <x:c r="B94" s="259"/>
      <x:c r="F94" s="261"/>
      <x:c r="G94" s="261"/>
    </x:row>
    <x:row r="95">
      <x:c r="B95" s="259"/>
      <x:c r="F95" s="261"/>
      <x:c r="G95" s="261"/>
    </x:row>
    <x:row r="96">
      <x:c r="B96" s="259"/>
      <x:c r="F96" s="261"/>
      <x:c r="G96" s="261"/>
    </x:row>
    <x:row r="97">
      <x:c r="B97" s="259"/>
      <x:c r="F97" s="261"/>
      <x:c r="G97" s="261"/>
    </x:row>
    <x:row r="98">
      <x:c r="B98" s="259"/>
      <x:c r="F98" s="261"/>
      <x:c r="G98" s="261"/>
    </x:row>
    <x:row r="99">
      <x:c r="B99" s="259"/>
      <x:c r="F99" s="261"/>
      <x:c r="G99" s="261"/>
    </x:row>
    <x:row r="100">
      <x:c r="B100" s="259"/>
      <x:c r="F100" s="261"/>
      <x:c r="G100" s="261"/>
    </x:row>
  </x:sheetData>
  <x:mergeCells>
    <x:mergeCell ref="A1:J1"/>
    <x:mergeCell ref="A2:J2"/>
  </x:mergeCells>
  <x:conditionalFormatting sqref="I5:I100">
    <x:cfRule type="expression" dxfId="14" priority="1">
      <x:formula>I5="En ejecución"</x:formula>
    </x:cfRule>
    <x:cfRule type="expression" dxfId="15" priority="2">
      <x:formula>I5="Detenida"</x:formula>
    </x:cfRule>
    <x:cfRule type="expression" dxfId="16" priority="3">
      <x:formula>I5="Planificada"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6" customHeight="1">
      <x:c r="A1" s="120" t="str">
        <x:v>ECAR | CERRAR TAREA – CARGAR RESULTADO REAL</x:v>
      </x:c>
      <x:c r="B1" s="120"/>
      <x:c r="C1" s="120"/>
      <x:c r="D1" s="120"/>
      <x:c r="E1" s="120"/>
      <x:c r="F1" s="120"/>
    </x:row>
    <x:row r="2">
      <x:c r="A2" s="128" t="str">
        <x:v>Seleccionar el ID informado por la cuadrilla. Lo planificado aparece en gris; completar solamente datos reales y desvíos.</x:v>
      </x:c>
      <x:c r="B2" s="128"/>
      <x:c r="C2" s="128"/>
      <x:c r="D2" s="128"/>
      <x:c r="E2" s="128"/>
      <x:c r="F2" s="128"/>
    </x:row>
    <x:row r="4">
      <x:c r="A4" s="167" t="str">
        <x:v>SELECCIÓN</x:v>
      </x:c>
      <x:c r="B4" s="167"/>
      <x:c r="C4" s="167"/>
      <x:c r="D4" s="167"/>
      <x:c r="E4" s="167"/>
      <x:c r="F4" s="167"/>
    </x:row>
    <x:row r="5">
      <x:c r="A5" s="173" t="str">
        <x:v>ID Tarea</x:v>
      </x:c>
      <x:c r="B5" s="179"/>
    </x:row>
    <x:row r="7">
      <x:c r="A7" s="167" t="str">
        <x:v>PLANIFICADO – SOLO LECTURA</x:v>
      </x:c>
      <x:c r="B7" s="167"/>
      <x:c r="C7" s="167"/>
      <x:c r="D7" s="167"/>
      <x:c r="E7" s="167"/>
      <x:c r="F7" s="167"/>
    </x:row>
    <x:row r="8">
      <x:c r="A8" s="173" t="str">
        <x:v>Fecha</x:v>
      </x:c>
      <x:c r="B8" s="263" t="str">
        <x:f>IFERROR(VLOOKUP($B$5,'04_Registro_Tareas'!$A$5:$BA$504,2,FALSE),"")</x:f>
      </x:c>
    </x:row>
    <x:row r="9">
      <x:c r="A9" s="173" t="str">
        <x:v>Sector</x:v>
      </x:c>
      <x:c r="B9" s="185" t="str">
        <x:f>IFERROR(VLOOKUP($B$5,'04_Registro_Tareas'!$A$5:$BA$504,6,FALSE),"")</x:f>
      </x:c>
    </x:row>
    <x:row r="10">
      <x:c r="A10" s="173" t="str">
        <x:v>Actividad</x:v>
      </x:c>
      <x:c r="B10" s="185" t="str">
        <x:f>IFERROR(VLOOKUP($B$5,'04_Registro_Tareas'!$A$5:$BA$504,15,FALSE),"")</x:f>
      </x:c>
    </x:row>
    <x:row r="11">
      <x:c r="A11" s="173" t="str">
        <x:v>Cant. planificada</x:v>
      </x:c>
      <x:c r="B11" s="193" t="str">
        <x:f>IFERROR(VLOOKUP($B$5,'04_Registro_Tareas'!$A$5:$BA$504,17,FALSE),"")</x:f>
      </x:c>
    </x:row>
    <x:row r="12">
      <x:c r="A12" s="173" t="str">
        <x:v>Inicio plan</x:v>
      </x:c>
      <x:c r="B12" s="265" t="str">
        <x:f>IFERROR(VLOOKUP($B$5,'04_Registro_Tareas'!$A$5:$BA$504,19,FALSE),"")</x:f>
      </x:c>
    </x:row>
    <x:row r="13">
      <x:c r="A13" s="173" t="str">
        <x:v>Fin plan</x:v>
      </x:c>
      <x:c r="B13" s="265" t="str">
        <x:f>IFERROR(VLOOKUP($B$5,'04_Registro_Tareas'!$A$5:$BA$504,20,FALSE),"")</x:f>
      </x:c>
    </x:row>
    <x:row r="14">
      <x:c r="A14" s="173" t="str">
        <x:v>Cuadrilla</x:v>
      </x:c>
      <x:c r="B14" s="185" t="str">
        <x:f>IFERROR(VLOOKUP($B$5,'04_Registro_Tareas'!$A$5:$BA$504,22,FALSE),"")</x:f>
      </x:c>
    </x:row>
    <x:row r="15">
      <x:c r="A15" s="173" t="str">
        <x:v>Personas plan</x:v>
      </x:c>
      <x:c r="B15" s="267" t="str">
        <x:f>IFERROR(VLOOKUP($B$5,'04_Registro_Tareas'!$A$5:$BA$504,23,FALSE),"")</x:f>
      </x:c>
    </x:row>
    <x:row r="16">
      <x:c r="A16" s="173" t="str">
        <x:v>Equipo plan</x:v>
      </x:c>
      <x:c r="B16" s="185" t="str">
        <x:f>IFERROR(VLOOKUP($B$5,'04_Registro_Tareas'!$A$5:$BA$504,24,FALSE),"")</x:f>
      </x:c>
    </x:row>
    <x:row r="17">
      <x:c r="A17" s="173" t="str">
        <x:v>Responsable</x:v>
      </x:c>
      <x:c r="B17" s="185" t="str">
        <x:f>IFERROR(VLOOKUP($B$5,'04_Registro_Tareas'!$A$5:$BA$504,25,FALSE),"")</x:f>
      </x:c>
    </x:row>
    <x:row r="18">
      <x:c r="A18" s="173" t="str">
        <x:v>Estado</x:v>
      </x:c>
      <x:c r="B18" s="185" t="str">
        <x:f>IFERROR(VLOOKUP($B$5,'04_Registro_Tareas'!$A$5:$BA$504,28,FALSE),"")</x:f>
      </x:c>
    </x:row>
    <x:row r="20">
      <x:c r="A20" s="167" t="str">
        <x:v>REAL / CIERRE</x:v>
      </x:c>
      <x:c r="B20" s="167"/>
      <x:c r="C20" s="167"/>
      <x:c r="D20" s="167" t="str">
        <x:v>PREVISUALIZACIÓN DEL RENDIMIENTO</x:v>
      </x:c>
      <x:c r="E20" s="167"/>
      <x:c r="F20" s="167"/>
    </x:row>
    <x:row r="21">
      <x:c r="A21" s="173" t="str">
        <x:v>Inicio real</x:v>
      </x:c>
      <x:c r="B21" s="191"/>
      <x:c r="D21" s="173" t="str">
        <x:v>Hs reales</x:v>
      </x:c>
      <x:c r="E21" s="193" t="str">
        <x:f>IF(OR(B21="",B22=""),"",MOD(B22-B21,1)*24)</x:f>
      </x:c>
    </x:row>
    <x:row r="22">
      <x:c r="A22" s="173" t="str">
        <x:v>Fin real</x:v>
      </x:c>
      <x:c r="B22" s="191"/>
      <x:c r="D22" s="173" t="str">
        <x:v>Hs productivas</x:v>
      </x:c>
      <x:c r="E22" s="193" t="str">
        <x:f>IF(E21="","",MAX(0,E21-IF(B26="",0,B26/60)))</x:f>
      </x:c>
    </x:row>
    <x:row r="23">
      <x:c r="A23" s="173" t="str">
        <x:v>Cantidad real</x:v>
      </x:c>
      <x:c r="B23" s="179"/>
      <x:c r="D23" s="173" t="str">
        <x:v>Cumplimiento</x:v>
      </x:c>
      <x:c r="E23" s="269" t="str">
        <x:f>IFERROR(B23/B11,"")</x:f>
      </x:c>
    </x:row>
    <x:row r="24">
      <x:c r="A24" s="173" t="str">
        <x:v>Personal real</x:v>
      </x:c>
      <x:c r="B24" s="179"/>
      <x:c r="D24" s="173" t="str">
        <x:v>Rend. real/h</x:v>
      </x:c>
      <x:c r="E24" s="193" t="str">
        <x:f>IFERROR(B23/E22,"")</x:f>
      </x:c>
    </x:row>
    <x:row r="25">
      <x:c r="A25" s="173" t="str">
        <x:v>Equipo real</x:v>
      </x:c>
      <x:c r="B25" s="179"/>
      <x:c r="D25" s="173" t="str">
        <x:v>HH/unidad</x:v>
      </x:c>
      <x:c r="E25" s="193" t="str">
        <x:f>IFERROR((E21*B24)/B23,"")</x:f>
      </x:c>
    </x:row>
    <x:row r="26">
      <x:c r="A26" s="173" t="str">
        <x:v>Minutos perdidos</x:v>
      </x:c>
      <x:c r="B26" s="179"/>
      <x:c r="D26" s="173" t="str">
        <x:v>Utilización</x:v>
      </x:c>
      <x:c r="E26" s="269" t="str">
        <x:f>IFERROR(E22/E21,"")</x:f>
      </x:c>
    </x:row>
    <x:row r="27">
      <x:c r="A27" s="173" t="str">
        <x:v>Motivo desvío</x:v>
      </x:c>
      <x:c r="B27" s="179"/>
      <x:c r="D27" s="173" t="str">
        <x:v>Índice productividad</x:v>
      </x:c>
      <x:c r="E27" s="269" t="str">
        <x:f>IFERROR(E24/(IFERROR(VLOOKUP(VLOOKUP($B$5,'04_Registro_Tareas'!$A$5:$BA$504,14,FALSE),'Configuracion'!$D$4:$H$15,4,FALSE),0)/'Configuracion'!$B$13),"")</x:f>
      </x:c>
    </x:row>
    <x:row r="28">
      <x:c r="A28" s="173" t="str">
        <x:v>Observaciones</x:v>
      </x:c>
      <x:c r="B28" s="179"/>
      <x:c r="D28" s="173" t="str">
        <x:v>Desvío Hs</x:v>
      </x:c>
      <x:c r="E28" s="193" t="n">
        <x:f>IFERROR(E21-(MOD(B13-B12,1)*24),"")</x:f>
        <x:v>0</x:v>
      </x:c>
    </x:row>
    <x:row r="29">
      <x:c r="A29" s="173" t="str">
        <x:v>Acción correctiva</x:v>
      </x:c>
      <x:c r="B29" s="179"/>
    </x:row>
    <x:row r="30">
      <x:c r="A30" s="173" t="str">
        <x:v>Responsable acción</x:v>
      </x:c>
      <x:c r="B30" s="179"/>
    </x:row>
    <x:row r="31">
      <x:c r="A31" s="173" t="str">
        <x:v>Fecha compromiso</x:v>
      </x:c>
      <x:c r="B31" s="189"/>
    </x:row>
    <x:row r="32">
      <x:c r="A32" s="173" t="str">
        <x:v>Estado acción</x:v>
      </x:c>
      <x:c r="B32" s="179"/>
    </x:row>
    <x:row r="33">
      <x:c r="A33" s="173" t="str">
        <x:v>Foto / Referencia</x:v>
      </x:c>
      <x:c r="B33" s="179"/>
    </x:row>
    <x:row r="36">
      <x:c r="A36" s="218" t="str">
        <x:v>✓ CERRAR TAREA / OK</x:v>
      </x:c>
      <x:c r="B36" s="218"/>
      <x:c r="C36" s="218"/>
      <x:c r="D36" s="218"/>
      <x:c r="E36" s="218"/>
      <x:c r="F36" s="218"/>
    </x:row>
    <x:row r="37">
      <x:c r="A37" s="218"/>
      <x:c r="B37" s="218"/>
      <x:c r="C37" s="218"/>
      <x:c r="D37" s="218"/>
      <x:c r="E37" s="218"/>
      <x:c r="F37" s="218"/>
    </x:row>
    <x:row r="38">
      <x:c r="A38" s="218"/>
      <x:c r="B38" s="218"/>
      <x:c r="C38" s="218"/>
      <x:c r="D38" s="218"/>
      <x:c r="E38" s="218"/>
      <x:c r="F38" s="218"/>
    </x:row>
    <x:row r="40">
      <x:c r="A40" s="253" t="str">
        <x:v>El cierre debe actualizar la MISMA fila del ID seleccionado. Para automatizarlo desde tablet usar Excel Web + Office Script de la hoja 12_Script_ExcelWeb.</x:v>
      </x:c>
      <x:c r="B40" s="253"/>
      <x:c r="C40" s="253"/>
      <x:c r="D40" s="253"/>
      <x:c r="E40" s="253"/>
      <x:c r="F40" s="253"/>
    </x:row>
    <x:row r="41">
      <x:c r="A41" s="253"/>
      <x:c r="B41" s="253"/>
      <x:c r="C41" s="253"/>
      <x:c r="D41" s="253"/>
      <x:c r="E41" s="253"/>
      <x:c r="F41" s="253"/>
    </x:row>
    <x:row r="42">
      <x:c r="A42" s="253"/>
      <x:c r="B42" s="253"/>
      <x:c r="C42" s="253"/>
      <x:c r="D42" s="253"/>
      <x:c r="E42" s="253"/>
      <x:c r="F42" s="253"/>
    </x:row>
  </x:sheetData>
  <x:mergeCells>
    <x:mergeCell ref="A1:F1"/>
    <x:mergeCell ref="A2:F2"/>
    <x:mergeCell ref="A4:F4"/>
    <x:mergeCell ref="A7:F7"/>
    <x:mergeCell ref="A20:F20"/>
    <x:mergeCell ref="D20:F20"/>
    <x:mergeCell ref="A36:F38"/>
    <x:mergeCell ref="A40:F42"/>
  </x:mergeCells>
  <x:dataValidations count="5">
    <x:dataValidation type="list" sqref="B5">
      <x:formula1>INDIRECT("'02_Tareas_Abiertas'!$A$5:$A$100")</x:formula1>
    </x:dataValidation>
    <x:dataValidation type="list" sqref="B25">
      <x:formula1>INDIRECT("'98_Listas_Control'!$C$4:$C$15")</x:formula1>
    </x:dataValidation>
    <x:dataValidation type="list" sqref="B27">
      <x:formula1>INDIRECT("'98_Listas_Control'!$B$4:$B$22")</x:formula1>
    </x:dataValidation>
    <x:dataValidation type="list" sqref="B30">
      <x:formula1>INDIRECT("'98_Listas_Control'!$E$4:$E$11")</x:formula1>
    </x:dataValidation>
    <x:dataValidation type="list" sqref="B32">
      <x:formula1>INDIRECT("'98_Listas_Control'!$D$4:$D$7")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5" hidden="0" customWidth="1"/>
    <x:col min="8" max="8" width="20" hidden="0" customWidth="1"/>
  </x:cols>
  <x:sheetData>
    <x:row r="1" ht="26" customHeight="1">
      <x:c r="A1" s="120" t="str">
        <x:v>ECAR | REGISTRO DETALLADO DE PARADAS / PÉRDIDAS</x:v>
      </x:c>
      <x:c r="B1" s="120"/>
      <x:c r="C1" s="120"/>
      <x:c r="D1" s="120"/>
      <x:c r="E1" s="120"/>
      <x:c r="F1" s="120"/>
      <x:c r="G1" s="120"/>
      <x:c r="H1" s="120"/>
    </x:row>
    <x:row r="2">
      <x:c r="A2" s="128" t="str">
        <x:v>Opcional: usar cuando una tarea tiene más de una causa de parada. Permite Pareto de pérdidas sin culpar incorrectamente a la cuadrilla.</x:v>
      </x:c>
      <x:c r="B2" s="128"/>
      <x:c r="C2" s="128"/>
      <x:c r="D2" s="128"/>
      <x:c r="E2" s="128"/>
      <x:c r="F2" s="128"/>
      <x:c r="G2" s="128"/>
      <x:c r="H2" s="128"/>
    </x:row>
    <x:row r="4">
      <x:c r="A4" s="125" t="str">
        <x:v>ID Tarea</x:v>
      </x:c>
      <x:c r="B4" s="125" t="str">
        <x:v>Fecha</x:v>
      </x:c>
      <x:c r="C4" s="125" t="str">
        <x:v>Hora inicio</x:v>
      </x:c>
      <x:c r="D4" s="125" t="str">
        <x:v>Hora fin</x:v>
      </x:c>
      <x:c r="E4" s="125" t="str">
        <x:v>Minutos</x:v>
      </x:c>
      <x:c r="F4" s="125" t="str">
        <x:v>Causa</x:v>
      </x:c>
      <x:c r="G4" s="125" t="str">
        <x:v>Observación</x:v>
      </x:c>
      <x:c r="H4" s="125" t="str">
        <x:v>Responsable / Área</x:v>
      </x:c>
    </x:row>
    <x:row r="5">
      <x:c r="A5" s="139"/>
      <x:c r="B5" s="141"/>
      <x:c r="C5" s="143"/>
      <x:c r="D5" s="143"/>
      <x:c r="E5" s="271" t="str">
        <x:f>IF(OR(C5="",D5=""),"",MOD(D5-C5,1)*24*60)</x:f>
      </x:c>
      <x:c r="F5" s="139"/>
      <x:c r="G5" s="139"/>
      <x:c r="H5" s="139"/>
    </x:row>
    <x:row r="6">
      <x:c r="A6" s="139"/>
      <x:c r="B6" s="141"/>
      <x:c r="C6" s="143"/>
      <x:c r="D6" s="143"/>
      <x:c r="E6" s="271" t="str">
        <x:f>IF(OR(C6="",D6=""),"",MOD(D6-C6,1)*24*60)</x:f>
      </x:c>
      <x:c r="F6" s="139"/>
      <x:c r="G6" s="139"/>
      <x:c r="H6" s="139"/>
    </x:row>
    <x:row r="7">
      <x:c r="A7" s="139"/>
      <x:c r="B7" s="141"/>
      <x:c r="C7" s="143"/>
      <x:c r="D7" s="143"/>
      <x:c r="E7" s="271" t="str">
        <x:f>IF(OR(C7="",D7=""),"",MOD(D7-C7,1)*24*60)</x:f>
      </x:c>
      <x:c r="F7" s="139"/>
      <x:c r="G7" s="139"/>
      <x:c r="H7" s="139"/>
    </x:row>
    <x:row r="8">
      <x:c r="A8" s="139"/>
      <x:c r="B8" s="141"/>
      <x:c r="C8" s="143"/>
      <x:c r="D8" s="143"/>
      <x:c r="E8" s="271" t="str">
        <x:f>IF(OR(C8="",D8=""),"",MOD(D8-C8,1)*24*60)</x:f>
      </x:c>
      <x:c r="F8" s="139"/>
      <x:c r="G8" s="139"/>
      <x:c r="H8" s="139"/>
    </x:row>
    <x:row r="9">
      <x:c r="A9" s="139"/>
      <x:c r="B9" s="141"/>
      <x:c r="C9" s="143"/>
      <x:c r="D9" s="143"/>
      <x:c r="E9" s="271" t="str">
        <x:f>IF(OR(C9="",D9=""),"",MOD(D9-C9,1)*24*60)</x:f>
      </x:c>
      <x:c r="F9" s="139"/>
      <x:c r="G9" s="139"/>
      <x:c r="H9" s="139"/>
    </x:row>
    <x:row r="10">
      <x:c r="A10" s="139"/>
      <x:c r="B10" s="141"/>
      <x:c r="C10" s="143"/>
      <x:c r="D10" s="143"/>
      <x:c r="E10" s="271" t="str">
        <x:f>IF(OR(C10="",D10=""),"",MOD(D10-C10,1)*24*60)</x:f>
      </x:c>
      <x:c r="F10" s="139"/>
      <x:c r="G10" s="139"/>
      <x:c r="H10" s="139"/>
    </x:row>
    <x:row r="11">
      <x:c r="A11" s="139"/>
      <x:c r="B11" s="141"/>
      <x:c r="C11" s="143"/>
      <x:c r="D11" s="143"/>
      <x:c r="E11" s="271" t="str">
        <x:f>IF(OR(C11="",D11=""),"",MOD(D11-C11,1)*24*60)</x:f>
      </x:c>
      <x:c r="F11" s="139"/>
      <x:c r="G11" s="139"/>
      <x:c r="H11" s="139"/>
    </x:row>
    <x:row r="12">
      <x:c r="A12" s="139"/>
      <x:c r="B12" s="141"/>
      <x:c r="C12" s="143"/>
      <x:c r="D12" s="143"/>
      <x:c r="E12" s="271" t="str">
        <x:f>IF(OR(C12="",D12=""),"",MOD(D12-C12,1)*24*60)</x:f>
      </x:c>
      <x:c r="F12" s="139"/>
      <x:c r="G12" s="139"/>
      <x:c r="H12" s="139"/>
    </x:row>
    <x:row r="13">
      <x:c r="A13" s="139"/>
      <x:c r="B13" s="141"/>
      <x:c r="C13" s="143"/>
      <x:c r="D13" s="143"/>
      <x:c r="E13" s="271" t="str">
        <x:f>IF(OR(C13="",D13=""),"",MOD(D13-C13,1)*24*60)</x:f>
      </x:c>
      <x:c r="F13" s="139"/>
      <x:c r="G13" s="139"/>
      <x:c r="H13" s="139"/>
    </x:row>
    <x:row r="14">
      <x:c r="A14" s="139"/>
      <x:c r="B14" s="141"/>
      <x:c r="C14" s="143"/>
      <x:c r="D14" s="143"/>
      <x:c r="E14" s="271" t="str">
        <x:f>IF(OR(C14="",D14=""),"",MOD(D14-C14,1)*24*60)</x:f>
      </x:c>
      <x:c r="F14" s="139"/>
      <x:c r="G14" s="139"/>
      <x:c r="H14" s="139"/>
    </x:row>
    <x:row r="15">
      <x:c r="A15" s="139"/>
      <x:c r="B15" s="141"/>
      <x:c r="C15" s="143"/>
      <x:c r="D15" s="143"/>
      <x:c r="E15" s="271" t="str">
        <x:f>IF(OR(C15="",D15=""),"",MOD(D15-C15,1)*24*60)</x:f>
      </x:c>
      <x:c r="F15" s="139"/>
      <x:c r="G15" s="139"/>
      <x:c r="H15" s="139"/>
    </x:row>
    <x:row r="16">
      <x:c r="A16" s="139"/>
      <x:c r="B16" s="141"/>
      <x:c r="C16" s="143"/>
      <x:c r="D16" s="143"/>
      <x:c r="E16" s="271" t="str">
        <x:f>IF(OR(C16="",D16=""),"",MOD(D16-C16,1)*24*60)</x:f>
      </x:c>
      <x:c r="F16" s="139"/>
      <x:c r="G16" s="139"/>
      <x:c r="H16" s="139"/>
    </x:row>
    <x:row r="17">
      <x:c r="A17" s="139"/>
      <x:c r="B17" s="141"/>
      <x:c r="C17" s="143"/>
      <x:c r="D17" s="143"/>
      <x:c r="E17" s="271" t="str">
        <x:f>IF(OR(C17="",D17=""),"",MOD(D17-C17,1)*24*60)</x:f>
      </x:c>
      <x:c r="F17" s="139"/>
      <x:c r="G17" s="139"/>
      <x:c r="H17" s="139"/>
    </x:row>
    <x:row r="18">
      <x:c r="A18" s="139"/>
      <x:c r="B18" s="141"/>
      <x:c r="C18" s="143"/>
      <x:c r="D18" s="143"/>
      <x:c r="E18" s="271" t="str">
        <x:f>IF(OR(C18="",D18=""),"",MOD(D18-C18,1)*24*60)</x:f>
      </x:c>
      <x:c r="F18" s="139"/>
      <x:c r="G18" s="139"/>
      <x:c r="H18" s="139"/>
    </x:row>
    <x:row r="19">
      <x:c r="A19" s="139"/>
      <x:c r="B19" s="141"/>
      <x:c r="C19" s="143"/>
      <x:c r="D19" s="143"/>
      <x:c r="E19" s="271" t="str">
        <x:f>IF(OR(C19="",D19=""),"",MOD(D19-C19,1)*24*60)</x:f>
      </x:c>
      <x:c r="F19" s="139"/>
      <x:c r="G19" s="139"/>
      <x:c r="H19" s="139"/>
    </x:row>
    <x:row r="20">
      <x:c r="A20" s="139"/>
      <x:c r="B20" s="141"/>
      <x:c r="C20" s="143"/>
      <x:c r="D20" s="143"/>
      <x:c r="E20" s="271" t="str">
        <x:f>IF(OR(C20="",D20=""),"",MOD(D20-C20,1)*24*60)</x:f>
      </x:c>
      <x:c r="F20" s="139"/>
      <x:c r="G20" s="139"/>
      <x:c r="H20" s="139"/>
    </x:row>
    <x:row r="21">
      <x:c r="A21" s="139"/>
      <x:c r="B21" s="141"/>
      <x:c r="C21" s="143"/>
      <x:c r="D21" s="143"/>
      <x:c r="E21" s="271" t="str">
        <x:f>IF(OR(C21="",D21=""),"",MOD(D21-C21,1)*24*60)</x:f>
      </x:c>
      <x:c r="F21" s="139"/>
      <x:c r="G21" s="139"/>
      <x:c r="H21" s="139"/>
    </x:row>
    <x:row r="22">
      <x:c r="A22" s="139"/>
      <x:c r="B22" s="141"/>
      <x:c r="C22" s="143"/>
      <x:c r="D22" s="143"/>
      <x:c r="E22" s="271" t="str">
        <x:f>IF(OR(C22="",D22=""),"",MOD(D22-C22,1)*24*60)</x:f>
      </x:c>
      <x:c r="F22" s="139"/>
      <x:c r="G22" s="139"/>
      <x:c r="H22" s="139"/>
    </x:row>
    <x:row r="23">
      <x:c r="A23" s="139"/>
      <x:c r="B23" s="141"/>
      <x:c r="C23" s="143"/>
      <x:c r="D23" s="143"/>
      <x:c r="E23" s="271" t="str">
        <x:f>IF(OR(C23="",D23=""),"",MOD(D23-C23,1)*24*60)</x:f>
      </x:c>
      <x:c r="F23" s="139"/>
      <x:c r="G23" s="139"/>
      <x:c r="H23" s="139"/>
    </x:row>
    <x:row r="24">
      <x:c r="A24" s="139"/>
      <x:c r="B24" s="141"/>
      <x:c r="C24" s="143"/>
      <x:c r="D24" s="143"/>
      <x:c r="E24" s="271" t="str">
        <x:f>IF(OR(C24="",D24=""),"",MOD(D24-C24,1)*24*60)</x:f>
      </x:c>
      <x:c r="F24" s="139"/>
      <x:c r="G24" s="139"/>
      <x:c r="H24" s="139"/>
    </x:row>
    <x:row r="25">
      <x:c r="A25" s="139"/>
      <x:c r="B25" s="141"/>
      <x:c r="C25" s="143"/>
      <x:c r="D25" s="143"/>
      <x:c r="E25" s="271" t="str">
        <x:f>IF(OR(C25="",D25=""),"",MOD(D25-C25,1)*24*60)</x:f>
      </x:c>
      <x:c r="F25" s="139"/>
      <x:c r="G25" s="139"/>
      <x:c r="H25" s="139"/>
    </x:row>
    <x:row r="26">
      <x:c r="A26" s="139"/>
      <x:c r="B26" s="141"/>
      <x:c r="C26" s="143"/>
      <x:c r="D26" s="143"/>
      <x:c r="E26" s="271" t="str">
        <x:f>IF(OR(C26="",D26=""),"",MOD(D26-C26,1)*24*60)</x:f>
      </x:c>
      <x:c r="F26" s="139"/>
      <x:c r="G26" s="139"/>
      <x:c r="H26" s="139"/>
    </x:row>
    <x:row r="27">
      <x:c r="A27" s="139"/>
      <x:c r="B27" s="141"/>
      <x:c r="C27" s="143"/>
      <x:c r="D27" s="143"/>
      <x:c r="E27" s="271" t="str">
        <x:f>IF(OR(C27="",D27=""),"",MOD(D27-C27,1)*24*60)</x:f>
      </x:c>
      <x:c r="F27" s="139"/>
      <x:c r="G27" s="139"/>
      <x:c r="H27" s="139"/>
    </x:row>
    <x:row r="28">
      <x:c r="A28" s="139"/>
      <x:c r="B28" s="141"/>
      <x:c r="C28" s="143"/>
      <x:c r="D28" s="143"/>
      <x:c r="E28" s="271" t="str">
        <x:f>IF(OR(C28="",D28=""),"",MOD(D28-C28,1)*24*60)</x:f>
      </x:c>
      <x:c r="F28" s="139"/>
      <x:c r="G28" s="139"/>
      <x:c r="H28" s="139"/>
    </x:row>
    <x:row r="29">
      <x:c r="A29" s="139"/>
      <x:c r="B29" s="141"/>
      <x:c r="C29" s="143"/>
      <x:c r="D29" s="143"/>
      <x:c r="E29" s="271" t="str">
        <x:f>IF(OR(C29="",D29=""),"",MOD(D29-C29,1)*24*60)</x:f>
      </x:c>
      <x:c r="F29" s="139"/>
      <x:c r="G29" s="139"/>
      <x:c r="H29" s="139"/>
    </x:row>
    <x:row r="30">
      <x:c r="A30" s="139"/>
      <x:c r="B30" s="141"/>
      <x:c r="C30" s="143"/>
      <x:c r="D30" s="143"/>
      <x:c r="E30" s="271" t="str">
        <x:f>IF(OR(C30="",D30=""),"",MOD(D30-C30,1)*24*60)</x:f>
      </x:c>
      <x:c r="F30" s="139"/>
      <x:c r="G30" s="139"/>
      <x:c r="H30" s="139"/>
    </x:row>
    <x:row r="31">
      <x:c r="A31" s="139"/>
      <x:c r="B31" s="141"/>
      <x:c r="C31" s="143"/>
      <x:c r="D31" s="143"/>
      <x:c r="E31" s="271" t="str">
        <x:f>IF(OR(C31="",D31=""),"",MOD(D31-C31,1)*24*60)</x:f>
      </x:c>
      <x:c r="F31" s="139"/>
      <x:c r="G31" s="139"/>
      <x:c r="H31" s="139"/>
    </x:row>
    <x:row r="32">
      <x:c r="A32" s="139"/>
      <x:c r="B32" s="141"/>
      <x:c r="C32" s="143"/>
      <x:c r="D32" s="143"/>
      <x:c r="E32" s="271" t="str">
        <x:f>IF(OR(C32="",D32=""),"",MOD(D32-C32,1)*24*60)</x:f>
      </x:c>
      <x:c r="F32" s="139"/>
      <x:c r="G32" s="139"/>
      <x:c r="H32" s="139"/>
    </x:row>
    <x:row r="33">
      <x:c r="A33" s="139"/>
      <x:c r="B33" s="141"/>
      <x:c r="C33" s="143"/>
      <x:c r="D33" s="143"/>
      <x:c r="E33" s="271" t="str">
        <x:f>IF(OR(C33="",D33=""),"",MOD(D33-C33,1)*24*60)</x:f>
      </x:c>
      <x:c r="F33" s="139"/>
      <x:c r="G33" s="139"/>
      <x:c r="H33" s="139"/>
    </x:row>
    <x:row r="34">
      <x:c r="A34" s="139"/>
      <x:c r="B34" s="141"/>
      <x:c r="C34" s="143"/>
      <x:c r="D34" s="143"/>
      <x:c r="E34" s="271" t="str">
        <x:f>IF(OR(C34="",D34=""),"",MOD(D34-C34,1)*24*60)</x:f>
      </x:c>
      <x:c r="F34" s="139"/>
      <x:c r="G34" s="139"/>
      <x:c r="H34" s="139"/>
    </x:row>
    <x:row r="35">
      <x:c r="A35" s="139"/>
      <x:c r="B35" s="141"/>
      <x:c r="C35" s="143"/>
      <x:c r="D35" s="143"/>
      <x:c r="E35" s="271" t="str">
        <x:f>IF(OR(C35="",D35=""),"",MOD(D35-C35,1)*24*60)</x:f>
      </x:c>
      <x:c r="F35" s="139"/>
      <x:c r="G35" s="139"/>
      <x:c r="H35" s="139"/>
    </x:row>
    <x:row r="36">
      <x:c r="A36" s="139"/>
      <x:c r="B36" s="141"/>
      <x:c r="C36" s="143"/>
      <x:c r="D36" s="143"/>
      <x:c r="E36" s="271" t="str">
        <x:f>IF(OR(C36="",D36=""),"",MOD(D36-C36,1)*24*60)</x:f>
      </x:c>
      <x:c r="F36" s="139"/>
      <x:c r="G36" s="139"/>
      <x:c r="H36" s="139"/>
    </x:row>
    <x:row r="37">
      <x:c r="A37" s="139"/>
      <x:c r="B37" s="141"/>
      <x:c r="C37" s="143"/>
      <x:c r="D37" s="143"/>
      <x:c r="E37" s="271" t="str">
        <x:f>IF(OR(C37="",D37=""),"",MOD(D37-C37,1)*24*60)</x:f>
      </x:c>
      <x:c r="F37" s="139"/>
      <x:c r="G37" s="139"/>
      <x:c r="H37" s="139"/>
    </x:row>
    <x:row r="38">
      <x:c r="A38" s="139"/>
      <x:c r="B38" s="141"/>
      <x:c r="C38" s="143"/>
      <x:c r="D38" s="143"/>
      <x:c r="E38" s="271" t="str">
        <x:f>IF(OR(C38="",D38=""),"",MOD(D38-C38,1)*24*60)</x:f>
      </x:c>
      <x:c r="F38" s="139"/>
      <x:c r="G38" s="139"/>
      <x:c r="H38" s="139"/>
    </x:row>
    <x:row r="39">
      <x:c r="A39" s="139"/>
      <x:c r="B39" s="141"/>
      <x:c r="C39" s="143"/>
      <x:c r="D39" s="143"/>
      <x:c r="E39" s="271" t="str">
        <x:f>IF(OR(C39="",D39=""),"",MOD(D39-C39,1)*24*60)</x:f>
      </x:c>
      <x:c r="F39" s="139"/>
      <x:c r="G39" s="139"/>
      <x:c r="H39" s="139"/>
    </x:row>
    <x:row r="40">
      <x:c r="A40" s="139"/>
      <x:c r="B40" s="141"/>
      <x:c r="C40" s="143"/>
      <x:c r="D40" s="143"/>
      <x:c r="E40" s="271" t="str">
        <x:f>IF(OR(C40="",D40=""),"",MOD(D40-C40,1)*24*60)</x:f>
      </x:c>
      <x:c r="F40" s="139"/>
      <x:c r="G40" s="139"/>
      <x:c r="H40" s="139"/>
    </x:row>
    <x:row r="41">
      <x:c r="A41" s="139"/>
      <x:c r="B41" s="141"/>
      <x:c r="C41" s="143"/>
      <x:c r="D41" s="143"/>
      <x:c r="E41" s="271" t="str">
        <x:f>IF(OR(C41="",D41=""),"",MOD(D41-C41,1)*24*60)</x:f>
      </x:c>
      <x:c r="F41" s="139"/>
      <x:c r="G41" s="139"/>
      <x:c r="H41" s="139"/>
    </x:row>
    <x:row r="42">
      <x:c r="A42" s="139"/>
      <x:c r="B42" s="141"/>
      <x:c r="C42" s="143"/>
      <x:c r="D42" s="143"/>
      <x:c r="E42" s="271" t="str">
        <x:f>IF(OR(C42="",D42=""),"",MOD(D42-C42,1)*24*60)</x:f>
      </x:c>
      <x:c r="F42" s="139"/>
      <x:c r="G42" s="139"/>
      <x:c r="H42" s="139"/>
    </x:row>
    <x:row r="43">
      <x:c r="A43" s="139"/>
      <x:c r="B43" s="141"/>
      <x:c r="C43" s="143"/>
      <x:c r="D43" s="143"/>
      <x:c r="E43" s="271" t="str">
        <x:f>IF(OR(C43="",D43=""),"",MOD(D43-C43,1)*24*60)</x:f>
      </x:c>
      <x:c r="F43" s="139"/>
      <x:c r="G43" s="139"/>
      <x:c r="H43" s="139"/>
    </x:row>
    <x:row r="44">
      <x:c r="A44" s="139"/>
      <x:c r="B44" s="141"/>
      <x:c r="C44" s="143"/>
      <x:c r="D44" s="143"/>
      <x:c r="E44" s="271" t="str">
        <x:f>IF(OR(C44="",D44=""),"",MOD(D44-C44,1)*24*60)</x:f>
      </x:c>
      <x:c r="F44" s="139"/>
      <x:c r="G44" s="139"/>
      <x:c r="H44" s="139"/>
    </x:row>
    <x:row r="45">
      <x:c r="A45" s="139"/>
      <x:c r="B45" s="141"/>
      <x:c r="C45" s="143"/>
      <x:c r="D45" s="143"/>
      <x:c r="E45" s="271" t="str">
        <x:f>IF(OR(C45="",D45=""),"",MOD(D45-C45,1)*24*60)</x:f>
      </x:c>
      <x:c r="F45" s="139"/>
      <x:c r="G45" s="139"/>
      <x:c r="H45" s="139"/>
    </x:row>
    <x:row r="46">
      <x:c r="A46" s="139"/>
      <x:c r="B46" s="141"/>
      <x:c r="C46" s="143"/>
      <x:c r="D46" s="143"/>
      <x:c r="E46" s="271" t="str">
        <x:f>IF(OR(C46="",D46=""),"",MOD(D46-C46,1)*24*60)</x:f>
      </x:c>
      <x:c r="F46" s="139"/>
      <x:c r="G46" s="139"/>
      <x:c r="H46" s="139"/>
    </x:row>
    <x:row r="47">
      <x:c r="A47" s="139"/>
      <x:c r="B47" s="141"/>
      <x:c r="C47" s="143"/>
      <x:c r="D47" s="143"/>
      <x:c r="E47" s="271" t="str">
        <x:f>IF(OR(C47="",D47=""),"",MOD(D47-C47,1)*24*60)</x:f>
      </x:c>
      <x:c r="F47" s="139"/>
      <x:c r="G47" s="139"/>
      <x:c r="H47" s="139"/>
    </x:row>
    <x:row r="48">
      <x:c r="A48" s="139"/>
      <x:c r="B48" s="141"/>
      <x:c r="C48" s="143"/>
      <x:c r="D48" s="143"/>
      <x:c r="E48" s="271" t="str">
        <x:f>IF(OR(C48="",D48=""),"",MOD(D48-C48,1)*24*60)</x:f>
      </x:c>
      <x:c r="F48" s="139"/>
      <x:c r="G48" s="139"/>
      <x:c r="H48" s="139"/>
    </x:row>
    <x:row r="49">
      <x:c r="A49" s="139"/>
      <x:c r="B49" s="141"/>
      <x:c r="C49" s="143"/>
      <x:c r="D49" s="143"/>
      <x:c r="E49" s="271" t="str">
        <x:f>IF(OR(C49="",D49=""),"",MOD(D49-C49,1)*24*60)</x:f>
      </x:c>
      <x:c r="F49" s="139"/>
      <x:c r="G49" s="139"/>
      <x:c r="H49" s="139"/>
    </x:row>
    <x:row r="50">
      <x:c r="A50" s="139"/>
      <x:c r="B50" s="141"/>
      <x:c r="C50" s="143"/>
      <x:c r="D50" s="143"/>
      <x:c r="E50" s="271" t="str">
        <x:f>IF(OR(C50="",D50=""),"",MOD(D50-C50,1)*24*60)</x:f>
      </x:c>
      <x:c r="F50" s="139"/>
      <x:c r="G50" s="139"/>
      <x:c r="H50" s="139"/>
    </x:row>
    <x:row r="51">
      <x:c r="A51" s="139"/>
      <x:c r="B51" s="141"/>
      <x:c r="C51" s="143"/>
      <x:c r="D51" s="143"/>
      <x:c r="E51" s="271" t="str">
        <x:f>IF(OR(C51="",D51=""),"",MOD(D51-C51,1)*24*60)</x:f>
      </x:c>
      <x:c r="F51" s="139"/>
      <x:c r="G51" s="139"/>
      <x:c r="H51" s="139"/>
    </x:row>
    <x:row r="52">
      <x:c r="A52" s="139"/>
      <x:c r="B52" s="141"/>
      <x:c r="C52" s="143"/>
      <x:c r="D52" s="143"/>
      <x:c r="E52" s="271" t="str">
        <x:f>IF(OR(C52="",D52=""),"",MOD(D52-C52,1)*24*60)</x:f>
      </x:c>
      <x:c r="F52" s="139"/>
      <x:c r="G52" s="139"/>
      <x:c r="H52" s="139"/>
    </x:row>
    <x:row r="53">
      <x:c r="A53" s="139"/>
      <x:c r="B53" s="141"/>
      <x:c r="C53" s="143"/>
      <x:c r="D53" s="143"/>
      <x:c r="E53" s="271" t="str">
        <x:f>IF(OR(C53="",D53=""),"",MOD(D53-C53,1)*24*60)</x:f>
      </x:c>
      <x:c r="F53" s="139"/>
      <x:c r="G53" s="139"/>
      <x:c r="H53" s="139"/>
    </x:row>
    <x:row r="54">
      <x:c r="A54" s="139"/>
      <x:c r="B54" s="141"/>
      <x:c r="C54" s="143"/>
      <x:c r="D54" s="143"/>
      <x:c r="E54" s="271" t="str">
        <x:f>IF(OR(C54="",D54=""),"",MOD(D54-C54,1)*24*60)</x:f>
      </x:c>
      <x:c r="F54" s="139"/>
      <x:c r="G54" s="139"/>
      <x:c r="H54" s="139"/>
    </x:row>
    <x:row r="55">
      <x:c r="A55" s="139"/>
      <x:c r="B55" s="141"/>
      <x:c r="C55" s="143"/>
      <x:c r="D55" s="143"/>
      <x:c r="E55" s="271" t="str">
        <x:f>IF(OR(C55="",D55=""),"",MOD(D55-C55,1)*24*60)</x:f>
      </x:c>
      <x:c r="F55" s="139"/>
      <x:c r="G55" s="139"/>
      <x:c r="H55" s="139"/>
    </x:row>
    <x:row r="56">
      <x:c r="A56" s="139"/>
      <x:c r="B56" s="141"/>
      <x:c r="C56" s="143"/>
      <x:c r="D56" s="143"/>
      <x:c r="E56" s="271" t="str">
        <x:f>IF(OR(C56="",D56=""),"",MOD(D56-C56,1)*24*60)</x:f>
      </x:c>
      <x:c r="F56" s="139"/>
      <x:c r="G56" s="139"/>
      <x:c r="H56" s="139"/>
    </x:row>
    <x:row r="57">
      <x:c r="A57" s="139"/>
      <x:c r="B57" s="141"/>
      <x:c r="C57" s="143"/>
      <x:c r="D57" s="143"/>
      <x:c r="E57" s="271" t="str">
        <x:f>IF(OR(C57="",D57=""),"",MOD(D57-C57,1)*24*60)</x:f>
      </x:c>
      <x:c r="F57" s="139"/>
      <x:c r="G57" s="139"/>
      <x:c r="H57" s="139"/>
    </x:row>
    <x:row r="58">
      <x:c r="A58" s="139"/>
      <x:c r="B58" s="141"/>
      <x:c r="C58" s="143"/>
      <x:c r="D58" s="143"/>
      <x:c r="E58" s="271" t="str">
        <x:f>IF(OR(C58="",D58=""),"",MOD(D58-C58,1)*24*60)</x:f>
      </x:c>
      <x:c r="F58" s="139"/>
      <x:c r="G58" s="139"/>
      <x:c r="H58" s="139"/>
    </x:row>
    <x:row r="59">
      <x:c r="A59" s="139"/>
      <x:c r="B59" s="141"/>
      <x:c r="C59" s="143"/>
      <x:c r="D59" s="143"/>
      <x:c r="E59" s="271" t="str">
        <x:f>IF(OR(C59="",D59=""),"",MOD(D59-C59,1)*24*60)</x:f>
      </x:c>
      <x:c r="F59" s="139"/>
      <x:c r="G59" s="139"/>
      <x:c r="H59" s="139"/>
    </x:row>
    <x:row r="60">
      <x:c r="A60" s="139"/>
      <x:c r="B60" s="141"/>
      <x:c r="C60" s="143"/>
      <x:c r="D60" s="143"/>
      <x:c r="E60" s="271" t="str">
        <x:f>IF(OR(C60="",D60=""),"",MOD(D60-C60,1)*24*60)</x:f>
      </x:c>
      <x:c r="F60" s="139"/>
      <x:c r="G60" s="139"/>
      <x:c r="H60" s="139"/>
    </x:row>
    <x:row r="61">
      <x:c r="A61" s="139"/>
      <x:c r="B61" s="141"/>
      <x:c r="C61" s="143"/>
      <x:c r="D61" s="143"/>
      <x:c r="E61" s="271" t="str">
        <x:f>IF(OR(C61="",D61=""),"",MOD(D61-C61,1)*24*60)</x:f>
      </x:c>
      <x:c r="F61" s="139"/>
      <x:c r="G61" s="139"/>
      <x:c r="H61" s="139"/>
    </x:row>
    <x:row r="62">
      <x:c r="A62" s="139"/>
      <x:c r="B62" s="141"/>
      <x:c r="C62" s="143"/>
      <x:c r="D62" s="143"/>
      <x:c r="E62" s="271" t="str">
        <x:f>IF(OR(C62="",D62=""),"",MOD(D62-C62,1)*24*60)</x:f>
      </x:c>
      <x:c r="F62" s="139"/>
      <x:c r="G62" s="139"/>
      <x:c r="H62" s="139"/>
    </x:row>
    <x:row r="63">
      <x:c r="A63" s="139"/>
      <x:c r="B63" s="141"/>
      <x:c r="C63" s="143"/>
      <x:c r="D63" s="143"/>
      <x:c r="E63" s="271" t="str">
        <x:f>IF(OR(C63="",D63=""),"",MOD(D63-C63,1)*24*60)</x:f>
      </x:c>
      <x:c r="F63" s="139"/>
      <x:c r="G63" s="139"/>
      <x:c r="H63" s="139"/>
    </x:row>
    <x:row r="64">
      <x:c r="A64" s="139"/>
      <x:c r="B64" s="141"/>
      <x:c r="C64" s="143"/>
      <x:c r="D64" s="143"/>
      <x:c r="E64" s="271" t="str">
        <x:f>IF(OR(C64="",D64=""),"",MOD(D64-C64,1)*24*60)</x:f>
      </x:c>
      <x:c r="F64" s="139"/>
      <x:c r="G64" s="139"/>
      <x:c r="H64" s="139"/>
    </x:row>
    <x:row r="65">
      <x:c r="A65" s="139"/>
      <x:c r="B65" s="141"/>
      <x:c r="C65" s="143"/>
      <x:c r="D65" s="143"/>
      <x:c r="E65" s="271" t="str">
        <x:f>IF(OR(C65="",D65=""),"",MOD(D65-C65,1)*24*60)</x:f>
      </x:c>
      <x:c r="F65" s="139"/>
      <x:c r="G65" s="139"/>
      <x:c r="H65" s="139"/>
    </x:row>
    <x:row r="66">
      <x:c r="A66" s="139"/>
      <x:c r="B66" s="141"/>
      <x:c r="C66" s="143"/>
      <x:c r="D66" s="143"/>
      <x:c r="E66" s="271" t="str">
        <x:f>IF(OR(C66="",D66=""),"",MOD(D66-C66,1)*24*60)</x:f>
      </x:c>
      <x:c r="F66" s="139"/>
      <x:c r="G66" s="139"/>
      <x:c r="H66" s="139"/>
    </x:row>
    <x:row r="67">
      <x:c r="A67" s="139"/>
      <x:c r="B67" s="141"/>
      <x:c r="C67" s="143"/>
      <x:c r="D67" s="143"/>
      <x:c r="E67" s="271" t="str">
        <x:f>IF(OR(C67="",D67=""),"",MOD(D67-C67,1)*24*60)</x:f>
      </x:c>
      <x:c r="F67" s="139"/>
      <x:c r="G67" s="139"/>
      <x:c r="H67" s="139"/>
    </x:row>
    <x:row r="68">
      <x:c r="A68" s="139"/>
      <x:c r="B68" s="141"/>
      <x:c r="C68" s="143"/>
      <x:c r="D68" s="143"/>
      <x:c r="E68" s="271" t="str">
        <x:f>IF(OR(C68="",D68=""),"",MOD(D68-C68,1)*24*60)</x:f>
      </x:c>
      <x:c r="F68" s="139"/>
      <x:c r="G68" s="139"/>
      <x:c r="H68" s="139"/>
    </x:row>
    <x:row r="69">
      <x:c r="A69" s="139"/>
      <x:c r="B69" s="141"/>
      <x:c r="C69" s="143"/>
      <x:c r="D69" s="143"/>
      <x:c r="E69" s="271" t="str">
        <x:f>IF(OR(C69="",D69=""),"",MOD(D69-C69,1)*24*60)</x:f>
      </x:c>
      <x:c r="F69" s="139"/>
      <x:c r="G69" s="139"/>
      <x:c r="H69" s="139"/>
    </x:row>
    <x:row r="70">
      <x:c r="A70" s="139"/>
      <x:c r="B70" s="141"/>
      <x:c r="C70" s="143"/>
      <x:c r="D70" s="143"/>
      <x:c r="E70" s="271" t="str">
        <x:f>IF(OR(C70="",D70=""),"",MOD(D70-C70,1)*24*60)</x:f>
      </x:c>
      <x:c r="F70" s="139"/>
      <x:c r="G70" s="139"/>
      <x:c r="H70" s="139"/>
    </x:row>
    <x:row r="71">
      <x:c r="A71" s="139"/>
      <x:c r="B71" s="141"/>
      <x:c r="C71" s="143"/>
      <x:c r="D71" s="143"/>
      <x:c r="E71" s="271" t="str">
        <x:f>IF(OR(C71="",D71=""),"",MOD(D71-C71,1)*24*60)</x:f>
      </x:c>
      <x:c r="F71" s="139"/>
      <x:c r="G71" s="139"/>
      <x:c r="H71" s="139"/>
    </x:row>
    <x:row r="72">
      <x:c r="A72" s="139"/>
      <x:c r="B72" s="141"/>
      <x:c r="C72" s="143"/>
      <x:c r="D72" s="143"/>
      <x:c r="E72" s="271" t="str">
        <x:f>IF(OR(C72="",D72=""),"",MOD(D72-C72,1)*24*60)</x:f>
      </x:c>
      <x:c r="F72" s="139"/>
      <x:c r="G72" s="139"/>
      <x:c r="H72" s="139"/>
    </x:row>
    <x:row r="73">
      <x:c r="A73" s="139"/>
      <x:c r="B73" s="141"/>
      <x:c r="C73" s="143"/>
      <x:c r="D73" s="143"/>
      <x:c r="E73" s="271" t="str">
        <x:f>IF(OR(C73="",D73=""),"",MOD(D73-C73,1)*24*60)</x:f>
      </x:c>
      <x:c r="F73" s="139"/>
      <x:c r="G73" s="139"/>
      <x:c r="H73" s="139"/>
    </x:row>
    <x:row r="74">
      <x:c r="A74" s="139"/>
      <x:c r="B74" s="141"/>
      <x:c r="C74" s="143"/>
      <x:c r="D74" s="143"/>
      <x:c r="E74" s="271" t="str">
        <x:f>IF(OR(C74="",D74=""),"",MOD(D74-C74,1)*24*60)</x:f>
      </x:c>
      <x:c r="F74" s="139"/>
      <x:c r="G74" s="139"/>
      <x:c r="H74" s="139"/>
    </x:row>
    <x:row r="75">
      <x:c r="A75" s="139"/>
      <x:c r="B75" s="141"/>
      <x:c r="C75" s="143"/>
      <x:c r="D75" s="143"/>
      <x:c r="E75" s="271" t="str">
        <x:f>IF(OR(C75="",D75=""),"",MOD(D75-C75,1)*24*60)</x:f>
      </x:c>
      <x:c r="F75" s="139"/>
      <x:c r="G75" s="139"/>
      <x:c r="H75" s="139"/>
    </x:row>
    <x:row r="76">
      <x:c r="A76" s="139"/>
      <x:c r="B76" s="141"/>
      <x:c r="C76" s="143"/>
      <x:c r="D76" s="143"/>
      <x:c r="E76" s="271" t="str">
        <x:f>IF(OR(C76="",D76=""),"",MOD(D76-C76,1)*24*60)</x:f>
      </x:c>
      <x:c r="F76" s="139"/>
      <x:c r="G76" s="139"/>
      <x:c r="H76" s="139"/>
    </x:row>
    <x:row r="77">
      <x:c r="A77" s="139"/>
      <x:c r="B77" s="141"/>
      <x:c r="C77" s="143"/>
      <x:c r="D77" s="143"/>
      <x:c r="E77" s="271" t="str">
        <x:f>IF(OR(C77="",D77=""),"",MOD(D77-C77,1)*24*60)</x:f>
      </x:c>
      <x:c r="F77" s="139"/>
      <x:c r="G77" s="139"/>
      <x:c r="H77" s="139"/>
    </x:row>
    <x:row r="78">
      <x:c r="A78" s="139"/>
      <x:c r="B78" s="141"/>
      <x:c r="C78" s="143"/>
      <x:c r="D78" s="143"/>
      <x:c r="E78" s="271" t="str">
        <x:f>IF(OR(C78="",D78=""),"",MOD(D78-C78,1)*24*60)</x:f>
      </x:c>
      <x:c r="F78" s="139"/>
      <x:c r="G78" s="139"/>
      <x:c r="H78" s="139"/>
    </x:row>
    <x:row r="79">
      <x:c r="A79" s="139"/>
      <x:c r="B79" s="141"/>
      <x:c r="C79" s="143"/>
      <x:c r="D79" s="143"/>
      <x:c r="E79" s="271" t="str">
        <x:f>IF(OR(C79="",D79=""),"",MOD(D79-C79,1)*24*60)</x:f>
      </x:c>
      <x:c r="F79" s="139"/>
      <x:c r="G79" s="139"/>
      <x:c r="H79" s="139"/>
    </x:row>
    <x:row r="80">
      <x:c r="A80" s="139"/>
      <x:c r="B80" s="141"/>
      <x:c r="C80" s="143"/>
      <x:c r="D80" s="143"/>
      <x:c r="E80" s="271" t="str">
        <x:f>IF(OR(C80="",D80=""),"",MOD(D80-C80,1)*24*60)</x:f>
      </x:c>
      <x:c r="F80" s="139"/>
      <x:c r="G80" s="139"/>
      <x:c r="H80" s="139"/>
    </x:row>
    <x:row r="81">
      <x:c r="A81" s="139"/>
      <x:c r="B81" s="141"/>
      <x:c r="C81" s="143"/>
      <x:c r="D81" s="143"/>
      <x:c r="E81" s="271" t="str">
        <x:f>IF(OR(C81="",D81=""),"",MOD(D81-C81,1)*24*60)</x:f>
      </x:c>
      <x:c r="F81" s="139"/>
      <x:c r="G81" s="139"/>
      <x:c r="H81" s="139"/>
    </x:row>
    <x:row r="82">
      <x:c r="A82" s="139"/>
      <x:c r="B82" s="141"/>
      <x:c r="C82" s="143"/>
      <x:c r="D82" s="143"/>
      <x:c r="E82" s="271" t="str">
        <x:f>IF(OR(C82="",D82=""),"",MOD(D82-C82,1)*24*60)</x:f>
      </x:c>
      <x:c r="F82" s="139"/>
      <x:c r="G82" s="139"/>
      <x:c r="H82" s="139"/>
    </x:row>
    <x:row r="83">
      <x:c r="A83" s="139"/>
      <x:c r="B83" s="141"/>
      <x:c r="C83" s="143"/>
      <x:c r="D83" s="143"/>
      <x:c r="E83" s="271" t="str">
        <x:f>IF(OR(C83="",D83=""),"",MOD(D83-C83,1)*24*60)</x:f>
      </x:c>
      <x:c r="F83" s="139"/>
      <x:c r="G83" s="139"/>
      <x:c r="H83" s="139"/>
    </x:row>
    <x:row r="84">
      <x:c r="A84" s="139"/>
      <x:c r="B84" s="141"/>
      <x:c r="C84" s="143"/>
      <x:c r="D84" s="143"/>
      <x:c r="E84" s="271" t="str">
        <x:f>IF(OR(C84="",D84=""),"",MOD(D84-C84,1)*24*60)</x:f>
      </x:c>
      <x:c r="F84" s="139"/>
      <x:c r="G84" s="139"/>
      <x:c r="H84" s="139"/>
    </x:row>
    <x:row r="85">
      <x:c r="A85" s="139"/>
      <x:c r="B85" s="141"/>
      <x:c r="C85" s="143"/>
      <x:c r="D85" s="143"/>
      <x:c r="E85" s="271" t="str">
        <x:f>IF(OR(C85="",D85=""),"",MOD(D85-C85,1)*24*60)</x:f>
      </x:c>
      <x:c r="F85" s="139"/>
      <x:c r="G85" s="139"/>
      <x:c r="H85" s="139"/>
    </x:row>
    <x:row r="86">
      <x:c r="A86" s="139"/>
      <x:c r="B86" s="141"/>
      <x:c r="C86" s="143"/>
      <x:c r="D86" s="143"/>
      <x:c r="E86" s="271" t="str">
        <x:f>IF(OR(C86="",D86=""),"",MOD(D86-C86,1)*24*60)</x:f>
      </x:c>
      <x:c r="F86" s="139"/>
      <x:c r="G86" s="139"/>
      <x:c r="H86" s="139"/>
    </x:row>
    <x:row r="87">
      <x:c r="A87" s="139"/>
      <x:c r="B87" s="141"/>
      <x:c r="C87" s="143"/>
      <x:c r="D87" s="143"/>
      <x:c r="E87" s="271" t="str">
        <x:f>IF(OR(C87="",D87=""),"",MOD(D87-C87,1)*24*60)</x:f>
      </x:c>
      <x:c r="F87" s="139"/>
      <x:c r="G87" s="139"/>
      <x:c r="H87" s="139"/>
    </x:row>
    <x:row r="88">
      <x:c r="A88" s="139"/>
      <x:c r="B88" s="141"/>
      <x:c r="C88" s="143"/>
      <x:c r="D88" s="143"/>
      <x:c r="E88" s="271" t="str">
        <x:f>IF(OR(C88="",D88=""),"",MOD(D88-C88,1)*24*60)</x:f>
      </x:c>
      <x:c r="F88" s="139"/>
      <x:c r="G88" s="139"/>
      <x:c r="H88" s="139"/>
    </x:row>
    <x:row r="89">
      <x:c r="A89" s="139"/>
      <x:c r="B89" s="141"/>
      <x:c r="C89" s="143"/>
      <x:c r="D89" s="143"/>
      <x:c r="E89" s="271" t="str">
        <x:f>IF(OR(C89="",D89=""),"",MOD(D89-C89,1)*24*60)</x:f>
      </x:c>
      <x:c r="F89" s="139"/>
      <x:c r="G89" s="139"/>
      <x:c r="H89" s="139"/>
    </x:row>
    <x:row r="90">
      <x:c r="A90" s="139"/>
      <x:c r="B90" s="141"/>
      <x:c r="C90" s="143"/>
      <x:c r="D90" s="143"/>
      <x:c r="E90" s="271" t="str">
        <x:f>IF(OR(C90="",D90=""),"",MOD(D90-C90,1)*24*60)</x:f>
      </x:c>
      <x:c r="F90" s="139"/>
      <x:c r="G90" s="139"/>
      <x:c r="H90" s="139"/>
    </x:row>
    <x:row r="91">
      <x:c r="A91" s="139"/>
      <x:c r="B91" s="141"/>
      <x:c r="C91" s="143"/>
      <x:c r="D91" s="143"/>
      <x:c r="E91" s="271" t="str">
        <x:f>IF(OR(C91="",D91=""),"",MOD(D91-C91,1)*24*60)</x:f>
      </x:c>
      <x:c r="F91" s="139"/>
      <x:c r="G91" s="139"/>
      <x:c r="H91" s="139"/>
    </x:row>
    <x:row r="92">
      <x:c r="A92" s="139"/>
      <x:c r="B92" s="141"/>
      <x:c r="C92" s="143"/>
      <x:c r="D92" s="143"/>
      <x:c r="E92" s="271" t="str">
        <x:f>IF(OR(C92="",D92=""),"",MOD(D92-C92,1)*24*60)</x:f>
      </x:c>
      <x:c r="F92" s="139"/>
      <x:c r="G92" s="139"/>
      <x:c r="H92" s="139"/>
    </x:row>
    <x:row r="93">
      <x:c r="A93" s="139"/>
      <x:c r="B93" s="141"/>
      <x:c r="C93" s="143"/>
      <x:c r="D93" s="143"/>
      <x:c r="E93" s="271" t="str">
        <x:f>IF(OR(C93="",D93=""),"",MOD(D93-C93,1)*24*60)</x:f>
      </x:c>
      <x:c r="F93" s="139"/>
      <x:c r="G93" s="139"/>
      <x:c r="H93" s="139"/>
    </x:row>
    <x:row r="94">
      <x:c r="A94" s="139"/>
      <x:c r="B94" s="141"/>
      <x:c r="C94" s="143"/>
      <x:c r="D94" s="143"/>
      <x:c r="E94" s="271" t="str">
        <x:f>IF(OR(C94="",D94=""),"",MOD(D94-C94,1)*24*60)</x:f>
      </x:c>
      <x:c r="F94" s="139"/>
      <x:c r="G94" s="139"/>
      <x:c r="H94" s="139"/>
    </x:row>
    <x:row r="95">
      <x:c r="A95" s="139"/>
      <x:c r="B95" s="141"/>
      <x:c r="C95" s="143"/>
      <x:c r="D95" s="143"/>
      <x:c r="E95" s="271" t="str">
        <x:f>IF(OR(C95="",D95=""),"",MOD(D95-C95,1)*24*60)</x:f>
      </x:c>
      <x:c r="F95" s="139"/>
      <x:c r="G95" s="139"/>
      <x:c r="H95" s="139"/>
    </x:row>
    <x:row r="96">
      <x:c r="A96" s="139"/>
      <x:c r="B96" s="141"/>
      <x:c r="C96" s="143"/>
      <x:c r="D96" s="143"/>
      <x:c r="E96" s="271" t="str">
        <x:f>IF(OR(C96="",D96=""),"",MOD(D96-C96,1)*24*60)</x:f>
      </x:c>
      <x:c r="F96" s="139"/>
      <x:c r="G96" s="139"/>
      <x:c r="H96" s="139"/>
    </x:row>
    <x:row r="97">
      <x:c r="A97" s="139"/>
      <x:c r="B97" s="141"/>
      <x:c r="C97" s="143"/>
      <x:c r="D97" s="143"/>
      <x:c r="E97" s="271" t="str">
        <x:f>IF(OR(C97="",D97=""),"",MOD(D97-C97,1)*24*60)</x:f>
      </x:c>
      <x:c r="F97" s="139"/>
      <x:c r="G97" s="139"/>
      <x:c r="H97" s="139"/>
    </x:row>
    <x:row r="98">
      <x:c r="A98" s="139"/>
      <x:c r="B98" s="141"/>
      <x:c r="C98" s="143"/>
      <x:c r="D98" s="143"/>
      <x:c r="E98" s="271" t="str">
        <x:f>IF(OR(C98="",D98=""),"",MOD(D98-C98,1)*24*60)</x:f>
      </x:c>
      <x:c r="F98" s="139"/>
      <x:c r="G98" s="139"/>
      <x:c r="H98" s="139"/>
    </x:row>
    <x:row r="99">
      <x:c r="A99" s="139"/>
      <x:c r="B99" s="141"/>
      <x:c r="C99" s="143"/>
      <x:c r="D99" s="143"/>
      <x:c r="E99" s="271" t="str">
        <x:f>IF(OR(C99="",D99=""),"",MOD(D99-C99,1)*24*60)</x:f>
      </x:c>
      <x:c r="F99" s="139"/>
      <x:c r="G99" s="139"/>
      <x:c r="H99" s="139"/>
    </x:row>
    <x:row r="100">
      <x:c r="A100" s="139"/>
      <x:c r="B100" s="141"/>
      <x:c r="C100" s="143"/>
      <x:c r="D100" s="143"/>
      <x:c r="E100" s="271" t="str">
        <x:f>IF(OR(C100="",D100=""),"",MOD(D100-C100,1)*24*60)</x:f>
      </x:c>
      <x:c r="F100" s="139"/>
      <x:c r="G100" s="139"/>
      <x:c r="H100" s="139"/>
    </x:row>
    <x:row r="101">
      <x:c r="A101" s="139"/>
      <x:c r="B101" s="141"/>
      <x:c r="C101" s="143"/>
      <x:c r="D101" s="143"/>
      <x:c r="E101" s="271" t="str">
        <x:f>IF(OR(C101="",D101=""),"",MOD(D101-C101,1)*24*60)</x:f>
      </x:c>
      <x:c r="F101" s="139"/>
      <x:c r="G101" s="139"/>
      <x:c r="H101" s="139"/>
    </x:row>
    <x:row r="102">
      <x:c r="A102" s="139"/>
      <x:c r="B102" s="141"/>
      <x:c r="C102" s="143"/>
      <x:c r="D102" s="143"/>
      <x:c r="E102" s="271" t="str">
        <x:f>IF(OR(C102="",D102=""),"",MOD(D102-C102,1)*24*60)</x:f>
      </x:c>
      <x:c r="F102" s="139"/>
      <x:c r="G102" s="139"/>
      <x:c r="H102" s="139"/>
    </x:row>
    <x:row r="103">
      <x:c r="A103" s="139"/>
      <x:c r="B103" s="141"/>
      <x:c r="C103" s="143"/>
      <x:c r="D103" s="143"/>
      <x:c r="E103" s="271" t="str">
        <x:f>IF(OR(C103="",D103=""),"",MOD(D103-C103,1)*24*60)</x:f>
      </x:c>
      <x:c r="F103" s="139"/>
      <x:c r="G103" s="139"/>
      <x:c r="H103" s="139"/>
    </x:row>
    <x:row r="104">
      <x:c r="A104" s="139"/>
      <x:c r="B104" s="141"/>
      <x:c r="C104" s="143"/>
      <x:c r="D104" s="143"/>
      <x:c r="E104" s="271" t="str">
        <x:f>IF(OR(C104="",D104=""),"",MOD(D104-C104,1)*24*60)</x:f>
      </x:c>
      <x:c r="F104" s="139"/>
      <x:c r="G104" s="139"/>
      <x:c r="H104" s="139"/>
    </x:row>
    <x:row r="105">
      <x:c r="A105" s="139"/>
      <x:c r="B105" s="141"/>
      <x:c r="C105" s="143"/>
      <x:c r="D105" s="143"/>
      <x:c r="E105" s="271" t="str">
        <x:f>IF(OR(C105="",D105=""),"",MOD(D105-C105,1)*24*60)</x:f>
      </x:c>
      <x:c r="F105" s="139"/>
      <x:c r="G105" s="139"/>
      <x:c r="H105" s="139"/>
    </x:row>
    <x:row r="106">
      <x:c r="A106" s="139"/>
      <x:c r="B106" s="141"/>
      <x:c r="C106" s="143"/>
      <x:c r="D106" s="143"/>
      <x:c r="E106" s="271" t="str">
        <x:f>IF(OR(C106="",D106=""),"",MOD(D106-C106,1)*24*60)</x:f>
      </x:c>
      <x:c r="F106" s="139"/>
      <x:c r="G106" s="139"/>
      <x:c r="H106" s="139"/>
    </x:row>
    <x:row r="107">
      <x:c r="A107" s="139"/>
      <x:c r="B107" s="141"/>
      <x:c r="C107" s="143"/>
      <x:c r="D107" s="143"/>
      <x:c r="E107" s="271" t="str">
        <x:f>IF(OR(C107="",D107=""),"",MOD(D107-C107,1)*24*60)</x:f>
      </x:c>
      <x:c r="F107" s="139"/>
      <x:c r="G107" s="139"/>
      <x:c r="H107" s="139"/>
    </x:row>
    <x:row r="108">
      <x:c r="A108" s="139"/>
      <x:c r="B108" s="141"/>
      <x:c r="C108" s="143"/>
      <x:c r="D108" s="143"/>
      <x:c r="E108" s="271" t="str">
        <x:f>IF(OR(C108="",D108=""),"",MOD(D108-C108,1)*24*60)</x:f>
      </x:c>
      <x:c r="F108" s="139"/>
      <x:c r="G108" s="139"/>
      <x:c r="H108" s="139"/>
    </x:row>
    <x:row r="109">
      <x:c r="A109" s="139"/>
      <x:c r="B109" s="141"/>
      <x:c r="C109" s="143"/>
      <x:c r="D109" s="143"/>
      <x:c r="E109" s="271" t="str">
        <x:f>IF(OR(C109="",D109=""),"",MOD(D109-C109,1)*24*60)</x:f>
      </x:c>
      <x:c r="F109" s="139"/>
      <x:c r="G109" s="139"/>
      <x:c r="H109" s="139"/>
    </x:row>
    <x:row r="110">
      <x:c r="A110" s="139"/>
      <x:c r="B110" s="141"/>
      <x:c r="C110" s="143"/>
      <x:c r="D110" s="143"/>
      <x:c r="E110" s="271" t="str">
        <x:f>IF(OR(C110="",D110=""),"",MOD(D110-C110,1)*24*60)</x:f>
      </x:c>
      <x:c r="F110" s="139"/>
      <x:c r="G110" s="139"/>
      <x:c r="H110" s="139"/>
    </x:row>
    <x:row r="111">
      <x:c r="A111" s="139"/>
      <x:c r="B111" s="141"/>
      <x:c r="C111" s="143"/>
      <x:c r="D111" s="143"/>
      <x:c r="E111" s="271" t="str">
        <x:f>IF(OR(C111="",D111=""),"",MOD(D111-C111,1)*24*60)</x:f>
      </x:c>
      <x:c r="F111" s="139"/>
      <x:c r="G111" s="139"/>
      <x:c r="H111" s="139"/>
    </x:row>
    <x:row r="112">
      <x:c r="A112" s="139"/>
      <x:c r="B112" s="141"/>
      <x:c r="C112" s="143"/>
      <x:c r="D112" s="143"/>
      <x:c r="E112" s="271" t="str">
        <x:f>IF(OR(C112="",D112=""),"",MOD(D112-C112,1)*24*60)</x:f>
      </x:c>
      <x:c r="F112" s="139"/>
      <x:c r="G112" s="139"/>
      <x:c r="H112" s="139"/>
    </x:row>
    <x:row r="113">
      <x:c r="A113" s="139"/>
      <x:c r="B113" s="141"/>
      <x:c r="C113" s="143"/>
      <x:c r="D113" s="143"/>
      <x:c r="E113" s="271" t="str">
        <x:f>IF(OR(C113="",D113=""),"",MOD(D113-C113,1)*24*60)</x:f>
      </x:c>
      <x:c r="F113" s="139"/>
      <x:c r="G113" s="139"/>
      <x:c r="H113" s="139"/>
    </x:row>
    <x:row r="114">
      <x:c r="A114" s="139"/>
      <x:c r="B114" s="141"/>
      <x:c r="C114" s="143"/>
      <x:c r="D114" s="143"/>
      <x:c r="E114" s="271" t="str">
        <x:f>IF(OR(C114="",D114=""),"",MOD(D114-C114,1)*24*60)</x:f>
      </x:c>
      <x:c r="F114" s="139"/>
      <x:c r="G114" s="139"/>
      <x:c r="H114" s="139"/>
    </x:row>
    <x:row r="115">
      <x:c r="A115" s="139"/>
      <x:c r="B115" s="141"/>
      <x:c r="C115" s="143"/>
      <x:c r="D115" s="143"/>
      <x:c r="E115" s="271" t="str">
        <x:f>IF(OR(C115="",D115=""),"",MOD(D115-C115,1)*24*60)</x:f>
      </x:c>
      <x:c r="F115" s="139"/>
      <x:c r="G115" s="139"/>
      <x:c r="H115" s="139"/>
    </x:row>
    <x:row r="116">
      <x:c r="A116" s="139"/>
      <x:c r="B116" s="141"/>
      <x:c r="C116" s="143"/>
      <x:c r="D116" s="143"/>
      <x:c r="E116" s="271" t="str">
        <x:f>IF(OR(C116="",D116=""),"",MOD(D116-C116,1)*24*60)</x:f>
      </x:c>
      <x:c r="F116" s="139"/>
      <x:c r="G116" s="139"/>
      <x:c r="H116" s="139"/>
    </x:row>
    <x:row r="117">
      <x:c r="A117" s="139"/>
      <x:c r="B117" s="141"/>
      <x:c r="C117" s="143"/>
      <x:c r="D117" s="143"/>
      <x:c r="E117" s="271" t="str">
        <x:f>IF(OR(C117="",D117=""),"",MOD(D117-C117,1)*24*60)</x:f>
      </x:c>
      <x:c r="F117" s="139"/>
      <x:c r="G117" s="139"/>
      <x:c r="H117" s="139"/>
    </x:row>
    <x:row r="118">
      <x:c r="A118" s="139"/>
      <x:c r="B118" s="141"/>
      <x:c r="C118" s="143"/>
      <x:c r="D118" s="143"/>
      <x:c r="E118" s="271" t="str">
        <x:f>IF(OR(C118="",D118=""),"",MOD(D118-C118,1)*24*60)</x:f>
      </x:c>
      <x:c r="F118" s="139"/>
      <x:c r="G118" s="139"/>
      <x:c r="H118" s="139"/>
    </x:row>
    <x:row r="119">
      <x:c r="A119" s="139"/>
      <x:c r="B119" s="141"/>
      <x:c r="C119" s="143"/>
      <x:c r="D119" s="143"/>
      <x:c r="E119" s="271" t="str">
        <x:f>IF(OR(C119="",D119=""),"",MOD(D119-C119,1)*24*60)</x:f>
      </x:c>
      <x:c r="F119" s="139"/>
      <x:c r="G119" s="139"/>
      <x:c r="H119" s="139"/>
    </x:row>
    <x:row r="120">
      <x:c r="A120" s="139"/>
      <x:c r="B120" s="141"/>
      <x:c r="C120" s="143"/>
      <x:c r="D120" s="143"/>
      <x:c r="E120" s="271" t="str">
        <x:f>IF(OR(C120="",D120=""),"",MOD(D120-C120,1)*24*60)</x:f>
      </x:c>
      <x:c r="F120" s="139"/>
      <x:c r="G120" s="139"/>
      <x:c r="H120" s="139"/>
    </x:row>
    <x:row r="121">
      <x:c r="A121" s="139"/>
      <x:c r="B121" s="141"/>
      <x:c r="C121" s="143"/>
      <x:c r="D121" s="143"/>
      <x:c r="E121" s="271" t="str">
        <x:f>IF(OR(C121="",D121=""),"",MOD(D121-C121,1)*24*60)</x:f>
      </x:c>
      <x:c r="F121" s="139"/>
      <x:c r="G121" s="139"/>
      <x:c r="H121" s="139"/>
    </x:row>
    <x:row r="122">
      <x:c r="A122" s="139"/>
      <x:c r="B122" s="141"/>
      <x:c r="C122" s="143"/>
      <x:c r="D122" s="143"/>
      <x:c r="E122" s="271" t="str">
        <x:f>IF(OR(C122="",D122=""),"",MOD(D122-C122,1)*24*60)</x:f>
      </x:c>
      <x:c r="F122" s="139"/>
      <x:c r="G122" s="139"/>
      <x:c r="H122" s="139"/>
    </x:row>
    <x:row r="123">
      <x:c r="A123" s="139"/>
      <x:c r="B123" s="141"/>
      <x:c r="C123" s="143"/>
      <x:c r="D123" s="143"/>
      <x:c r="E123" s="271" t="str">
        <x:f>IF(OR(C123="",D123=""),"",MOD(D123-C123,1)*24*60)</x:f>
      </x:c>
      <x:c r="F123" s="139"/>
      <x:c r="G123" s="139"/>
      <x:c r="H123" s="139"/>
    </x:row>
    <x:row r="124">
      <x:c r="A124" s="139"/>
      <x:c r="B124" s="141"/>
      <x:c r="C124" s="143"/>
      <x:c r="D124" s="143"/>
      <x:c r="E124" s="271" t="str">
        <x:f>IF(OR(C124="",D124=""),"",MOD(D124-C124,1)*24*60)</x:f>
      </x:c>
      <x:c r="F124" s="139"/>
      <x:c r="G124" s="139"/>
      <x:c r="H124" s="139"/>
    </x:row>
    <x:row r="125">
      <x:c r="A125" s="139"/>
      <x:c r="B125" s="141"/>
      <x:c r="C125" s="143"/>
      <x:c r="D125" s="143"/>
      <x:c r="E125" s="271" t="str">
        <x:f>IF(OR(C125="",D125=""),"",MOD(D125-C125,1)*24*60)</x:f>
      </x:c>
      <x:c r="F125" s="139"/>
      <x:c r="G125" s="139"/>
      <x:c r="H125" s="139"/>
    </x:row>
    <x:row r="126">
      <x:c r="A126" s="139"/>
      <x:c r="B126" s="141"/>
      <x:c r="C126" s="143"/>
      <x:c r="D126" s="143"/>
      <x:c r="E126" s="271" t="str">
        <x:f>IF(OR(C126="",D126=""),"",MOD(D126-C126,1)*24*60)</x:f>
      </x:c>
      <x:c r="F126" s="139"/>
      <x:c r="G126" s="139"/>
      <x:c r="H126" s="139"/>
    </x:row>
    <x:row r="127">
      <x:c r="A127" s="139"/>
      <x:c r="B127" s="141"/>
      <x:c r="C127" s="143"/>
      <x:c r="D127" s="143"/>
      <x:c r="E127" s="271" t="str">
        <x:f>IF(OR(C127="",D127=""),"",MOD(D127-C127,1)*24*60)</x:f>
      </x:c>
      <x:c r="F127" s="139"/>
      <x:c r="G127" s="139"/>
      <x:c r="H127" s="139"/>
    </x:row>
    <x:row r="128">
      <x:c r="A128" s="139"/>
      <x:c r="B128" s="141"/>
      <x:c r="C128" s="143"/>
      <x:c r="D128" s="143"/>
      <x:c r="E128" s="271" t="str">
        <x:f>IF(OR(C128="",D128=""),"",MOD(D128-C128,1)*24*60)</x:f>
      </x:c>
      <x:c r="F128" s="139"/>
      <x:c r="G128" s="139"/>
      <x:c r="H128" s="139"/>
    </x:row>
    <x:row r="129">
      <x:c r="A129" s="139"/>
      <x:c r="B129" s="141"/>
      <x:c r="C129" s="143"/>
      <x:c r="D129" s="143"/>
      <x:c r="E129" s="271" t="str">
        <x:f>IF(OR(C129="",D129=""),"",MOD(D129-C129,1)*24*60)</x:f>
      </x:c>
      <x:c r="F129" s="139"/>
      <x:c r="G129" s="139"/>
      <x:c r="H129" s="139"/>
    </x:row>
    <x:row r="130">
      <x:c r="A130" s="139"/>
      <x:c r="B130" s="141"/>
      <x:c r="C130" s="143"/>
      <x:c r="D130" s="143"/>
      <x:c r="E130" s="271" t="str">
        <x:f>IF(OR(C130="",D130=""),"",MOD(D130-C130,1)*24*60)</x:f>
      </x:c>
      <x:c r="F130" s="139"/>
      <x:c r="G130" s="139"/>
      <x:c r="H130" s="139"/>
    </x:row>
    <x:row r="131">
      <x:c r="A131" s="139"/>
      <x:c r="B131" s="141"/>
      <x:c r="C131" s="143"/>
      <x:c r="D131" s="143"/>
      <x:c r="E131" s="271" t="str">
        <x:f>IF(OR(C131="",D131=""),"",MOD(D131-C131,1)*24*60)</x:f>
      </x:c>
      <x:c r="F131" s="139"/>
      <x:c r="G131" s="139"/>
      <x:c r="H131" s="139"/>
    </x:row>
    <x:row r="132">
      <x:c r="A132" s="139"/>
      <x:c r="B132" s="141"/>
      <x:c r="C132" s="143"/>
      <x:c r="D132" s="143"/>
      <x:c r="E132" s="271" t="str">
        <x:f>IF(OR(C132="",D132=""),"",MOD(D132-C132,1)*24*60)</x:f>
      </x:c>
      <x:c r="F132" s="139"/>
      <x:c r="G132" s="139"/>
      <x:c r="H132" s="139"/>
    </x:row>
    <x:row r="133">
      <x:c r="A133" s="139"/>
      <x:c r="B133" s="141"/>
      <x:c r="C133" s="143"/>
      <x:c r="D133" s="143"/>
      <x:c r="E133" s="271" t="str">
        <x:f>IF(OR(C133="",D133=""),"",MOD(D133-C133,1)*24*60)</x:f>
      </x:c>
      <x:c r="F133" s="139"/>
      <x:c r="G133" s="139"/>
      <x:c r="H133" s="139"/>
    </x:row>
    <x:row r="134">
      <x:c r="A134" s="139"/>
      <x:c r="B134" s="141"/>
      <x:c r="C134" s="143"/>
      <x:c r="D134" s="143"/>
      <x:c r="E134" s="271" t="str">
        <x:f>IF(OR(C134="",D134=""),"",MOD(D134-C134,1)*24*60)</x:f>
      </x:c>
      <x:c r="F134" s="139"/>
      <x:c r="G134" s="139"/>
      <x:c r="H134" s="139"/>
    </x:row>
    <x:row r="135">
      <x:c r="A135" s="139"/>
      <x:c r="B135" s="141"/>
      <x:c r="C135" s="143"/>
      <x:c r="D135" s="143"/>
      <x:c r="E135" s="271" t="str">
        <x:f>IF(OR(C135="",D135=""),"",MOD(D135-C135,1)*24*60)</x:f>
      </x:c>
      <x:c r="F135" s="139"/>
      <x:c r="G135" s="139"/>
      <x:c r="H135" s="139"/>
    </x:row>
    <x:row r="136">
      <x:c r="A136" s="139"/>
      <x:c r="B136" s="141"/>
      <x:c r="C136" s="143"/>
      <x:c r="D136" s="143"/>
      <x:c r="E136" s="271" t="str">
        <x:f>IF(OR(C136="",D136=""),"",MOD(D136-C136,1)*24*60)</x:f>
      </x:c>
      <x:c r="F136" s="139"/>
      <x:c r="G136" s="139"/>
      <x:c r="H136" s="139"/>
    </x:row>
    <x:row r="137">
      <x:c r="A137" s="139"/>
      <x:c r="B137" s="141"/>
      <x:c r="C137" s="143"/>
      <x:c r="D137" s="143"/>
      <x:c r="E137" s="271" t="str">
        <x:f>IF(OR(C137="",D137=""),"",MOD(D137-C137,1)*24*60)</x:f>
      </x:c>
      <x:c r="F137" s="139"/>
      <x:c r="G137" s="139"/>
      <x:c r="H137" s="139"/>
    </x:row>
    <x:row r="138">
      <x:c r="A138" s="139"/>
      <x:c r="B138" s="141"/>
      <x:c r="C138" s="143"/>
      <x:c r="D138" s="143"/>
      <x:c r="E138" s="271" t="str">
        <x:f>IF(OR(C138="",D138=""),"",MOD(D138-C138,1)*24*60)</x:f>
      </x:c>
      <x:c r="F138" s="139"/>
      <x:c r="G138" s="139"/>
      <x:c r="H138" s="139"/>
    </x:row>
    <x:row r="139">
      <x:c r="A139" s="139"/>
      <x:c r="B139" s="141"/>
      <x:c r="C139" s="143"/>
      <x:c r="D139" s="143"/>
      <x:c r="E139" s="271" t="str">
        <x:f>IF(OR(C139="",D139=""),"",MOD(D139-C139,1)*24*60)</x:f>
      </x:c>
      <x:c r="F139" s="139"/>
      <x:c r="G139" s="139"/>
      <x:c r="H139" s="139"/>
    </x:row>
    <x:row r="140">
      <x:c r="A140" s="139"/>
      <x:c r="B140" s="141"/>
      <x:c r="C140" s="143"/>
      <x:c r="D140" s="143"/>
      <x:c r="E140" s="271" t="str">
        <x:f>IF(OR(C140="",D140=""),"",MOD(D140-C140,1)*24*60)</x:f>
      </x:c>
      <x:c r="F140" s="139"/>
      <x:c r="G140" s="139"/>
      <x:c r="H140" s="139"/>
    </x:row>
    <x:row r="141">
      <x:c r="A141" s="139"/>
      <x:c r="B141" s="141"/>
      <x:c r="C141" s="143"/>
      <x:c r="D141" s="143"/>
      <x:c r="E141" s="271" t="str">
        <x:f>IF(OR(C141="",D141=""),"",MOD(D141-C141,1)*24*60)</x:f>
      </x:c>
      <x:c r="F141" s="139"/>
      <x:c r="G141" s="139"/>
      <x:c r="H141" s="139"/>
    </x:row>
    <x:row r="142">
      <x:c r="A142" s="139"/>
      <x:c r="B142" s="141"/>
      <x:c r="C142" s="143"/>
      <x:c r="D142" s="143"/>
      <x:c r="E142" s="271" t="str">
        <x:f>IF(OR(C142="",D142=""),"",MOD(D142-C142,1)*24*60)</x:f>
      </x:c>
      <x:c r="F142" s="139"/>
      <x:c r="G142" s="139"/>
      <x:c r="H142" s="139"/>
    </x:row>
    <x:row r="143">
      <x:c r="A143" s="139"/>
      <x:c r="B143" s="141"/>
      <x:c r="C143" s="143"/>
      <x:c r="D143" s="143"/>
      <x:c r="E143" s="271" t="str">
        <x:f>IF(OR(C143="",D143=""),"",MOD(D143-C143,1)*24*60)</x:f>
      </x:c>
      <x:c r="F143" s="139"/>
      <x:c r="G143" s="139"/>
      <x:c r="H143" s="139"/>
    </x:row>
    <x:row r="144">
      <x:c r="A144" s="139"/>
      <x:c r="B144" s="141"/>
      <x:c r="C144" s="143"/>
      <x:c r="D144" s="143"/>
      <x:c r="E144" s="271" t="str">
        <x:f>IF(OR(C144="",D144=""),"",MOD(D144-C144,1)*24*60)</x:f>
      </x:c>
      <x:c r="F144" s="139"/>
      <x:c r="G144" s="139"/>
      <x:c r="H144" s="139"/>
    </x:row>
    <x:row r="145">
      <x:c r="A145" s="139"/>
      <x:c r="B145" s="141"/>
      <x:c r="C145" s="143"/>
      <x:c r="D145" s="143"/>
      <x:c r="E145" s="271" t="str">
        <x:f>IF(OR(C145="",D145=""),"",MOD(D145-C145,1)*24*60)</x:f>
      </x:c>
      <x:c r="F145" s="139"/>
      <x:c r="G145" s="139"/>
      <x:c r="H145" s="139"/>
    </x:row>
    <x:row r="146">
      <x:c r="A146" s="139"/>
      <x:c r="B146" s="141"/>
      <x:c r="C146" s="143"/>
      <x:c r="D146" s="143"/>
      <x:c r="E146" s="271" t="str">
        <x:f>IF(OR(C146="",D146=""),"",MOD(D146-C146,1)*24*60)</x:f>
      </x:c>
      <x:c r="F146" s="139"/>
      <x:c r="G146" s="139"/>
      <x:c r="H146" s="139"/>
    </x:row>
    <x:row r="147">
      <x:c r="A147" s="139"/>
      <x:c r="B147" s="141"/>
      <x:c r="C147" s="143"/>
      <x:c r="D147" s="143"/>
      <x:c r="E147" s="271" t="str">
        <x:f>IF(OR(C147="",D147=""),"",MOD(D147-C147,1)*24*60)</x:f>
      </x:c>
      <x:c r="F147" s="139"/>
      <x:c r="G147" s="139"/>
      <x:c r="H147" s="139"/>
    </x:row>
    <x:row r="148">
      <x:c r="A148" s="139"/>
      <x:c r="B148" s="141"/>
      <x:c r="C148" s="143"/>
      <x:c r="D148" s="143"/>
      <x:c r="E148" s="271" t="str">
        <x:f>IF(OR(C148="",D148=""),"",MOD(D148-C148,1)*24*60)</x:f>
      </x:c>
      <x:c r="F148" s="139"/>
      <x:c r="G148" s="139"/>
      <x:c r="H148" s="139"/>
    </x:row>
    <x:row r="149">
      <x:c r="A149" s="139"/>
      <x:c r="B149" s="141"/>
      <x:c r="C149" s="143"/>
      <x:c r="D149" s="143"/>
      <x:c r="E149" s="271" t="str">
        <x:f>IF(OR(C149="",D149=""),"",MOD(D149-C149,1)*24*60)</x:f>
      </x:c>
      <x:c r="F149" s="139"/>
      <x:c r="G149" s="139"/>
      <x:c r="H149" s="139"/>
    </x:row>
    <x:row r="150">
      <x:c r="A150" s="139"/>
      <x:c r="B150" s="141"/>
      <x:c r="C150" s="143"/>
      <x:c r="D150" s="143"/>
      <x:c r="E150" s="271" t="str">
        <x:f>IF(OR(C150="",D150=""),"",MOD(D150-C150,1)*24*60)</x:f>
      </x:c>
      <x:c r="F150" s="139"/>
      <x:c r="G150" s="139"/>
      <x:c r="H150" s="139"/>
    </x:row>
    <x:row r="151">
      <x:c r="A151" s="139"/>
      <x:c r="B151" s="141"/>
      <x:c r="C151" s="143"/>
      <x:c r="D151" s="143"/>
      <x:c r="E151" s="271" t="str">
        <x:f>IF(OR(C151="",D151=""),"",MOD(D151-C151,1)*24*60)</x:f>
      </x:c>
      <x:c r="F151" s="139"/>
      <x:c r="G151" s="139"/>
      <x:c r="H151" s="139"/>
    </x:row>
    <x:row r="152">
      <x:c r="A152" s="139"/>
      <x:c r="B152" s="141"/>
      <x:c r="C152" s="143"/>
      <x:c r="D152" s="143"/>
      <x:c r="E152" s="271" t="str">
        <x:f>IF(OR(C152="",D152=""),"",MOD(D152-C152,1)*24*60)</x:f>
      </x:c>
      <x:c r="F152" s="139"/>
      <x:c r="G152" s="139"/>
      <x:c r="H152" s="139"/>
    </x:row>
    <x:row r="153">
      <x:c r="A153" s="139"/>
      <x:c r="B153" s="141"/>
      <x:c r="C153" s="143"/>
      <x:c r="D153" s="143"/>
      <x:c r="E153" s="271" t="str">
        <x:f>IF(OR(C153="",D153=""),"",MOD(D153-C153,1)*24*60)</x:f>
      </x:c>
      <x:c r="F153" s="139"/>
      <x:c r="G153" s="139"/>
      <x:c r="H153" s="139"/>
    </x:row>
    <x:row r="154">
      <x:c r="A154" s="139"/>
      <x:c r="B154" s="141"/>
      <x:c r="C154" s="143"/>
      <x:c r="D154" s="143"/>
      <x:c r="E154" s="271" t="str">
        <x:f>IF(OR(C154="",D154=""),"",MOD(D154-C154,1)*24*60)</x:f>
      </x:c>
      <x:c r="F154" s="139"/>
      <x:c r="G154" s="139"/>
      <x:c r="H154" s="139"/>
    </x:row>
    <x:row r="155">
      <x:c r="A155" s="139"/>
      <x:c r="B155" s="141"/>
      <x:c r="C155" s="143"/>
      <x:c r="D155" s="143"/>
      <x:c r="E155" s="271" t="str">
        <x:f>IF(OR(C155="",D155=""),"",MOD(D155-C155,1)*24*60)</x:f>
      </x:c>
      <x:c r="F155" s="139"/>
      <x:c r="G155" s="139"/>
      <x:c r="H155" s="139"/>
    </x:row>
    <x:row r="156">
      <x:c r="A156" s="139"/>
      <x:c r="B156" s="141"/>
      <x:c r="C156" s="143"/>
      <x:c r="D156" s="143"/>
      <x:c r="E156" s="271" t="str">
        <x:f>IF(OR(C156="",D156=""),"",MOD(D156-C156,1)*24*60)</x:f>
      </x:c>
      <x:c r="F156" s="139"/>
      <x:c r="G156" s="139"/>
      <x:c r="H156" s="139"/>
    </x:row>
    <x:row r="157">
      <x:c r="A157" s="139"/>
      <x:c r="B157" s="141"/>
      <x:c r="C157" s="143"/>
      <x:c r="D157" s="143"/>
      <x:c r="E157" s="271" t="str">
        <x:f>IF(OR(C157="",D157=""),"",MOD(D157-C157,1)*24*60)</x:f>
      </x:c>
      <x:c r="F157" s="139"/>
      <x:c r="G157" s="139"/>
      <x:c r="H157" s="139"/>
    </x:row>
    <x:row r="158">
      <x:c r="A158" s="139"/>
      <x:c r="B158" s="141"/>
      <x:c r="C158" s="143"/>
      <x:c r="D158" s="143"/>
      <x:c r="E158" s="271" t="str">
        <x:f>IF(OR(C158="",D158=""),"",MOD(D158-C158,1)*24*60)</x:f>
      </x:c>
      <x:c r="F158" s="139"/>
      <x:c r="G158" s="139"/>
      <x:c r="H158" s="139"/>
    </x:row>
    <x:row r="159">
      <x:c r="A159" s="139"/>
      <x:c r="B159" s="141"/>
      <x:c r="C159" s="143"/>
      <x:c r="D159" s="143"/>
      <x:c r="E159" s="271" t="str">
        <x:f>IF(OR(C159="",D159=""),"",MOD(D159-C159,1)*24*60)</x:f>
      </x:c>
      <x:c r="F159" s="139"/>
      <x:c r="G159" s="139"/>
      <x:c r="H159" s="139"/>
    </x:row>
    <x:row r="160">
      <x:c r="A160" s="139"/>
      <x:c r="B160" s="141"/>
      <x:c r="C160" s="143"/>
      <x:c r="D160" s="143"/>
      <x:c r="E160" s="271" t="str">
        <x:f>IF(OR(C160="",D160=""),"",MOD(D160-C160,1)*24*60)</x:f>
      </x:c>
      <x:c r="F160" s="139"/>
      <x:c r="G160" s="139"/>
      <x:c r="H160" s="139"/>
    </x:row>
    <x:row r="161">
      <x:c r="A161" s="139"/>
      <x:c r="B161" s="141"/>
      <x:c r="C161" s="143"/>
      <x:c r="D161" s="143"/>
      <x:c r="E161" s="271" t="str">
        <x:f>IF(OR(C161="",D161=""),"",MOD(D161-C161,1)*24*60)</x:f>
      </x:c>
      <x:c r="F161" s="139"/>
      <x:c r="G161" s="139"/>
      <x:c r="H161" s="139"/>
    </x:row>
    <x:row r="162">
      <x:c r="A162" s="139"/>
      <x:c r="B162" s="141"/>
      <x:c r="C162" s="143"/>
      <x:c r="D162" s="143"/>
      <x:c r="E162" s="271" t="str">
        <x:f>IF(OR(C162="",D162=""),"",MOD(D162-C162,1)*24*60)</x:f>
      </x:c>
      <x:c r="F162" s="139"/>
      <x:c r="G162" s="139"/>
      <x:c r="H162" s="139"/>
    </x:row>
    <x:row r="163">
      <x:c r="A163" s="139"/>
      <x:c r="B163" s="141"/>
      <x:c r="C163" s="143"/>
      <x:c r="D163" s="143"/>
      <x:c r="E163" s="271" t="str">
        <x:f>IF(OR(C163="",D163=""),"",MOD(D163-C163,1)*24*60)</x:f>
      </x:c>
      <x:c r="F163" s="139"/>
      <x:c r="G163" s="139"/>
      <x:c r="H163" s="139"/>
    </x:row>
    <x:row r="164">
      <x:c r="A164" s="139"/>
      <x:c r="B164" s="141"/>
      <x:c r="C164" s="143"/>
      <x:c r="D164" s="143"/>
      <x:c r="E164" s="271" t="str">
        <x:f>IF(OR(C164="",D164=""),"",MOD(D164-C164,1)*24*60)</x:f>
      </x:c>
      <x:c r="F164" s="139"/>
      <x:c r="G164" s="139"/>
      <x:c r="H164" s="139"/>
    </x:row>
    <x:row r="165">
      <x:c r="A165" s="139"/>
      <x:c r="B165" s="141"/>
      <x:c r="C165" s="143"/>
      <x:c r="D165" s="143"/>
      <x:c r="E165" s="271" t="str">
        <x:f>IF(OR(C165="",D165=""),"",MOD(D165-C165,1)*24*60)</x:f>
      </x:c>
      <x:c r="F165" s="139"/>
      <x:c r="G165" s="139"/>
      <x:c r="H165" s="139"/>
    </x:row>
    <x:row r="166">
      <x:c r="A166" s="139"/>
      <x:c r="B166" s="141"/>
      <x:c r="C166" s="143"/>
      <x:c r="D166" s="143"/>
      <x:c r="E166" s="271" t="str">
        <x:f>IF(OR(C166="",D166=""),"",MOD(D166-C166,1)*24*60)</x:f>
      </x:c>
      <x:c r="F166" s="139"/>
      <x:c r="G166" s="139"/>
      <x:c r="H166" s="139"/>
    </x:row>
    <x:row r="167">
      <x:c r="A167" s="139"/>
      <x:c r="B167" s="141"/>
      <x:c r="C167" s="143"/>
      <x:c r="D167" s="143"/>
      <x:c r="E167" s="271" t="str">
        <x:f>IF(OR(C167="",D167=""),"",MOD(D167-C167,1)*24*60)</x:f>
      </x:c>
      <x:c r="F167" s="139"/>
      <x:c r="G167" s="139"/>
      <x:c r="H167" s="139"/>
    </x:row>
    <x:row r="168">
      <x:c r="A168" s="139"/>
      <x:c r="B168" s="141"/>
      <x:c r="C168" s="143"/>
      <x:c r="D168" s="143"/>
      <x:c r="E168" s="271" t="str">
        <x:f>IF(OR(C168="",D168=""),"",MOD(D168-C168,1)*24*60)</x:f>
      </x:c>
      <x:c r="F168" s="139"/>
      <x:c r="G168" s="139"/>
      <x:c r="H168" s="139"/>
    </x:row>
    <x:row r="169">
      <x:c r="A169" s="139"/>
      <x:c r="B169" s="141"/>
      <x:c r="C169" s="143"/>
      <x:c r="D169" s="143"/>
      <x:c r="E169" s="271" t="str">
        <x:f>IF(OR(C169="",D169=""),"",MOD(D169-C169,1)*24*60)</x:f>
      </x:c>
      <x:c r="F169" s="139"/>
      <x:c r="G169" s="139"/>
      <x:c r="H169" s="139"/>
    </x:row>
    <x:row r="170">
      <x:c r="A170" s="139"/>
      <x:c r="B170" s="141"/>
      <x:c r="C170" s="143"/>
      <x:c r="D170" s="143"/>
      <x:c r="E170" s="271" t="str">
        <x:f>IF(OR(C170="",D170=""),"",MOD(D170-C170,1)*24*60)</x:f>
      </x:c>
      <x:c r="F170" s="139"/>
      <x:c r="G170" s="139"/>
      <x:c r="H170" s="139"/>
    </x:row>
    <x:row r="171">
      <x:c r="A171" s="139"/>
      <x:c r="B171" s="141"/>
      <x:c r="C171" s="143"/>
      <x:c r="D171" s="143"/>
      <x:c r="E171" s="271" t="str">
        <x:f>IF(OR(C171="",D171=""),"",MOD(D171-C171,1)*24*60)</x:f>
      </x:c>
      <x:c r="F171" s="139"/>
      <x:c r="G171" s="139"/>
      <x:c r="H171" s="139"/>
    </x:row>
    <x:row r="172">
      <x:c r="A172" s="139"/>
      <x:c r="B172" s="141"/>
      <x:c r="C172" s="143"/>
      <x:c r="D172" s="143"/>
      <x:c r="E172" s="271" t="str">
        <x:f>IF(OR(C172="",D172=""),"",MOD(D172-C172,1)*24*60)</x:f>
      </x:c>
      <x:c r="F172" s="139"/>
      <x:c r="G172" s="139"/>
      <x:c r="H172" s="139"/>
    </x:row>
    <x:row r="173">
      <x:c r="A173" s="139"/>
      <x:c r="B173" s="141"/>
      <x:c r="C173" s="143"/>
      <x:c r="D173" s="143"/>
      <x:c r="E173" s="271" t="str">
        <x:f>IF(OR(C173="",D173=""),"",MOD(D173-C173,1)*24*60)</x:f>
      </x:c>
      <x:c r="F173" s="139"/>
      <x:c r="G173" s="139"/>
      <x:c r="H173" s="139"/>
    </x:row>
    <x:row r="174">
      <x:c r="A174" s="139"/>
      <x:c r="B174" s="141"/>
      <x:c r="C174" s="143"/>
      <x:c r="D174" s="143"/>
      <x:c r="E174" s="271" t="str">
        <x:f>IF(OR(C174="",D174=""),"",MOD(D174-C174,1)*24*60)</x:f>
      </x:c>
      <x:c r="F174" s="139"/>
      <x:c r="G174" s="139"/>
      <x:c r="H174" s="139"/>
    </x:row>
    <x:row r="175">
      <x:c r="A175" s="139"/>
      <x:c r="B175" s="141"/>
      <x:c r="C175" s="143"/>
      <x:c r="D175" s="143"/>
      <x:c r="E175" s="271" t="str">
        <x:f>IF(OR(C175="",D175=""),"",MOD(D175-C175,1)*24*60)</x:f>
      </x:c>
      <x:c r="F175" s="139"/>
      <x:c r="G175" s="139"/>
      <x:c r="H175" s="139"/>
    </x:row>
    <x:row r="176">
      <x:c r="A176" s="139"/>
      <x:c r="B176" s="141"/>
      <x:c r="C176" s="143"/>
      <x:c r="D176" s="143"/>
      <x:c r="E176" s="271" t="str">
        <x:f>IF(OR(C176="",D176=""),"",MOD(D176-C176,1)*24*60)</x:f>
      </x:c>
      <x:c r="F176" s="139"/>
      <x:c r="G176" s="139"/>
      <x:c r="H176" s="139"/>
    </x:row>
    <x:row r="177">
      <x:c r="A177" s="139"/>
      <x:c r="B177" s="141"/>
      <x:c r="C177" s="143"/>
      <x:c r="D177" s="143"/>
      <x:c r="E177" s="271" t="str">
        <x:f>IF(OR(C177="",D177=""),"",MOD(D177-C177,1)*24*60)</x:f>
      </x:c>
      <x:c r="F177" s="139"/>
      <x:c r="G177" s="139"/>
      <x:c r="H177" s="139"/>
    </x:row>
    <x:row r="178">
      <x:c r="A178" s="139"/>
      <x:c r="B178" s="141"/>
      <x:c r="C178" s="143"/>
      <x:c r="D178" s="143"/>
      <x:c r="E178" s="271" t="str">
        <x:f>IF(OR(C178="",D178=""),"",MOD(D178-C178,1)*24*60)</x:f>
      </x:c>
      <x:c r="F178" s="139"/>
      <x:c r="G178" s="139"/>
      <x:c r="H178" s="139"/>
    </x:row>
    <x:row r="179">
      <x:c r="A179" s="139"/>
      <x:c r="B179" s="141"/>
      <x:c r="C179" s="143"/>
      <x:c r="D179" s="143"/>
      <x:c r="E179" s="271" t="str">
        <x:f>IF(OR(C179="",D179=""),"",MOD(D179-C179,1)*24*60)</x:f>
      </x:c>
      <x:c r="F179" s="139"/>
      <x:c r="G179" s="139"/>
      <x:c r="H179" s="139"/>
    </x:row>
    <x:row r="180">
      <x:c r="A180" s="139"/>
      <x:c r="B180" s="141"/>
      <x:c r="C180" s="143"/>
      <x:c r="D180" s="143"/>
      <x:c r="E180" s="271" t="str">
        <x:f>IF(OR(C180="",D180=""),"",MOD(D180-C180,1)*24*60)</x:f>
      </x:c>
      <x:c r="F180" s="139"/>
      <x:c r="G180" s="139"/>
      <x:c r="H180" s="139"/>
    </x:row>
    <x:row r="181">
      <x:c r="A181" s="139"/>
      <x:c r="B181" s="141"/>
      <x:c r="C181" s="143"/>
      <x:c r="D181" s="143"/>
      <x:c r="E181" s="271" t="str">
        <x:f>IF(OR(C181="",D181=""),"",MOD(D181-C181,1)*24*60)</x:f>
      </x:c>
      <x:c r="F181" s="139"/>
      <x:c r="G181" s="139"/>
      <x:c r="H181" s="139"/>
    </x:row>
    <x:row r="182">
      <x:c r="A182" s="139"/>
      <x:c r="B182" s="141"/>
      <x:c r="C182" s="143"/>
      <x:c r="D182" s="143"/>
      <x:c r="E182" s="271" t="str">
        <x:f>IF(OR(C182="",D182=""),"",MOD(D182-C182,1)*24*60)</x:f>
      </x:c>
      <x:c r="F182" s="139"/>
      <x:c r="G182" s="139"/>
      <x:c r="H182" s="139"/>
    </x:row>
    <x:row r="183">
      <x:c r="A183" s="139"/>
      <x:c r="B183" s="141"/>
      <x:c r="C183" s="143"/>
      <x:c r="D183" s="143"/>
      <x:c r="E183" s="271" t="str">
        <x:f>IF(OR(C183="",D183=""),"",MOD(D183-C183,1)*24*60)</x:f>
      </x:c>
      <x:c r="F183" s="139"/>
      <x:c r="G183" s="139"/>
      <x:c r="H183" s="139"/>
    </x:row>
    <x:row r="184">
      <x:c r="A184" s="139"/>
      <x:c r="B184" s="141"/>
      <x:c r="C184" s="143"/>
      <x:c r="D184" s="143"/>
      <x:c r="E184" s="271" t="str">
        <x:f>IF(OR(C184="",D184=""),"",MOD(D184-C184,1)*24*60)</x:f>
      </x:c>
      <x:c r="F184" s="139"/>
      <x:c r="G184" s="139"/>
      <x:c r="H184" s="139"/>
    </x:row>
    <x:row r="185">
      <x:c r="A185" s="139"/>
      <x:c r="B185" s="141"/>
      <x:c r="C185" s="143"/>
      <x:c r="D185" s="143"/>
      <x:c r="E185" s="271" t="str">
        <x:f>IF(OR(C185="",D185=""),"",MOD(D185-C185,1)*24*60)</x:f>
      </x:c>
      <x:c r="F185" s="139"/>
      <x:c r="G185" s="139"/>
      <x:c r="H185" s="139"/>
    </x:row>
    <x:row r="186">
      <x:c r="A186" s="139"/>
      <x:c r="B186" s="141"/>
      <x:c r="C186" s="143"/>
      <x:c r="D186" s="143"/>
      <x:c r="E186" s="271" t="str">
        <x:f>IF(OR(C186="",D186=""),"",MOD(D186-C186,1)*24*60)</x:f>
      </x:c>
      <x:c r="F186" s="139"/>
      <x:c r="G186" s="139"/>
      <x:c r="H186" s="139"/>
    </x:row>
    <x:row r="187">
      <x:c r="A187" s="139"/>
      <x:c r="B187" s="141"/>
      <x:c r="C187" s="143"/>
      <x:c r="D187" s="143"/>
      <x:c r="E187" s="271" t="str">
        <x:f>IF(OR(C187="",D187=""),"",MOD(D187-C187,1)*24*60)</x:f>
      </x:c>
      <x:c r="F187" s="139"/>
      <x:c r="G187" s="139"/>
      <x:c r="H187" s="139"/>
    </x:row>
    <x:row r="188">
      <x:c r="A188" s="139"/>
      <x:c r="B188" s="141"/>
      <x:c r="C188" s="143"/>
      <x:c r="D188" s="143"/>
      <x:c r="E188" s="271" t="str">
        <x:f>IF(OR(C188="",D188=""),"",MOD(D188-C188,1)*24*60)</x:f>
      </x:c>
      <x:c r="F188" s="139"/>
      <x:c r="G188" s="139"/>
      <x:c r="H188" s="139"/>
    </x:row>
    <x:row r="189">
      <x:c r="A189" s="139"/>
      <x:c r="B189" s="141"/>
      <x:c r="C189" s="143"/>
      <x:c r="D189" s="143"/>
      <x:c r="E189" s="271" t="str">
        <x:f>IF(OR(C189="",D189=""),"",MOD(D189-C189,1)*24*60)</x:f>
      </x:c>
      <x:c r="F189" s="139"/>
      <x:c r="G189" s="139"/>
      <x:c r="H189" s="139"/>
    </x:row>
    <x:row r="190">
      <x:c r="A190" s="139"/>
      <x:c r="B190" s="141"/>
      <x:c r="C190" s="143"/>
      <x:c r="D190" s="143"/>
      <x:c r="E190" s="271" t="str">
        <x:f>IF(OR(C190="",D190=""),"",MOD(D190-C190,1)*24*60)</x:f>
      </x:c>
      <x:c r="F190" s="139"/>
      <x:c r="G190" s="139"/>
      <x:c r="H190" s="139"/>
    </x:row>
    <x:row r="191">
      <x:c r="A191" s="139"/>
      <x:c r="B191" s="141"/>
      <x:c r="C191" s="143"/>
      <x:c r="D191" s="143"/>
      <x:c r="E191" s="271" t="str">
        <x:f>IF(OR(C191="",D191=""),"",MOD(D191-C191,1)*24*60)</x:f>
      </x:c>
      <x:c r="F191" s="139"/>
      <x:c r="G191" s="139"/>
      <x:c r="H191" s="139"/>
    </x:row>
    <x:row r="192">
      <x:c r="A192" s="139"/>
      <x:c r="B192" s="141"/>
      <x:c r="C192" s="143"/>
      <x:c r="D192" s="143"/>
      <x:c r="E192" s="271" t="str">
        <x:f>IF(OR(C192="",D192=""),"",MOD(D192-C192,1)*24*60)</x:f>
      </x:c>
      <x:c r="F192" s="139"/>
      <x:c r="G192" s="139"/>
      <x:c r="H192" s="139"/>
    </x:row>
    <x:row r="193">
      <x:c r="A193" s="139"/>
      <x:c r="B193" s="141"/>
      <x:c r="C193" s="143"/>
      <x:c r="D193" s="143"/>
      <x:c r="E193" s="271" t="str">
        <x:f>IF(OR(C193="",D193=""),"",MOD(D193-C193,1)*24*60)</x:f>
      </x:c>
      <x:c r="F193" s="139"/>
      <x:c r="G193" s="139"/>
      <x:c r="H193" s="139"/>
    </x:row>
    <x:row r="194">
      <x:c r="A194" s="139"/>
      <x:c r="B194" s="141"/>
      <x:c r="C194" s="143"/>
      <x:c r="D194" s="143"/>
      <x:c r="E194" s="271" t="str">
        <x:f>IF(OR(C194="",D194=""),"",MOD(D194-C194,1)*24*60)</x:f>
      </x:c>
      <x:c r="F194" s="139"/>
      <x:c r="G194" s="139"/>
      <x:c r="H194" s="139"/>
    </x:row>
    <x:row r="195">
      <x:c r="A195" s="139"/>
      <x:c r="B195" s="141"/>
      <x:c r="C195" s="143"/>
      <x:c r="D195" s="143"/>
      <x:c r="E195" s="271" t="str">
        <x:f>IF(OR(C195="",D195=""),"",MOD(D195-C195,1)*24*60)</x:f>
      </x:c>
      <x:c r="F195" s="139"/>
      <x:c r="G195" s="139"/>
      <x:c r="H195" s="139"/>
    </x:row>
    <x:row r="196">
      <x:c r="A196" s="139"/>
      <x:c r="B196" s="141"/>
      <x:c r="C196" s="143"/>
      <x:c r="D196" s="143"/>
      <x:c r="E196" s="271" t="str">
        <x:f>IF(OR(C196="",D196=""),"",MOD(D196-C196,1)*24*60)</x:f>
      </x:c>
      <x:c r="F196" s="139"/>
      <x:c r="G196" s="139"/>
      <x:c r="H196" s="139"/>
    </x:row>
    <x:row r="197">
      <x:c r="A197" s="139"/>
      <x:c r="B197" s="141"/>
      <x:c r="C197" s="143"/>
      <x:c r="D197" s="143"/>
      <x:c r="E197" s="271" t="str">
        <x:f>IF(OR(C197="",D197=""),"",MOD(D197-C197,1)*24*60)</x:f>
      </x:c>
      <x:c r="F197" s="139"/>
      <x:c r="G197" s="139"/>
      <x:c r="H197" s="139"/>
    </x:row>
    <x:row r="198">
      <x:c r="A198" s="139"/>
      <x:c r="B198" s="141"/>
      <x:c r="C198" s="143"/>
      <x:c r="D198" s="143"/>
      <x:c r="E198" s="271" t="str">
        <x:f>IF(OR(C198="",D198=""),"",MOD(D198-C198,1)*24*60)</x:f>
      </x:c>
      <x:c r="F198" s="139"/>
      <x:c r="G198" s="139"/>
      <x:c r="H198" s="139"/>
    </x:row>
    <x:row r="199">
      <x:c r="A199" s="139"/>
      <x:c r="B199" s="141"/>
      <x:c r="C199" s="143"/>
      <x:c r="D199" s="143"/>
      <x:c r="E199" s="271" t="str">
        <x:f>IF(OR(C199="",D199=""),"",MOD(D199-C199,1)*24*60)</x:f>
      </x:c>
      <x:c r="F199" s="139"/>
      <x:c r="G199" s="139"/>
      <x:c r="H199" s="139"/>
    </x:row>
    <x:row r="200">
      <x:c r="A200" s="139"/>
      <x:c r="B200" s="141"/>
      <x:c r="C200" s="143"/>
      <x:c r="D200" s="143"/>
      <x:c r="E200" s="271" t="str">
        <x:f>IF(OR(C200="",D200=""),"",MOD(D200-C200,1)*24*60)</x:f>
      </x:c>
      <x:c r="F200" s="139"/>
      <x:c r="G200" s="139"/>
      <x:c r="H200" s="139"/>
    </x:row>
    <x:row r="201">
      <x:c r="A201" s="139"/>
      <x:c r="B201" s="141"/>
      <x:c r="C201" s="143"/>
      <x:c r="D201" s="143"/>
      <x:c r="E201" s="271" t="str">
        <x:f>IF(OR(C201="",D201=""),"",MOD(D201-C201,1)*24*60)</x:f>
      </x:c>
      <x:c r="F201" s="139"/>
      <x:c r="G201" s="139"/>
      <x:c r="H201" s="139"/>
    </x:row>
    <x:row r="202">
      <x:c r="A202" s="139"/>
      <x:c r="B202" s="141"/>
      <x:c r="C202" s="143"/>
      <x:c r="D202" s="143"/>
      <x:c r="E202" s="271" t="str">
        <x:f>IF(OR(C202="",D202=""),"",MOD(D202-C202,1)*24*60)</x:f>
      </x:c>
      <x:c r="F202" s="139"/>
      <x:c r="G202" s="139"/>
      <x:c r="H202" s="139"/>
    </x:row>
    <x:row r="203">
      <x:c r="A203" s="139"/>
      <x:c r="B203" s="141"/>
      <x:c r="C203" s="143"/>
      <x:c r="D203" s="143"/>
      <x:c r="E203" s="271" t="str">
        <x:f>IF(OR(C203="",D203=""),"",MOD(D203-C203,1)*24*60)</x:f>
      </x:c>
      <x:c r="F203" s="139"/>
      <x:c r="G203" s="139"/>
      <x:c r="H203" s="139"/>
    </x:row>
    <x:row r="204">
      <x:c r="A204" s="139"/>
      <x:c r="B204" s="141"/>
      <x:c r="C204" s="143"/>
      <x:c r="D204" s="143"/>
      <x:c r="E204" s="271" t="str">
        <x:f>IF(OR(C204="",D204=""),"",MOD(D204-C204,1)*24*60)</x:f>
      </x:c>
      <x:c r="F204" s="139"/>
      <x:c r="G204" s="139"/>
      <x:c r="H204" s="139"/>
    </x:row>
    <x:row r="205">
      <x:c r="A205" s="139"/>
      <x:c r="B205" s="141"/>
      <x:c r="C205" s="143"/>
      <x:c r="D205" s="143"/>
      <x:c r="E205" s="271" t="str">
        <x:f>IF(OR(C205="",D205=""),"",MOD(D205-C205,1)*24*60)</x:f>
      </x:c>
      <x:c r="F205" s="139"/>
      <x:c r="G205" s="139"/>
      <x:c r="H205" s="139"/>
    </x:row>
    <x:row r="206">
      <x:c r="A206" s="139"/>
      <x:c r="B206" s="141"/>
      <x:c r="C206" s="143"/>
      <x:c r="D206" s="143"/>
      <x:c r="E206" s="271" t="str">
        <x:f>IF(OR(C206="",D206=""),"",MOD(D206-C206,1)*24*60)</x:f>
      </x:c>
      <x:c r="F206" s="139"/>
      <x:c r="G206" s="139"/>
      <x:c r="H206" s="139"/>
    </x:row>
    <x:row r="207">
      <x:c r="A207" s="139"/>
      <x:c r="B207" s="141"/>
      <x:c r="C207" s="143"/>
      <x:c r="D207" s="143"/>
      <x:c r="E207" s="271" t="str">
        <x:f>IF(OR(C207="",D207=""),"",MOD(D207-C207,1)*24*60)</x:f>
      </x:c>
      <x:c r="F207" s="139"/>
      <x:c r="G207" s="139"/>
      <x:c r="H207" s="139"/>
    </x:row>
    <x:row r="208">
      <x:c r="A208" s="139"/>
      <x:c r="B208" s="141"/>
      <x:c r="C208" s="143"/>
      <x:c r="D208" s="143"/>
      <x:c r="E208" s="271" t="str">
        <x:f>IF(OR(C208="",D208=""),"",MOD(D208-C208,1)*24*60)</x:f>
      </x:c>
      <x:c r="F208" s="139"/>
      <x:c r="G208" s="139"/>
      <x:c r="H208" s="139"/>
    </x:row>
    <x:row r="209">
      <x:c r="A209" s="139"/>
      <x:c r="B209" s="141"/>
      <x:c r="C209" s="143"/>
      <x:c r="D209" s="143"/>
      <x:c r="E209" s="271" t="str">
        <x:f>IF(OR(C209="",D209=""),"",MOD(D209-C209,1)*24*60)</x:f>
      </x:c>
      <x:c r="F209" s="139"/>
      <x:c r="G209" s="139"/>
      <x:c r="H209" s="139"/>
    </x:row>
    <x:row r="210">
      <x:c r="A210" s="139"/>
      <x:c r="B210" s="141"/>
      <x:c r="C210" s="143"/>
      <x:c r="D210" s="143"/>
      <x:c r="E210" s="271" t="str">
        <x:f>IF(OR(C210="",D210=""),"",MOD(D210-C210,1)*24*60)</x:f>
      </x:c>
      <x:c r="F210" s="139"/>
      <x:c r="G210" s="139"/>
      <x:c r="H210" s="139"/>
    </x:row>
    <x:row r="211">
      <x:c r="A211" s="139"/>
      <x:c r="B211" s="141"/>
      <x:c r="C211" s="143"/>
      <x:c r="D211" s="143"/>
      <x:c r="E211" s="271" t="str">
        <x:f>IF(OR(C211="",D211=""),"",MOD(D211-C211,1)*24*60)</x:f>
      </x:c>
      <x:c r="F211" s="139"/>
      <x:c r="G211" s="139"/>
      <x:c r="H211" s="139"/>
    </x:row>
    <x:row r="212">
      <x:c r="A212" s="139"/>
      <x:c r="B212" s="141"/>
      <x:c r="C212" s="143"/>
      <x:c r="D212" s="143"/>
      <x:c r="E212" s="271" t="str">
        <x:f>IF(OR(C212="",D212=""),"",MOD(D212-C212,1)*24*60)</x:f>
      </x:c>
      <x:c r="F212" s="139"/>
      <x:c r="G212" s="139"/>
      <x:c r="H212" s="139"/>
    </x:row>
    <x:row r="213">
      <x:c r="A213" s="139"/>
      <x:c r="B213" s="141"/>
      <x:c r="C213" s="143"/>
      <x:c r="D213" s="143"/>
      <x:c r="E213" s="271" t="str">
        <x:f>IF(OR(C213="",D213=""),"",MOD(D213-C213,1)*24*60)</x:f>
      </x:c>
      <x:c r="F213" s="139"/>
      <x:c r="G213" s="139"/>
      <x:c r="H213" s="139"/>
    </x:row>
    <x:row r="214">
      <x:c r="A214" s="139"/>
      <x:c r="B214" s="141"/>
      <x:c r="C214" s="143"/>
      <x:c r="D214" s="143"/>
      <x:c r="E214" s="271" t="str">
        <x:f>IF(OR(C214="",D214=""),"",MOD(D214-C214,1)*24*60)</x:f>
      </x:c>
      <x:c r="F214" s="139"/>
      <x:c r="G214" s="139"/>
      <x:c r="H214" s="139"/>
    </x:row>
    <x:row r="215">
      <x:c r="A215" s="139"/>
      <x:c r="B215" s="141"/>
      <x:c r="C215" s="143"/>
      <x:c r="D215" s="143"/>
      <x:c r="E215" s="271" t="str">
        <x:f>IF(OR(C215="",D215=""),"",MOD(D215-C215,1)*24*60)</x:f>
      </x:c>
      <x:c r="F215" s="139"/>
      <x:c r="G215" s="139"/>
      <x:c r="H215" s="139"/>
    </x:row>
    <x:row r="216">
      <x:c r="A216" s="139"/>
      <x:c r="B216" s="141"/>
      <x:c r="C216" s="143"/>
      <x:c r="D216" s="143"/>
      <x:c r="E216" s="271" t="str">
        <x:f>IF(OR(C216="",D216=""),"",MOD(D216-C216,1)*24*60)</x:f>
      </x:c>
      <x:c r="F216" s="139"/>
      <x:c r="G216" s="139"/>
      <x:c r="H216" s="139"/>
    </x:row>
    <x:row r="217">
      <x:c r="A217" s="139"/>
      <x:c r="B217" s="141"/>
      <x:c r="C217" s="143"/>
      <x:c r="D217" s="143"/>
      <x:c r="E217" s="271" t="str">
        <x:f>IF(OR(C217="",D217=""),"",MOD(D217-C217,1)*24*60)</x:f>
      </x:c>
      <x:c r="F217" s="139"/>
      <x:c r="G217" s="139"/>
      <x:c r="H217" s="139"/>
    </x:row>
    <x:row r="218">
      <x:c r="A218" s="139"/>
      <x:c r="B218" s="141"/>
      <x:c r="C218" s="143"/>
      <x:c r="D218" s="143"/>
      <x:c r="E218" s="271" t="str">
        <x:f>IF(OR(C218="",D218=""),"",MOD(D218-C218,1)*24*60)</x:f>
      </x:c>
      <x:c r="F218" s="139"/>
      <x:c r="G218" s="139"/>
      <x:c r="H218" s="139"/>
    </x:row>
    <x:row r="219">
      <x:c r="A219" s="139"/>
      <x:c r="B219" s="141"/>
      <x:c r="C219" s="143"/>
      <x:c r="D219" s="143"/>
      <x:c r="E219" s="271" t="str">
        <x:f>IF(OR(C219="",D219=""),"",MOD(D219-C219,1)*24*60)</x:f>
      </x:c>
      <x:c r="F219" s="139"/>
      <x:c r="G219" s="139"/>
      <x:c r="H219" s="139"/>
    </x:row>
    <x:row r="220">
      <x:c r="A220" s="139"/>
      <x:c r="B220" s="141"/>
      <x:c r="C220" s="143"/>
      <x:c r="D220" s="143"/>
      <x:c r="E220" s="271" t="str">
        <x:f>IF(OR(C220="",D220=""),"",MOD(D220-C220,1)*24*60)</x:f>
      </x:c>
      <x:c r="F220" s="139"/>
      <x:c r="G220" s="139"/>
      <x:c r="H220" s="139"/>
    </x:row>
    <x:row r="221">
      <x:c r="A221" s="139"/>
      <x:c r="B221" s="141"/>
      <x:c r="C221" s="143"/>
      <x:c r="D221" s="143"/>
      <x:c r="E221" s="271" t="str">
        <x:f>IF(OR(C221="",D221=""),"",MOD(D221-C221,1)*24*60)</x:f>
      </x:c>
      <x:c r="F221" s="139"/>
      <x:c r="G221" s="139"/>
      <x:c r="H221" s="139"/>
    </x:row>
    <x:row r="222">
      <x:c r="A222" s="139"/>
      <x:c r="B222" s="141"/>
      <x:c r="C222" s="143"/>
      <x:c r="D222" s="143"/>
      <x:c r="E222" s="271" t="str">
        <x:f>IF(OR(C222="",D222=""),"",MOD(D222-C222,1)*24*60)</x:f>
      </x:c>
      <x:c r="F222" s="139"/>
      <x:c r="G222" s="139"/>
      <x:c r="H222" s="139"/>
    </x:row>
    <x:row r="223">
      <x:c r="A223" s="139"/>
      <x:c r="B223" s="141"/>
      <x:c r="C223" s="143"/>
      <x:c r="D223" s="143"/>
      <x:c r="E223" s="271" t="str">
        <x:f>IF(OR(C223="",D223=""),"",MOD(D223-C223,1)*24*60)</x:f>
      </x:c>
      <x:c r="F223" s="139"/>
      <x:c r="G223" s="139"/>
      <x:c r="H223" s="139"/>
    </x:row>
    <x:row r="224">
      <x:c r="A224" s="139"/>
      <x:c r="B224" s="141"/>
      <x:c r="C224" s="143"/>
      <x:c r="D224" s="143"/>
      <x:c r="E224" s="271" t="str">
        <x:f>IF(OR(C224="",D224=""),"",MOD(D224-C224,1)*24*60)</x:f>
      </x:c>
      <x:c r="F224" s="139"/>
      <x:c r="G224" s="139"/>
      <x:c r="H224" s="139"/>
    </x:row>
    <x:row r="225">
      <x:c r="A225" s="139"/>
      <x:c r="B225" s="141"/>
      <x:c r="C225" s="143"/>
      <x:c r="D225" s="143"/>
      <x:c r="E225" s="271" t="str">
        <x:f>IF(OR(C225="",D225=""),"",MOD(D225-C225,1)*24*60)</x:f>
      </x:c>
      <x:c r="F225" s="139"/>
      <x:c r="G225" s="139"/>
      <x:c r="H225" s="139"/>
    </x:row>
    <x:row r="226">
      <x:c r="A226" s="139"/>
      <x:c r="B226" s="141"/>
      <x:c r="C226" s="143"/>
      <x:c r="D226" s="143"/>
      <x:c r="E226" s="271" t="str">
        <x:f>IF(OR(C226="",D226=""),"",MOD(D226-C226,1)*24*60)</x:f>
      </x:c>
      <x:c r="F226" s="139"/>
      <x:c r="G226" s="139"/>
      <x:c r="H226" s="139"/>
    </x:row>
    <x:row r="227">
      <x:c r="A227" s="139"/>
      <x:c r="B227" s="141"/>
      <x:c r="C227" s="143"/>
      <x:c r="D227" s="143"/>
      <x:c r="E227" s="271" t="str">
        <x:f>IF(OR(C227="",D227=""),"",MOD(D227-C227,1)*24*60)</x:f>
      </x:c>
      <x:c r="F227" s="139"/>
      <x:c r="G227" s="139"/>
      <x:c r="H227" s="139"/>
    </x:row>
    <x:row r="228">
      <x:c r="A228" s="139"/>
      <x:c r="B228" s="141"/>
      <x:c r="C228" s="143"/>
      <x:c r="D228" s="143"/>
      <x:c r="E228" s="271" t="str">
        <x:f>IF(OR(C228="",D228=""),"",MOD(D228-C228,1)*24*60)</x:f>
      </x:c>
      <x:c r="F228" s="139"/>
      <x:c r="G228" s="139"/>
      <x:c r="H228" s="139"/>
    </x:row>
    <x:row r="229">
      <x:c r="A229" s="139"/>
      <x:c r="B229" s="141"/>
      <x:c r="C229" s="143"/>
      <x:c r="D229" s="143"/>
      <x:c r="E229" s="271" t="str">
        <x:f>IF(OR(C229="",D229=""),"",MOD(D229-C229,1)*24*60)</x:f>
      </x:c>
      <x:c r="F229" s="139"/>
      <x:c r="G229" s="139"/>
      <x:c r="H229" s="139"/>
    </x:row>
    <x:row r="230">
      <x:c r="A230" s="139"/>
      <x:c r="B230" s="141"/>
      <x:c r="C230" s="143"/>
      <x:c r="D230" s="143"/>
      <x:c r="E230" s="271" t="str">
        <x:f>IF(OR(C230="",D230=""),"",MOD(D230-C230,1)*24*60)</x:f>
      </x:c>
      <x:c r="F230" s="139"/>
      <x:c r="G230" s="139"/>
      <x:c r="H230" s="139"/>
    </x:row>
    <x:row r="231">
      <x:c r="A231" s="139"/>
      <x:c r="B231" s="141"/>
      <x:c r="C231" s="143"/>
      <x:c r="D231" s="143"/>
      <x:c r="E231" s="271" t="str">
        <x:f>IF(OR(C231="",D231=""),"",MOD(D231-C231,1)*24*60)</x:f>
      </x:c>
      <x:c r="F231" s="139"/>
      <x:c r="G231" s="139"/>
      <x:c r="H231" s="139"/>
    </x:row>
    <x:row r="232">
      <x:c r="A232" s="139"/>
      <x:c r="B232" s="141"/>
      <x:c r="C232" s="143"/>
      <x:c r="D232" s="143"/>
      <x:c r="E232" s="271" t="str">
        <x:f>IF(OR(C232="",D232=""),"",MOD(D232-C232,1)*24*60)</x:f>
      </x:c>
      <x:c r="F232" s="139"/>
      <x:c r="G232" s="139"/>
      <x:c r="H232" s="139"/>
    </x:row>
    <x:row r="233">
      <x:c r="A233" s="139"/>
      <x:c r="B233" s="141"/>
      <x:c r="C233" s="143"/>
      <x:c r="D233" s="143"/>
      <x:c r="E233" s="271" t="str">
        <x:f>IF(OR(C233="",D233=""),"",MOD(D233-C233,1)*24*60)</x:f>
      </x:c>
      <x:c r="F233" s="139"/>
      <x:c r="G233" s="139"/>
      <x:c r="H233" s="139"/>
    </x:row>
    <x:row r="234">
      <x:c r="A234" s="139"/>
      <x:c r="B234" s="141"/>
      <x:c r="C234" s="143"/>
      <x:c r="D234" s="143"/>
      <x:c r="E234" s="271" t="str">
        <x:f>IF(OR(C234="",D234=""),"",MOD(D234-C234,1)*24*60)</x:f>
      </x:c>
      <x:c r="F234" s="139"/>
      <x:c r="G234" s="139"/>
      <x:c r="H234" s="139"/>
    </x:row>
    <x:row r="235">
      <x:c r="A235" s="139"/>
      <x:c r="B235" s="141"/>
      <x:c r="C235" s="143"/>
      <x:c r="D235" s="143"/>
      <x:c r="E235" s="271" t="str">
        <x:f>IF(OR(C235="",D235=""),"",MOD(D235-C235,1)*24*60)</x:f>
      </x:c>
      <x:c r="F235" s="139"/>
      <x:c r="G235" s="139"/>
      <x:c r="H235" s="139"/>
    </x:row>
    <x:row r="236">
      <x:c r="A236" s="139"/>
      <x:c r="B236" s="141"/>
      <x:c r="C236" s="143"/>
      <x:c r="D236" s="143"/>
      <x:c r="E236" s="271" t="str">
        <x:f>IF(OR(C236="",D236=""),"",MOD(D236-C236,1)*24*60)</x:f>
      </x:c>
      <x:c r="F236" s="139"/>
      <x:c r="G236" s="139"/>
      <x:c r="H236" s="139"/>
    </x:row>
    <x:row r="237">
      <x:c r="A237" s="139"/>
      <x:c r="B237" s="141"/>
      <x:c r="C237" s="143"/>
      <x:c r="D237" s="143"/>
      <x:c r="E237" s="271" t="str">
        <x:f>IF(OR(C237="",D237=""),"",MOD(D237-C237,1)*24*60)</x:f>
      </x:c>
      <x:c r="F237" s="139"/>
      <x:c r="G237" s="139"/>
      <x:c r="H237" s="139"/>
    </x:row>
    <x:row r="238">
      <x:c r="A238" s="139"/>
      <x:c r="B238" s="141"/>
      <x:c r="C238" s="143"/>
      <x:c r="D238" s="143"/>
      <x:c r="E238" s="271" t="str">
        <x:f>IF(OR(C238="",D238=""),"",MOD(D238-C238,1)*24*60)</x:f>
      </x:c>
      <x:c r="F238" s="139"/>
      <x:c r="G238" s="139"/>
      <x:c r="H238" s="139"/>
    </x:row>
    <x:row r="239">
      <x:c r="A239" s="139"/>
      <x:c r="B239" s="141"/>
      <x:c r="C239" s="143"/>
      <x:c r="D239" s="143"/>
      <x:c r="E239" s="271" t="str">
        <x:f>IF(OR(C239="",D239=""),"",MOD(D239-C239,1)*24*60)</x:f>
      </x:c>
      <x:c r="F239" s="139"/>
      <x:c r="G239" s="139"/>
      <x:c r="H239" s="139"/>
    </x:row>
    <x:row r="240">
      <x:c r="A240" s="139"/>
      <x:c r="B240" s="141"/>
      <x:c r="C240" s="143"/>
      <x:c r="D240" s="143"/>
      <x:c r="E240" s="271" t="str">
        <x:f>IF(OR(C240="",D240=""),"",MOD(D240-C240,1)*24*60)</x:f>
      </x:c>
      <x:c r="F240" s="139"/>
      <x:c r="G240" s="139"/>
      <x:c r="H240" s="139"/>
    </x:row>
    <x:row r="241">
      <x:c r="A241" s="139"/>
      <x:c r="B241" s="141"/>
      <x:c r="C241" s="143"/>
      <x:c r="D241" s="143"/>
      <x:c r="E241" s="271" t="str">
        <x:f>IF(OR(C241="",D241=""),"",MOD(D241-C241,1)*24*60)</x:f>
      </x:c>
      <x:c r="F241" s="139"/>
      <x:c r="G241" s="139"/>
      <x:c r="H241" s="139"/>
    </x:row>
    <x:row r="242">
      <x:c r="A242" s="139"/>
      <x:c r="B242" s="141"/>
      <x:c r="C242" s="143"/>
      <x:c r="D242" s="143"/>
      <x:c r="E242" s="271" t="str">
        <x:f>IF(OR(C242="",D242=""),"",MOD(D242-C242,1)*24*60)</x:f>
      </x:c>
      <x:c r="F242" s="139"/>
      <x:c r="G242" s="139"/>
      <x:c r="H242" s="139"/>
    </x:row>
    <x:row r="243">
      <x:c r="A243" s="139"/>
      <x:c r="B243" s="141"/>
      <x:c r="C243" s="143"/>
      <x:c r="D243" s="143"/>
      <x:c r="E243" s="271" t="str">
        <x:f>IF(OR(C243="",D243=""),"",MOD(D243-C243,1)*24*60)</x:f>
      </x:c>
      <x:c r="F243" s="139"/>
      <x:c r="G243" s="139"/>
      <x:c r="H243" s="139"/>
    </x:row>
    <x:row r="244">
      <x:c r="A244" s="139"/>
      <x:c r="B244" s="141"/>
      <x:c r="C244" s="143"/>
      <x:c r="D244" s="143"/>
      <x:c r="E244" s="271" t="str">
        <x:f>IF(OR(C244="",D244=""),"",MOD(D244-C244,1)*24*60)</x:f>
      </x:c>
      <x:c r="F244" s="139"/>
      <x:c r="G244" s="139"/>
      <x:c r="H244" s="139"/>
    </x:row>
    <x:row r="245">
      <x:c r="A245" s="139"/>
      <x:c r="B245" s="141"/>
      <x:c r="C245" s="143"/>
      <x:c r="D245" s="143"/>
      <x:c r="E245" s="271" t="str">
        <x:f>IF(OR(C245="",D245=""),"",MOD(D245-C245,1)*24*60)</x:f>
      </x:c>
      <x:c r="F245" s="139"/>
      <x:c r="G245" s="139"/>
      <x:c r="H245" s="139"/>
    </x:row>
    <x:row r="246">
      <x:c r="A246" s="139"/>
      <x:c r="B246" s="141"/>
      <x:c r="C246" s="143"/>
      <x:c r="D246" s="143"/>
      <x:c r="E246" s="271" t="str">
        <x:f>IF(OR(C246="",D246=""),"",MOD(D246-C246,1)*24*60)</x:f>
      </x:c>
      <x:c r="F246" s="139"/>
      <x:c r="G246" s="139"/>
      <x:c r="H246" s="139"/>
    </x:row>
    <x:row r="247">
      <x:c r="A247" s="139"/>
      <x:c r="B247" s="141"/>
      <x:c r="C247" s="143"/>
      <x:c r="D247" s="143"/>
      <x:c r="E247" s="271" t="str">
        <x:f>IF(OR(C247="",D247=""),"",MOD(D247-C247,1)*24*60)</x:f>
      </x:c>
      <x:c r="F247" s="139"/>
      <x:c r="G247" s="139"/>
      <x:c r="H247" s="139"/>
    </x:row>
    <x:row r="248">
      <x:c r="A248" s="139"/>
      <x:c r="B248" s="141"/>
      <x:c r="C248" s="143"/>
      <x:c r="D248" s="143"/>
      <x:c r="E248" s="271" t="str">
        <x:f>IF(OR(C248="",D248=""),"",MOD(D248-C248,1)*24*60)</x:f>
      </x:c>
      <x:c r="F248" s="139"/>
      <x:c r="G248" s="139"/>
      <x:c r="H248" s="139"/>
    </x:row>
    <x:row r="249">
      <x:c r="A249" s="139"/>
      <x:c r="B249" s="141"/>
      <x:c r="C249" s="143"/>
      <x:c r="D249" s="143"/>
      <x:c r="E249" s="271" t="str">
        <x:f>IF(OR(C249="",D249=""),"",MOD(D249-C249,1)*24*60)</x:f>
      </x:c>
      <x:c r="F249" s="139"/>
      <x:c r="G249" s="139"/>
      <x:c r="H249" s="139"/>
    </x:row>
    <x:row r="250">
      <x:c r="A250" s="139"/>
      <x:c r="B250" s="141"/>
      <x:c r="C250" s="143"/>
      <x:c r="D250" s="143"/>
      <x:c r="E250" s="271" t="str">
        <x:f>IF(OR(C250="",D250=""),"",MOD(D250-C250,1)*24*60)</x:f>
      </x:c>
      <x:c r="F250" s="139"/>
      <x:c r="G250" s="139"/>
      <x:c r="H250" s="139"/>
    </x:row>
    <x:row r="251">
      <x:c r="A251" s="139"/>
      <x:c r="B251" s="141"/>
      <x:c r="C251" s="143"/>
      <x:c r="D251" s="143"/>
      <x:c r="E251" s="271" t="str">
        <x:f>IF(OR(C251="",D251=""),"",MOD(D251-C251,1)*24*60)</x:f>
      </x:c>
      <x:c r="F251" s="139"/>
      <x:c r="G251" s="139"/>
      <x:c r="H251" s="139"/>
    </x:row>
    <x:row r="252">
      <x:c r="A252" s="139"/>
      <x:c r="B252" s="141"/>
      <x:c r="C252" s="143"/>
      <x:c r="D252" s="143"/>
      <x:c r="E252" s="271" t="str">
        <x:f>IF(OR(C252="",D252=""),"",MOD(D252-C252,1)*24*60)</x:f>
      </x:c>
      <x:c r="F252" s="139"/>
      <x:c r="G252" s="139"/>
      <x:c r="H252" s="139"/>
    </x:row>
    <x:row r="253">
      <x:c r="A253" s="139"/>
      <x:c r="B253" s="141"/>
      <x:c r="C253" s="143"/>
      <x:c r="D253" s="143"/>
      <x:c r="E253" s="271" t="str">
        <x:f>IF(OR(C253="",D253=""),"",MOD(D253-C253,1)*24*60)</x:f>
      </x:c>
      <x:c r="F253" s="139"/>
      <x:c r="G253" s="139"/>
      <x:c r="H253" s="139"/>
    </x:row>
    <x:row r="254">
      <x:c r="A254" s="139"/>
      <x:c r="B254" s="141"/>
      <x:c r="C254" s="143"/>
      <x:c r="D254" s="143"/>
      <x:c r="E254" s="271" t="str">
        <x:f>IF(OR(C254="",D254=""),"",MOD(D254-C254,1)*24*60)</x:f>
      </x:c>
      <x:c r="F254" s="139"/>
      <x:c r="G254" s="139"/>
      <x:c r="H254" s="139"/>
    </x:row>
    <x:row r="255">
      <x:c r="A255" s="139"/>
      <x:c r="B255" s="141"/>
      <x:c r="C255" s="143"/>
      <x:c r="D255" s="143"/>
      <x:c r="E255" s="271" t="str">
        <x:f>IF(OR(C255="",D255=""),"",MOD(D255-C255,1)*24*60)</x:f>
      </x:c>
      <x:c r="F255" s="139"/>
      <x:c r="G255" s="139"/>
      <x:c r="H255" s="139"/>
    </x:row>
    <x:row r="256">
      <x:c r="A256" s="139"/>
      <x:c r="B256" s="141"/>
      <x:c r="C256" s="143"/>
      <x:c r="D256" s="143"/>
      <x:c r="E256" s="271" t="str">
        <x:f>IF(OR(C256="",D256=""),"",MOD(D256-C256,1)*24*60)</x:f>
      </x:c>
      <x:c r="F256" s="139"/>
      <x:c r="G256" s="139"/>
      <x:c r="H256" s="139"/>
    </x:row>
    <x:row r="257">
      <x:c r="A257" s="139"/>
      <x:c r="B257" s="141"/>
      <x:c r="C257" s="143"/>
      <x:c r="D257" s="143"/>
      <x:c r="E257" s="271" t="str">
        <x:f>IF(OR(C257="",D257=""),"",MOD(D257-C257,1)*24*60)</x:f>
      </x:c>
      <x:c r="F257" s="139"/>
      <x:c r="G257" s="139"/>
      <x:c r="H257" s="139"/>
    </x:row>
    <x:row r="258">
      <x:c r="A258" s="139"/>
      <x:c r="B258" s="141"/>
      <x:c r="C258" s="143"/>
      <x:c r="D258" s="143"/>
      <x:c r="E258" s="271" t="str">
        <x:f>IF(OR(C258="",D258=""),"",MOD(D258-C258,1)*24*60)</x:f>
      </x:c>
      <x:c r="F258" s="139"/>
      <x:c r="G258" s="139"/>
      <x:c r="H258" s="139"/>
    </x:row>
    <x:row r="259">
      <x:c r="A259" s="139"/>
      <x:c r="B259" s="141"/>
      <x:c r="C259" s="143"/>
      <x:c r="D259" s="143"/>
      <x:c r="E259" s="271" t="str">
        <x:f>IF(OR(C259="",D259=""),"",MOD(D259-C259,1)*24*60)</x:f>
      </x:c>
      <x:c r="F259" s="139"/>
      <x:c r="G259" s="139"/>
      <x:c r="H259" s="139"/>
    </x:row>
    <x:row r="260">
      <x:c r="A260" s="139"/>
      <x:c r="B260" s="141"/>
      <x:c r="C260" s="143"/>
      <x:c r="D260" s="143"/>
      <x:c r="E260" s="271" t="str">
        <x:f>IF(OR(C260="",D260=""),"",MOD(D260-C260,1)*24*60)</x:f>
      </x:c>
      <x:c r="F260" s="139"/>
      <x:c r="G260" s="139"/>
      <x:c r="H260" s="139"/>
    </x:row>
    <x:row r="261">
      <x:c r="A261" s="139"/>
      <x:c r="B261" s="141"/>
      <x:c r="C261" s="143"/>
      <x:c r="D261" s="143"/>
      <x:c r="E261" s="271" t="str">
        <x:f>IF(OR(C261="",D261=""),"",MOD(D261-C261,1)*24*60)</x:f>
      </x:c>
      <x:c r="F261" s="139"/>
      <x:c r="G261" s="139"/>
      <x:c r="H261" s="139"/>
    </x:row>
    <x:row r="262">
      <x:c r="A262" s="139"/>
      <x:c r="B262" s="141"/>
      <x:c r="C262" s="143"/>
      <x:c r="D262" s="143"/>
      <x:c r="E262" s="271" t="str">
        <x:f>IF(OR(C262="",D262=""),"",MOD(D262-C262,1)*24*60)</x:f>
      </x:c>
      <x:c r="F262" s="139"/>
      <x:c r="G262" s="139"/>
      <x:c r="H262" s="139"/>
    </x:row>
    <x:row r="263">
      <x:c r="A263" s="139"/>
      <x:c r="B263" s="141"/>
      <x:c r="C263" s="143"/>
      <x:c r="D263" s="143"/>
      <x:c r="E263" s="271" t="str">
        <x:f>IF(OR(C263="",D263=""),"",MOD(D263-C263,1)*24*60)</x:f>
      </x:c>
      <x:c r="F263" s="139"/>
      <x:c r="G263" s="139"/>
      <x:c r="H263" s="139"/>
    </x:row>
    <x:row r="264">
      <x:c r="A264" s="139"/>
      <x:c r="B264" s="141"/>
      <x:c r="C264" s="143"/>
      <x:c r="D264" s="143"/>
      <x:c r="E264" s="271" t="str">
        <x:f>IF(OR(C264="",D264=""),"",MOD(D264-C264,1)*24*60)</x:f>
      </x:c>
      <x:c r="F264" s="139"/>
      <x:c r="G264" s="139"/>
      <x:c r="H264" s="139"/>
    </x:row>
    <x:row r="265">
      <x:c r="A265" s="139"/>
      <x:c r="B265" s="141"/>
      <x:c r="C265" s="143"/>
      <x:c r="D265" s="143"/>
      <x:c r="E265" s="271" t="str">
        <x:f>IF(OR(C265="",D265=""),"",MOD(D265-C265,1)*24*60)</x:f>
      </x:c>
      <x:c r="F265" s="139"/>
      <x:c r="G265" s="139"/>
      <x:c r="H265" s="139"/>
    </x:row>
    <x:row r="266">
      <x:c r="A266" s="139"/>
      <x:c r="B266" s="141"/>
      <x:c r="C266" s="143"/>
      <x:c r="D266" s="143"/>
      <x:c r="E266" s="271" t="str">
        <x:f>IF(OR(C266="",D266=""),"",MOD(D266-C266,1)*24*60)</x:f>
      </x:c>
      <x:c r="F266" s="139"/>
      <x:c r="G266" s="139"/>
      <x:c r="H266" s="139"/>
    </x:row>
    <x:row r="267">
      <x:c r="A267" s="139"/>
      <x:c r="B267" s="141"/>
      <x:c r="C267" s="143"/>
      <x:c r="D267" s="143"/>
      <x:c r="E267" s="271" t="str">
        <x:f>IF(OR(C267="",D267=""),"",MOD(D267-C267,1)*24*60)</x:f>
      </x:c>
      <x:c r="F267" s="139"/>
      <x:c r="G267" s="139"/>
      <x:c r="H267" s="139"/>
    </x:row>
    <x:row r="268">
      <x:c r="A268" s="139"/>
      <x:c r="B268" s="141"/>
      <x:c r="C268" s="143"/>
      <x:c r="D268" s="143"/>
      <x:c r="E268" s="271" t="str">
        <x:f>IF(OR(C268="",D268=""),"",MOD(D268-C268,1)*24*60)</x:f>
      </x:c>
      <x:c r="F268" s="139"/>
      <x:c r="G268" s="139"/>
      <x:c r="H268" s="139"/>
    </x:row>
    <x:row r="269">
      <x:c r="A269" s="139"/>
      <x:c r="B269" s="141"/>
      <x:c r="C269" s="143"/>
      <x:c r="D269" s="143"/>
      <x:c r="E269" s="271" t="str">
        <x:f>IF(OR(C269="",D269=""),"",MOD(D269-C269,1)*24*60)</x:f>
      </x:c>
      <x:c r="F269" s="139"/>
      <x:c r="G269" s="139"/>
      <x:c r="H269" s="139"/>
    </x:row>
    <x:row r="270">
      <x:c r="A270" s="139"/>
      <x:c r="B270" s="141"/>
      <x:c r="C270" s="143"/>
      <x:c r="D270" s="143"/>
      <x:c r="E270" s="271" t="str">
        <x:f>IF(OR(C270="",D270=""),"",MOD(D270-C270,1)*24*60)</x:f>
      </x:c>
      <x:c r="F270" s="139"/>
      <x:c r="G270" s="139"/>
      <x:c r="H270" s="139"/>
    </x:row>
    <x:row r="271">
      <x:c r="A271" s="139"/>
      <x:c r="B271" s="141"/>
      <x:c r="C271" s="143"/>
      <x:c r="D271" s="143"/>
      <x:c r="E271" s="271" t="str">
        <x:f>IF(OR(C271="",D271=""),"",MOD(D271-C271,1)*24*60)</x:f>
      </x:c>
      <x:c r="F271" s="139"/>
      <x:c r="G271" s="139"/>
      <x:c r="H271" s="139"/>
    </x:row>
    <x:row r="272">
      <x:c r="A272" s="139"/>
      <x:c r="B272" s="141"/>
      <x:c r="C272" s="143"/>
      <x:c r="D272" s="143"/>
      <x:c r="E272" s="271" t="str">
        <x:f>IF(OR(C272="",D272=""),"",MOD(D272-C272,1)*24*60)</x:f>
      </x:c>
      <x:c r="F272" s="139"/>
      <x:c r="G272" s="139"/>
      <x:c r="H272" s="139"/>
    </x:row>
    <x:row r="273">
      <x:c r="A273" s="139"/>
      <x:c r="B273" s="141"/>
      <x:c r="C273" s="143"/>
      <x:c r="D273" s="143"/>
      <x:c r="E273" s="271" t="str">
        <x:f>IF(OR(C273="",D273=""),"",MOD(D273-C273,1)*24*60)</x:f>
      </x:c>
      <x:c r="F273" s="139"/>
      <x:c r="G273" s="139"/>
      <x:c r="H273" s="139"/>
    </x:row>
    <x:row r="274">
      <x:c r="A274" s="139"/>
      <x:c r="B274" s="141"/>
      <x:c r="C274" s="143"/>
      <x:c r="D274" s="143"/>
      <x:c r="E274" s="271" t="str">
        <x:f>IF(OR(C274="",D274=""),"",MOD(D274-C274,1)*24*60)</x:f>
      </x:c>
      <x:c r="F274" s="139"/>
      <x:c r="G274" s="139"/>
      <x:c r="H274" s="139"/>
    </x:row>
    <x:row r="275">
      <x:c r="A275" s="139"/>
      <x:c r="B275" s="141"/>
      <x:c r="C275" s="143"/>
      <x:c r="D275" s="143"/>
      <x:c r="E275" s="271" t="str">
        <x:f>IF(OR(C275="",D275=""),"",MOD(D275-C275,1)*24*60)</x:f>
      </x:c>
      <x:c r="F275" s="139"/>
      <x:c r="G275" s="139"/>
      <x:c r="H275" s="139"/>
    </x:row>
    <x:row r="276">
      <x:c r="A276" s="139"/>
      <x:c r="B276" s="141"/>
      <x:c r="C276" s="143"/>
      <x:c r="D276" s="143"/>
      <x:c r="E276" s="271" t="str">
        <x:f>IF(OR(C276="",D276=""),"",MOD(D276-C276,1)*24*60)</x:f>
      </x:c>
      <x:c r="F276" s="139"/>
      <x:c r="G276" s="139"/>
      <x:c r="H276" s="139"/>
    </x:row>
    <x:row r="277">
      <x:c r="A277" s="139"/>
      <x:c r="B277" s="141"/>
      <x:c r="C277" s="143"/>
      <x:c r="D277" s="143"/>
      <x:c r="E277" s="271" t="str">
        <x:f>IF(OR(C277="",D277=""),"",MOD(D277-C277,1)*24*60)</x:f>
      </x:c>
      <x:c r="F277" s="139"/>
      <x:c r="G277" s="139"/>
      <x:c r="H277" s="139"/>
    </x:row>
    <x:row r="278">
      <x:c r="A278" s="139"/>
      <x:c r="B278" s="141"/>
      <x:c r="C278" s="143"/>
      <x:c r="D278" s="143"/>
      <x:c r="E278" s="271" t="str">
        <x:f>IF(OR(C278="",D278=""),"",MOD(D278-C278,1)*24*60)</x:f>
      </x:c>
      <x:c r="F278" s="139"/>
      <x:c r="G278" s="139"/>
      <x:c r="H278" s="139"/>
    </x:row>
    <x:row r="279">
      <x:c r="A279" s="139"/>
      <x:c r="B279" s="141"/>
      <x:c r="C279" s="143"/>
      <x:c r="D279" s="143"/>
      <x:c r="E279" s="271" t="str">
        <x:f>IF(OR(C279="",D279=""),"",MOD(D279-C279,1)*24*60)</x:f>
      </x:c>
      <x:c r="F279" s="139"/>
      <x:c r="G279" s="139"/>
      <x:c r="H279" s="139"/>
    </x:row>
    <x:row r="280">
      <x:c r="A280" s="139"/>
      <x:c r="B280" s="141"/>
      <x:c r="C280" s="143"/>
      <x:c r="D280" s="143"/>
      <x:c r="E280" s="271" t="str">
        <x:f>IF(OR(C280="",D280=""),"",MOD(D280-C280,1)*24*60)</x:f>
      </x:c>
      <x:c r="F280" s="139"/>
      <x:c r="G280" s="139"/>
      <x:c r="H280" s="139"/>
    </x:row>
    <x:row r="281">
      <x:c r="A281" s="139"/>
      <x:c r="B281" s="141"/>
      <x:c r="C281" s="143"/>
      <x:c r="D281" s="143"/>
      <x:c r="E281" s="271" t="str">
        <x:f>IF(OR(C281="",D281=""),"",MOD(D281-C281,1)*24*60)</x:f>
      </x:c>
      <x:c r="F281" s="139"/>
      <x:c r="G281" s="139"/>
      <x:c r="H281" s="139"/>
    </x:row>
    <x:row r="282">
      <x:c r="A282" s="139"/>
      <x:c r="B282" s="141"/>
      <x:c r="C282" s="143"/>
      <x:c r="D282" s="143"/>
      <x:c r="E282" s="271" t="str">
        <x:f>IF(OR(C282="",D282=""),"",MOD(D282-C282,1)*24*60)</x:f>
      </x:c>
      <x:c r="F282" s="139"/>
      <x:c r="G282" s="139"/>
      <x:c r="H282" s="139"/>
    </x:row>
    <x:row r="283">
      <x:c r="A283" s="139"/>
      <x:c r="B283" s="141"/>
      <x:c r="C283" s="143"/>
      <x:c r="D283" s="143"/>
      <x:c r="E283" s="271" t="str">
        <x:f>IF(OR(C283="",D283=""),"",MOD(D283-C283,1)*24*60)</x:f>
      </x:c>
      <x:c r="F283" s="139"/>
      <x:c r="G283" s="139"/>
      <x:c r="H283" s="139"/>
    </x:row>
    <x:row r="284">
      <x:c r="A284" s="139"/>
      <x:c r="B284" s="141"/>
      <x:c r="C284" s="143"/>
      <x:c r="D284" s="143"/>
      <x:c r="E284" s="271" t="str">
        <x:f>IF(OR(C284="",D284=""),"",MOD(D284-C284,1)*24*60)</x:f>
      </x:c>
      <x:c r="F284" s="139"/>
      <x:c r="G284" s="139"/>
      <x:c r="H284" s="139"/>
    </x:row>
    <x:row r="285">
      <x:c r="A285" s="139"/>
      <x:c r="B285" s="141"/>
      <x:c r="C285" s="143"/>
      <x:c r="D285" s="143"/>
      <x:c r="E285" s="271" t="str">
        <x:f>IF(OR(C285="",D285=""),"",MOD(D285-C285,1)*24*60)</x:f>
      </x:c>
      <x:c r="F285" s="139"/>
      <x:c r="G285" s="139"/>
      <x:c r="H285" s="139"/>
    </x:row>
    <x:row r="286">
      <x:c r="A286" s="139"/>
      <x:c r="B286" s="141"/>
      <x:c r="C286" s="143"/>
      <x:c r="D286" s="143"/>
      <x:c r="E286" s="271" t="str">
        <x:f>IF(OR(C286="",D286=""),"",MOD(D286-C286,1)*24*60)</x:f>
      </x:c>
      <x:c r="F286" s="139"/>
      <x:c r="G286" s="139"/>
      <x:c r="H286" s="139"/>
    </x:row>
    <x:row r="287">
      <x:c r="A287" s="139"/>
      <x:c r="B287" s="141"/>
      <x:c r="C287" s="143"/>
      <x:c r="D287" s="143"/>
      <x:c r="E287" s="271" t="str">
        <x:f>IF(OR(C287="",D287=""),"",MOD(D287-C287,1)*24*60)</x:f>
      </x:c>
      <x:c r="F287" s="139"/>
      <x:c r="G287" s="139"/>
      <x:c r="H287" s="139"/>
    </x:row>
    <x:row r="288">
      <x:c r="A288" s="139"/>
      <x:c r="B288" s="141"/>
      <x:c r="C288" s="143"/>
      <x:c r="D288" s="143"/>
      <x:c r="E288" s="271" t="str">
        <x:f>IF(OR(C288="",D288=""),"",MOD(D288-C288,1)*24*60)</x:f>
      </x:c>
      <x:c r="F288" s="139"/>
      <x:c r="G288" s="139"/>
      <x:c r="H288" s="139"/>
    </x:row>
    <x:row r="289">
      <x:c r="A289" s="139"/>
      <x:c r="B289" s="141"/>
      <x:c r="C289" s="143"/>
      <x:c r="D289" s="143"/>
      <x:c r="E289" s="271" t="str">
        <x:f>IF(OR(C289="",D289=""),"",MOD(D289-C289,1)*24*60)</x:f>
      </x:c>
      <x:c r="F289" s="139"/>
      <x:c r="G289" s="139"/>
      <x:c r="H289" s="139"/>
    </x:row>
    <x:row r="290">
      <x:c r="A290" s="139"/>
      <x:c r="B290" s="141"/>
      <x:c r="C290" s="143"/>
      <x:c r="D290" s="143"/>
      <x:c r="E290" s="271" t="str">
        <x:f>IF(OR(C290="",D290=""),"",MOD(D290-C290,1)*24*60)</x:f>
      </x:c>
      <x:c r="F290" s="139"/>
      <x:c r="G290" s="139"/>
      <x:c r="H290" s="139"/>
    </x:row>
    <x:row r="291">
      <x:c r="A291" s="139"/>
      <x:c r="B291" s="141"/>
      <x:c r="C291" s="143"/>
      <x:c r="D291" s="143"/>
      <x:c r="E291" s="271" t="str">
        <x:f>IF(OR(C291="",D291=""),"",MOD(D291-C291,1)*24*60)</x:f>
      </x:c>
      <x:c r="F291" s="139"/>
      <x:c r="G291" s="139"/>
      <x:c r="H291" s="139"/>
    </x:row>
    <x:row r="292">
      <x:c r="A292" s="139"/>
      <x:c r="B292" s="141"/>
      <x:c r="C292" s="143"/>
      <x:c r="D292" s="143"/>
      <x:c r="E292" s="271" t="str">
        <x:f>IF(OR(C292="",D292=""),"",MOD(D292-C292,1)*24*60)</x:f>
      </x:c>
      <x:c r="F292" s="139"/>
      <x:c r="G292" s="139"/>
      <x:c r="H292" s="139"/>
    </x:row>
    <x:row r="293">
      <x:c r="A293" s="139"/>
      <x:c r="B293" s="141"/>
      <x:c r="C293" s="143"/>
      <x:c r="D293" s="143"/>
      <x:c r="E293" s="271" t="str">
        <x:f>IF(OR(C293="",D293=""),"",MOD(D293-C293,1)*24*60)</x:f>
      </x:c>
      <x:c r="F293" s="139"/>
      <x:c r="G293" s="139"/>
      <x:c r="H293" s="139"/>
    </x:row>
    <x:row r="294">
      <x:c r="A294" s="139"/>
      <x:c r="B294" s="141"/>
      <x:c r="C294" s="143"/>
      <x:c r="D294" s="143"/>
      <x:c r="E294" s="271" t="str">
        <x:f>IF(OR(C294="",D294=""),"",MOD(D294-C294,1)*24*60)</x:f>
      </x:c>
      <x:c r="F294" s="139"/>
      <x:c r="G294" s="139"/>
      <x:c r="H294" s="139"/>
    </x:row>
    <x:row r="295">
      <x:c r="A295" s="139"/>
      <x:c r="B295" s="141"/>
      <x:c r="C295" s="143"/>
      <x:c r="D295" s="143"/>
      <x:c r="E295" s="271" t="str">
        <x:f>IF(OR(C295="",D295=""),"",MOD(D295-C295,1)*24*60)</x:f>
      </x:c>
      <x:c r="F295" s="139"/>
      <x:c r="G295" s="139"/>
      <x:c r="H295" s="139"/>
    </x:row>
    <x:row r="296">
      <x:c r="A296" s="139"/>
      <x:c r="B296" s="141"/>
      <x:c r="C296" s="143"/>
      <x:c r="D296" s="143"/>
      <x:c r="E296" s="271" t="str">
        <x:f>IF(OR(C296="",D296=""),"",MOD(D296-C296,1)*24*60)</x:f>
      </x:c>
      <x:c r="F296" s="139"/>
      <x:c r="G296" s="139"/>
      <x:c r="H296" s="139"/>
    </x:row>
    <x:row r="297">
      <x:c r="A297" s="139"/>
      <x:c r="B297" s="141"/>
      <x:c r="C297" s="143"/>
      <x:c r="D297" s="143"/>
      <x:c r="E297" s="271" t="str">
        <x:f>IF(OR(C297="",D297=""),"",MOD(D297-C297,1)*24*60)</x:f>
      </x:c>
      <x:c r="F297" s="139"/>
      <x:c r="G297" s="139"/>
      <x:c r="H297" s="139"/>
    </x:row>
    <x:row r="298">
      <x:c r="A298" s="139"/>
      <x:c r="B298" s="141"/>
      <x:c r="C298" s="143"/>
      <x:c r="D298" s="143"/>
      <x:c r="E298" s="271" t="str">
        <x:f>IF(OR(C298="",D298=""),"",MOD(D298-C298,1)*24*60)</x:f>
      </x:c>
      <x:c r="F298" s="139"/>
      <x:c r="G298" s="139"/>
      <x:c r="H298" s="139"/>
    </x:row>
    <x:row r="299">
      <x:c r="A299" s="139"/>
      <x:c r="B299" s="141"/>
      <x:c r="C299" s="143"/>
      <x:c r="D299" s="143"/>
      <x:c r="E299" s="271" t="str">
        <x:f>IF(OR(C299="",D299=""),"",MOD(D299-C299,1)*24*60)</x:f>
      </x:c>
      <x:c r="F299" s="139"/>
      <x:c r="G299" s="139"/>
      <x:c r="H299" s="139"/>
    </x:row>
    <x:row r="300">
      <x:c r="A300" s="139"/>
      <x:c r="B300" s="141"/>
      <x:c r="C300" s="143"/>
      <x:c r="D300" s="143"/>
      <x:c r="E300" s="271" t="str">
        <x:f>IF(OR(C300="",D300=""),"",MOD(D300-C300,1)*24*60)</x:f>
      </x:c>
      <x:c r="F300" s="139"/>
      <x:c r="G300" s="139"/>
      <x:c r="H300" s="139"/>
    </x:row>
    <x:row r="301">
      <x:c r="A301" s="139"/>
      <x:c r="B301" s="141"/>
      <x:c r="C301" s="143"/>
      <x:c r="D301" s="143"/>
      <x:c r="E301" s="271" t="str">
        <x:f>IF(OR(C301="",D301=""),"",MOD(D301-C301,1)*24*60)</x:f>
      </x:c>
      <x:c r="F301" s="139"/>
      <x:c r="G301" s="139"/>
      <x:c r="H301" s="139"/>
    </x:row>
    <x:row r="302">
      <x:c r="A302" s="139"/>
      <x:c r="B302" s="141"/>
      <x:c r="C302" s="143"/>
      <x:c r="D302" s="143"/>
      <x:c r="E302" s="271" t="str">
        <x:f>IF(OR(C302="",D302=""),"",MOD(D302-C302,1)*24*60)</x:f>
      </x:c>
      <x:c r="F302" s="139"/>
      <x:c r="G302" s="139"/>
      <x:c r="H302" s="139"/>
    </x:row>
    <x:row r="303">
      <x:c r="A303" s="139"/>
      <x:c r="B303" s="141"/>
      <x:c r="C303" s="143"/>
      <x:c r="D303" s="143"/>
      <x:c r="E303" s="271" t="str">
        <x:f>IF(OR(C303="",D303=""),"",MOD(D303-C303,1)*24*60)</x:f>
      </x:c>
      <x:c r="F303" s="139"/>
      <x:c r="G303" s="139"/>
      <x:c r="H303" s="139"/>
    </x:row>
    <x:row r="304">
      <x:c r="A304" s="139"/>
      <x:c r="B304" s="141"/>
      <x:c r="C304" s="143"/>
      <x:c r="D304" s="143"/>
      <x:c r="E304" s="271" t="str">
        <x:f>IF(OR(C304="",D304=""),"",MOD(D304-C304,1)*24*60)</x:f>
      </x:c>
      <x:c r="F304" s="139"/>
      <x:c r="G304" s="139"/>
      <x:c r="H304" s="139"/>
    </x:row>
  </x:sheetData>
  <x:mergeCells>
    <x:mergeCell ref="A1:H1"/>
    <x:mergeCell ref="A2:H2"/>
  </x:mergeCells>
  <x:dataValidations count="3">
    <x:dataValidation type="list" sqref="A5:A304">
      <x:formula1>INDIRECT("'04_Registro_Tareas'!$A$5:$A$504")</x:formula1>
    </x:dataValidation>
    <x:dataValidation type="list" sqref="F5:F304">
      <x:formula1>INDIRECT("'98_Listas_Control'!$B$4:$B$22")</x:formula1>
    </x:dataValidation>
    <x:dataValidation type="list" sqref="H5:H304">
      <x:formula1>INDIRECT("'98_Listas_Control'!$E$4:$E$11")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f84ee6c7744df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10" max="10" width="28" hidden="0" customWidth="1"/>
    <x:col min="11" max="11" width="14" hidden="0" customWidth="1"/>
  </x:cols>
  <x:sheetData>
    <x:row r="1" ht="26" customHeight="1">
      <x:c r="A1" s="120" t="str">
        <x:v>ECAR | DASHBOARD DE PRODUCCIÓN – OBRA ROQUE</x:v>
      </x:c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  <x:c r="N1" s="120"/>
      <x:c r="O1" s="120"/>
      <x:c r="P1" s="120"/>
    </x:row>
    <x:row r="3">
      <x:c r="A3" s="173" t="str">
        <x:v>Fecha análisis</x:v>
      </x:c>
      <x:c r="B3" s="189" t="n">
        <x:f>TODAY()</x:f>
        <x:v>46274</x:v>
      </x:c>
      <x:c r="J3" s="167" t="str">
        <x:v>TAREAS POR ESTADO</x:v>
      </x:c>
      <x:c r="K3" s="167"/>
    </x:row>
    <x:row r="4">
      <x:c r="J4" t="str">
        <x:v>Planificada</x:v>
      </x:c>
      <x:c r="K4" t="n">
        <x:f>COUNTIFS('04_Registro_Tareas'!$B$5:$B$504,$B$3,'04_Registro_Tareas'!$AB$5:$AB$504,J4)</x:f>
        <x:v>0</x:v>
      </x:c>
    </x:row>
    <x:row r="5">
      <x:c r="A5" s="273" t="str">
        <x:v>Tareas hoy</x:v>
      </x:c>
      <x:c r="B5" s="273"/>
      <x:c r="C5" s="273" t="str">
        <x:v>Terminadas</x:v>
      </x:c>
      <x:c r="D5" s="273"/>
      <x:c r="E5" s="273" t="str">
        <x:v>Abiertas</x:v>
      </x:c>
      <x:c r="F5" s="273"/>
      <x:c r="G5" s="273" t="str">
        <x:v>Cumplimiento producción</x:v>
      </x:c>
      <x:c r="H5" s="273"/>
      <x:c r="J5" t="str">
        <x:v>En ejecución</x:v>
      </x:c>
      <x:c r="K5" t="n">
        <x:f>COUNTIFS('04_Registro_Tareas'!$B$5:$B$504,$B$3,'04_Registro_Tareas'!$AB$5:$AB$504,J5)</x:f>
        <x:v>0</x:v>
      </x:c>
    </x:row>
    <x:row r="6">
      <x:c r="A6" s="281" t="n">
        <x:f>COUNTIFS('04_Registro_Tareas'!$B$5:$B$504,$B$3,'04_Registro_Tareas'!$A$5:$A$504,"&lt;&gt;")</x:f>
        <x:v>0</x:v>
      </x:c>
      <x:c r="B6" s="277"/>
      <x:c r="C6" s="281" t="n">
        <x:f>COUNTIFS('04_Registro_Tareas'!$B$5:$B$504,$B$3,'04_Registro_Tareas'!$AB$5:$AB$504,"Terminada")</x:f>
        <x:v>0</x:v>
      </x:c>
      <x:c r="D6" s="277"/>
      <x:c r="E6" s="281" t="n">
        <x:f>COUNTIFS('04_Registro_Tareas'!$B$5:$B$504,$B$3,'04_Registro_Tareas'!$A$5:$A$504,"&lt;&gt;",'04_Registro_Tareas'!$AB$5:$AB$504,"&lt;&gt;Terminada",'04_Registro_Tareas'!$AB$5:$AB$504,"&lt;&gt;Cancelada")</x:f>
        <x:v>0</x:v>
      </x:c>
      <x:c r="F6" s="277"/>
      <x:c r="G6" s="283" t="n">
        <x:f>IFERROR(SUMIFS('04_Registro_Tareas'!$AH$5:$AH$504,'04_Registro_Tareas'!$B$5:$B$504,$B$3)/SUMIFS('04_Registro_Tareas'!$Q$5:$Q$504,'04_Registro_Tareas'!$B$5:$B$504,$B$3),0)</x:f>
        <x:v>0</x:v>
      </x:c>
      <x:c r="H6" s="277"/>
      <x:c r="J6" t="str">
        <x:v>Terminada</x:v>
      </x:c>
      <x:c r="K6" t="n">
        <x:f>COUNTIFS('04_Registro_Tareas'!$B$5:$B$504,$B$3,'04_Registro_Tareas'!$AB$5:$AB$504,J6)</x:f>
        <x:v>0</x:v>
      </x:c>
    </x:row>
    <x:row r="7">
      <x:c r="A7" s="277"/>
      <x:c r="B7" s="277"/>
      <x:c r="C7" s="277"/>
      <x:c r="D7" s="277"/>
      <x:c r="E7" s="277"/>
      <x:c r="F7" s="277"/>
      <x:c r="G7" s="277"/>
      <x:c r="H7" s="277"/>
      <x:c r="J7" t="str">
        <x:v>Reprogramada</x:v>
      </x:c>
      <x:c r="K7" t="n">
        <x:f>COUNTIFS('04_Registro_Tareas'!$B$5:$B$504,$B$3,'04_Registro_Tareas'!$AB$5:$AB$504,J7)</x:f>
        <x:v>0</x:v>
      </x:c>
    </x:row>
    <x:row r="8">
      <x:c r="A8" s="273" t="str">
        <x:v>HH plan</x:v>
      </x:c>
      <x:c r="B8" s="273"/>
      <x:c r="C8" s="273" t="str">
        <x:v>HH real</x:v>
      </x:c>
      <x:c r="D8" s="273"/>
      <x:c r="E8" s="273" t="str">
        <x:v>Min perdidos</x:v>
      </x:c>
      <x:c r="F8" s="273"/>
      <x:c r="G8" s="273" t="str">
        <x:v>Utilización tiempo</x:v>
      </x:c>
      <x:c r="H8" s="273"/>
      <x:c r="J8" t="str">
        <x:v>Detenida</x:v>
      </x:c>
      <x:c r="K8" t="n">
        <x:f>COUNTIFS('04_Registro_Tareas'!$B$5:$B$504,$B$3,'04_Registro_Tareas'!$AB$5:$AB$504,J8)</x:f>
        <x:v>0</x:v>
      </x:c>
    </x:row>
    <x:row r="9">
      <x:c r="A9" s="285" t="n">
        <x:f>SUMIFS('04_Registro_Tareas'!$AK$5:$AK$504,'04_Registro_Tareas'!$B$5:$B$504,$B$3)</x:f>
        <x:v>0</x:v>
      </x:c>
      <x:c r="B9" s="277"/>
      <x:c r="C9" s="285" t="n">
        <x:f>SUMIFS('04_Registro_Tareas'!$AL$5:$AL$504,'04_Registro_Tareas'!$B$5:$B$504,$B$3)</x:f>
        <x:v>0</x:v>
      </x:c>
      <x:c r="D9" s="277"/>
      <x:c r="E9" s="281" t="n">
        <x:f>SUMIFS('04_Registro_Tareas'!$AF$5:$AF$504,'04_Registro_Tareas'!$B$5:$B$504,$B$3)</x:f>
        <x:v>0</x:v>
      </x:c>
      <x:c r="F9" s="277"/>
      <x:c r="G9" s="283" t="n">
        <x:f>IFERROR(SUMIFS('04_Registro_Tareas'!$AG$5:$AG$504,'04_Registro_Tareas'!$B$5:$B$504,$B$3)/SUMIFS('04_Registro_Tareas'!$AE$5:$AE$504,'04_Registro_Tareas'!$B$5:$B$504,$B$3),0)</x:f>
        <x:v>0</x:v>
      </x:c>
      <x:c r="H9" s="277"/>
      <x:c r="J9" t="str">
        <x:v>Cancelada</x:v>
      </x:c>
      <x:c r="K9" t="n">
        <x:f>COUNTIFS('04_Registro_Tareas'!$B$5:$B$504,$B$3,'04_Registro_Tareas'!$AB$5:$AB$504,J9)</x:f>
        <x:v>0</x:v>
      </x:c>
    </x:row>
    <x:row r="10">
      <x:c r="A10" s="277"/>
      <x:c r="B10" s="277"/>
      <x:c r="C10" s="277"/>
      <x:c r="D10" s="277"/>
      <x:c r="E10" s="277"/>
      <x:c r="F10" s="277"/>
      <x:c r="G10" s="277"/>
      <x:c r="H10" s="277"/>
      <x:c r="J10" t="str">
        <x:v>No iniciada</x:v>
      </x:c>
      <x:c r="K10" t="n">
        <x:f>COUNTIFS('04_Registro_Tareas'!$B$5:$B$504,$B$3,'04_Registro_Tareas'!$AB$5:$AB$504,J10)</x:f>
        <x:v>0</x:v>
      </x:c>
    </x:row>
    <x:row r="13">
      <x:c r="A13" s="167" t="str">
        <x:v>RENDIMIENTO POR ACTIVIDAD – DÍA SELECCIONADO</x:v>
      </x:c>
      <x:c r="B13" s="167"/>
      <x:c r="C13" s="167"/>
      <x:c r="D13" s="167"/>
      <x:c r="E13" s="167"/>
      <x:c r="F13" s="167"/>
      <x:c r="G13" s="167"/>
      <x:c r="H13" s="167"/>
      <x:c r="J13" s="167" t="str">
        <x:v>MINUTOS PERDIDOS POR CAUSA</x:v>
      </x:c>
      <x:c r="K13" s="167"/>
    </x:row>
    <x:row r="14">
      <x:c r="A14" s="166" t="str">
        <x:v>Actividad</x:v>
      </x:c>
      <x:c r="B14" s="166" t="str">
        <x:v>Unidad</x:v>
      </x:c>
      <x:c r="C14" s="166" t="str">
        <x:v>Cant. plan</x:v>
      </x:c>
      <x:c r="D14" s="166" t="str">
        <x:v>Cant. real</x:v>
      </x:c>
      <x:c r="E14" s="166" t="str">
        <x:v>Hs productivas</x:v>
      </x:c>
      <x:c r="F14" s="166" t="str">
        <x:v>Rend real/h</x:v>
      </x:c>
      <x:c r="G14" s="166" t="str">
        <x:v>Índice prod.</x:v>
      </x:c>
      <x:c r="H14" s="166" t="str">
        <x:v>Estado</x:v>
      </x:c>
      <x:c r="J14" t="str">
        <x:v>Falta de material</x:v>
      </x:c>
      <x:c r="K14" t="n">
        <x:f>SUMIFS('04_Registro_Tareas'!$AF$5:$AF$504,'04_Registro_Tareas'!$B$5:$B$504,$B$3,'04_Registro_Tareas'!$AS$5:$AS$504,J14)</x:f>
        <x:v>0</x:v>
      </x:c>
    </x:row>
    <x:row r="15">
      <x:c r="A15" t="str">
        <x:f>IFERROR(VLOOKUP("AG-REP",'Configuracion'!$D$4:$H$15,2,FALSE),"")</x:f>
        <x:v>Replanteo y marcación de traza</x:v>
      </x:c>
      <x:c r="B15" t="str">
        <x:f>IFERROR(VLOOKUP("AG-REP",'Configuracion'!$D$4:$H$15,3,FALSE),"")</x:f>
        <x:v>ml</x:v>
      </x:c>
      <x:c r="C15" t="n">
        <x:f>SUMIFS('04_Registro_Tareas'!$Q$5:$Q$504,'04_Registro_Tareas'!$B$5:$B$504,$B$3,'04_Registro_Tareas'!$N$5:$N$504,"AG-REP")</x:f>
        <x:v>0</x:v>
      </x:c>
      <x:c r="D15" t="n">
        <x:f>SUMIFS('04_Registro_Tareas'!$AH$5:$AH$504,'04_Registro_Tareas'!$B$5:$B$504,$B$3,'04_Registro_Tareas'!$N$5:$N$504,"AG-REP")</x:f>
        <x:v>0</x:v>
      </x:c>
      <x:c r="E15" t="n">
        <x:f>SUMIFS('04_Registro_Tareas'!$AG$5:$AG$504,'04_Registro_Tareas'!$B$5:$B$504,$B$3,'04_Registro_Tareas'!$N$5:$N$504,"AG-REP")</x:f>
        <x:v>0</x:v>
      </x:c>
      <x:c r="F15" s="289" t="str">
        <x:f>IFERROR(D15/E15,"")</x:f>
      </x:c>
      <x:c r="G15" s="287" t="n">
        <x:f>IFERROR(F15/(VLOOKUP("AG-REP",'Configuracion'!$D$4:$H$15,4,FALSE)/'Configuracion'!$B$13),"")</x:f>
        <x:v>0</x:v>
      </x:c>
      <x:c r="H15" t="str">
        <x:f>IF(G15="","",IF(G15&gt;=0.95,"OK",IF(G15&gt;=0.8,"ATENCIÓN","DESVÍO")))</x:f>
      </x:c>
      <x:c r="J15" t="str">
        <x:v>Falta de equipo</x:v>
      </x:c>
      <x:c r="K15" t="n">
        <x:f>SUMIFS('04_Registro_Tareas'!$AF$5:$AF$504,'04_Registro_Tareas'!$B$5:$B$504,$B$3,'04_Registro_Tareas'!$AS$5:$AS$504,J15)</x:f>
        <x:v>0</x:v>
      </x:c>
    </x:row>
    <x:row r="16">
      <x:c r="A16" t="str">
        <x:f>IFERROR(VLOOKUP("AG-EXC",'Configuracion'!$D$4:$H$15,2,FALSE),"")</x:f>
        <x:v>Excavación de zanja</x:v>
      </x:c>
      <x:c r="B16" t="str">
        <x:f>IFERROR(VLOOKUP("AG-EXC",'Configuracion'!$D$4:$H$15,3,FALSE),"")</x:f>
        <x:v>ml</x:v>
      </x:c>
      <x:c r="C16" t="n">
        <x:f>SUMIFS('04_Registro_Tareas'!$Q$5:$Q$504,'04_Registro_Tareas'!$B$5:$B$504,$B$3,'04_Registro_Tareas'!$N$5:$N$504,"AG-EXC")</x:f>
        <x:v>0</x:v>
      </x:c>
      <x:c r="D16" t="n">
        <x:f>SUMIFS('04_Registro_Tareas'!$AH$5:$AH$504,'04_Registro_Tareas'!$B$5:$B$504,$B$3,'04_Registro_Tareas'!$N$5:$N$504,"AG-EXC")</x:f>
        <x:v>0</x:v>
      </x:c>
      <x:c r="E16" t="n">
        <x:f>SUMIFS('04_Registro_Tareas'!$AG$5:$AG$504,'04_Registro_Tareas'!$B$5:$B$504,$B$3,'04_Registro_Tareas'!$N$5:$N$504,"AG-EXC")</x:f>
        <x:v>0</x:v>
      </x:c>
      <x:c r="F16" s="289" t="str">
        <x:f>IFERROR(D16/E16,"")</x:f>
      </x:c>
      <x:c r="G16" s="287" t="n">
        <x:f>IFERROR(F16/(VLOOKUP("AG-EXC",'Configuracion'!$D$4:$H$15,4,FALSE)/'Configuracion'!$B$13),"")</x:f>
        <x:v>0</x:v>
      </x:c>
      <x:c r="H16" t="str">
        <x:f>IF(G16="","",IF(G16&gt;=0.95,"OK",IF(G16&gt;=0.8,"ATENCIÓN","DESVÍO")))</x:f>
      </x:c>
      <x:c r="J16" t="str">
        <x:v>Rotura de equipo</x:v>
      </x:c>
      <x:c r="K16" t="n">
        <x:f>SUMIFS('04_Registro_Tareas'!$AF$5:$AF$504,'04_Registro_Tareas'!$B$5:$B$504,$B$3,'04_Registro_Tareas'!$AS$5:$AS$504,J16)</x:f>
        <x:v>0</x:v>
      </x:c>
    </x:row>
    <x:row r="17">
      <x:c r="A17" t="str">
        <x:f>IFERROR(VLOOKUP("AG-FON",'Configuracion'!$D$4:$H$15,2,FALSE),"")</x:f>
        <x:v>Nivelación y conformación del fondo</x:v>
      </x:c>
      <x:c r="B17" t="str">
        <x:f>IFERROR(VLOOKUP("AG-FON",'Configuracion'!$D$4:$H$15,3,FALSE),"")</x:f>
        <x:v>ml</x:v>
      </x:c>
      <x:c r="C17" t="n">
        <x:f>SUMIFS('04_Registro_Tareas'!$Q$5:$Q$504,'04_Registro_Tareas'!$B$5:$B$504,$B$3,'04_Registro_Tareas'!$N$5:$N$504,"AG-FON")</x:f>
        <x:v>0</x:v>
      </x:c>
      <x:c r="D17" t="n">
        <x:f>SUMIFS('04_Registro_Tareas'!$AH$5:$AH$504,'04_Registro_Tareas'!$B$5:$B$504,$B$3,'04_Registro_Tareas'!$N$5:$N$504,"AG-FON")</x:f>
        <x:v>0</x:v>
      </x:c>
      <x:c r="E17" t="n">
        <x:f>SUMIFS('04_Registro_Tareas'!$AG$5:$AG$504,'04_Registro_Tareas'!$B$5:$B$504,$B$3,'04_Registro_Tareas'!$N$5:$N$504,"AG-FON")</x:f>
        <x:v>0</x:v>
      </x:c>
      <x:c r="F17" s="289" t="str">
        <x:f>IFERROR(D17/E17,"")</x:f>
      </x:c>
      <x:c r="G17" s="287" t="n">
        <x:f>IFERROR(F17/(VLOOKUP("AG-FON",'Configuracion'!$D$4:$H$15,4,FALSE)/'Configuracion'!$B$13),"")</x:f>
        <x:v>0</x:v>
      </x:c>
      <x:c r="H17" t="str">
        <x:f>IF(G17="","",IF(G17&gt;=0.95,"OK",IF(G17&gt;=0.8,"ATENCIÓN","DESVÍO")))</x:f>
      </x:c>
      <x:c r="J17" t="str">
        <x:v>Falta de herramienta</x:v>
      </x:c>
      <x:c r="K17" t="n">
        <x:f>SUMIFS('04_Registro_Tareas'!$AF$5:$AF$504,'04_Registro_Tareas'!$B$5:$B$504,$B$3,'04_Registro_Tareas'!$AS$5:$AS$504,J17)</x:f>
        <x:v>0</x:v>
      </x:c>
    </x:row>
    <x:row r="18">
      <x:c r="A18" t="str">
        <x:f>IFERROR(VLOOKUP("AG-CAM",'Configuracion'!$D$4:$H$15,2,FALSE),"")</x:f>
        <x:v>Cama de asiento compactada</x:v>
      </x:c>
      <x:c r="B18" t="str">
        <x:f>IFERROR(VLOOKUP("AG-CAM",'Configuracion'!$D$4:$H$15,3,FALSE),"")</x:f>
        <x:v>ml</x:v>
      </x:c>
      <x:c r="C18" t="n">
        <x:f>SUMIFS('04_Registro_Tareas'!$Q$5:$Q$504,'04_Registro_Tareas'!$B$5:$B$504,$B$3,'04_Registro_Tareas'!$N$5:$N$504,"AG-CAM")</x:f>
        <x:v>0</x:v>
      </x:c>
      <x:c r="D18" t="n">
        <x:f>SUMIFS('04_Registro_Tareas'!$AH$5:$AH$504,'04_Registro_Tareas'!$B$5:$B$504,$B$3,'04_Registro_Tareas'!$N$5:$N$504,"AG-CAM")</x:f>
        <x:v>0</x:v>
      </x:c>
      <x:c r="E18" t="n">
        <x:f>SUMIFS('04_Registro_Tareas'!$AG$5:$AG$504,'04_Registro_Tareas'!$B$5:$B$504,$B$3,'04_Registro_Tareas'!$N$5:$N$504,"AG-CAM")</x:f>
        <x:v>0</x:v>
      </x:c>
      <x:c r="F18" s="289" t="str">
        <x:f>IFERROR(D18/E18,"")</x:f>
      </x:c>
      <x:c r="G18" s="287" t="n">
        <x:f>IFERROR(F18/(VLOOKUP("AG-CAM",'Configuracion'!$D$4:$H$15,4,FALSE)/'Configuracion'!$B$13),"")</x:f>
        <x:v>0</x:v>
      </x:c>
      <x:c r="H18" t="str">
        <x:f>IF(G18="","",IF(G18&gt;=0.95,"OK",IF(G18&gt;=0.8,"ATENCIÓN","DESVÍO")))</x:f>
      </x:c>
      <x:c r="J18" t="str">
        <x:v>Falta de personal</x:v>
      </x:c>
      <x:c r="K18" t="n">
        <x:f>SUMIFS('04_Registro_Tareas'!$AF$5:$AF$504,'04_Registro_Tareas'!$B$5:$B$504,$B$3,'04_Registro_Tareas'!$AS$5:$AS$504,J18)</x:f>
        <x:v>0</x:v>
      </x:c>
    </x:row>
    <x:row r="19">
      <x:c r="A19" t="str">
        <x:f>IFERROR(VLOOKUP("AG-TUB",'Configuracion'!$D$4:$H$15,2,FALSE),"")</x:f>
        <x:v>Instalación de cañería PEAD</x:v>
      </x:c>
      <x:c r="B19" t="str">
        <x:f>IFERROR(VLOOKUP("AG-TUB",'Configuracion'!$D$4:$H$15,3,FALSE),"")</x:f>
        <x:v>ml</x:v>
      </x:c>
      <x:c r="C19" t="n">
        <x:f>SUMIFS('04_Registro_Tareas'!$Q$5:$Q$504,'04_Registro_Tareas'!$B$5:$B$504,$B$3,'04_Registro_Tareas'!$N$5:$N$504,"AG-TUB")</x:f>
        <x:v>0</x:v>
      </x:c>
      <x:c r="D19" t="n">
        <x:f>SUMIFS('04_Registro_Tareas'!$AH$5:$AH$504,'04_Registro_Tareas'!$B$5:$B$504,$B$3,'04_Registro_Tareas'!$N$5:$N$504,"AG-TUB")</x:f>
        <x:v>0</x:v>
      </x:c>
      <x:c r="E19" t="n">
        <x:f>SUMIFS('04_Registro_Tareas'!$AG$5:$AG$504,'04_Registro_Tareas'!$B$5:$B$504,$B$3,'04_Registro_Tareas'!$N$5:$N$504,"AG-TUB")</x:f>
        <x:v>0</x:v>
      </x:c>
      <x:c r="F19" s="289" t="str">
        <x:f>IFERROR(D19/E19,"")</x:f>
      </x:c>
      <x:c r="G19" s="287" t="n">
        <x:f>IFERROR(F19/(VLOOKUP("AG-TUB",'Configuracion'!$D$4:$H$15,4,FALSE)/'Configuracion'!$B$13),"")</x:f>
        <x:v>0</x:v>
      </x:c>
      <x:c r="H19" t="str">
        <x:f>IF(G19="","",IF(G19&gt;=0.95,"OK",IF(G19&gt;=0.8,"ATENCIÓN","DESVÍO")))</x:f>
      </x:c>
      <x:c r="J19" t="str">
        <x:v>Interferencia</x:v>
      </x:c>
      <x:c r="K19" t="n">
        <x:f>SUMIFS('04_Registro_Tareas'!$AF$5:$AF$504,'04_Registro_Tareas'!$B$5:$B$504,$B$3,'04_Registro_Tareas'!$AS$5:$AS$504,J19)</x:f>
        <x:v>0</x:v>
      </x:c>
    </x:row>
    <x:row r="20">
      <x:c r="A20" t="str">
        <x:f>IFERROR(VLOOKUP("AG-PAQ",'Configuracion'!$D$4:$H$15,2,FALSE),"")</x:f>
        <x:v>Paquete estructural de 30 cm</x:v>
      </x:c>
      <x:c r="B20" t="str">
        <x:f>IFERROR(VLOOKUP("AG-PAQ",'Configuracion'!$D$4:$H$15,3,FALSE),"")</x:f>
        <x:v>ml</x:v>
      </x:c>
      <x:c r="C20" t="n">
        <x:f>SUMIFS('04_Registro_Tareas'!$Q$5:$Q$504,'04_Registro_Tareas'!$B$5:$B$504,$B$3,'04_Registro_Tareas'!$N$5:$N$504,"AG-PAQ")</x:f>
        <x:v>0</x:v>
      </x:c>
      <x:c r="D20" t="n">
        <x:f>SUMIFS('04_Registro_Tareas'!$AH$5:$AH$504,'04_Registro_Tareas'!$B$5:$B$504,$B$3,'04_Registro_Tareas'!$N$5:$N$504,"AG-PAQ")</x:f>
        <x:v>0</x:v>
      </x:c>
      <x:c r="E20" t="n">
        <x:f>SUMIFS('04_Registro_Tareas'!$AG$5:$AG$504,'04_Registro_Tareas'!$B$5:$B$504,$B$3,'04_Registro_Tareas'!$N$5:$N$504,"AG-PAQ")</x:f>
        <x:v>0</x:v>
      </x:c>
      <x:c r="F20" s="289" t="str">
        <x:f>IFERROR(D20/E20,"")</x:f>
      </x:c>
      <x:c r="G20" s="287" t="n">
        <x:f>IFERROR(F20/(VLOOKUP("AG-PAQ",'Configuracion'!$D$4:$H$15,4,FALSE)/'Configuracion'!$B$13),"")</x:f>
        <x:v>0</x:v>
      </x:c>
      <x:c r="H20" t="str">
        <x:f>IF(G20="","",IF(G20&gt;=0.95,"OK",IF(G20&gt;=0.8,"ATENCIÓN","DESVÍO")))</x:f>
      </x:c>
      <x:c r="J20" t="str">
        <x:v>Espera de inspección</x:v>
      </x:c>
      <x:c r="K20" t="n">
        <x:f>SUMIFS('04_Registro_Tareas'!$AF$5:$AF$504,'04_Registro_Tareas'!$B$5:$B$504,$B$3,'04_Registro_Tareas'!$AS$5:$AS$504,J20)</x:f>
        <x:v>0</x:v>
      </x:c>
    </x:row>
    <x:row r="21">
      <x:c r="A21" t="str">
        <x:f>IFERROR(VLOOKUP("AG-COMP",'Configuracion'!$D$4:$H$15,2,FALSE),"")</x:f>
        <x:v>Compactación paquete estructural</x:v>
      </x:c>
      <x:c r="B21" t="str">
        <x:f>IFERROR(VLOOKUP("AG-COMP",'Configuracion'!$D$4:$H$15,3,FALSE),"")</x:f>
        <x:v>ml</x:v>
      </x:c>
      <x:c r="C21" t="n">
        <x:f>SUMIFS('04_Registro_Tareas'!$Q$5:$Q$504,'04_Registro_Tareas'!$B$5:$B$504,$B$3,'04_Registro_Tareas'!$N$5:$N$504,"AG-COMP")</x:f>
        <x:v>0</x:v>
      </x:c>
      <x:c r="D21" t="n">
        <x:f>SUMIFS('04_Registro_Tareas'!$AH$5:$AH$504,'04_Registro_Tareas'!$B$5:$B$504,$B$3,'04_Registro_Tareas'!$N$5:$N$504,"AG-COMP")</x:f>
        <x:v>0</x:v>
      </x:c>
      <x:c r="E21" t="n">
        <x:f>SUMIFS('04_Registro_Tareas'!$AG$5:$AG$504,'04_Registro_Tareas'!$B$5:$B$504,$B$3,'04_Registro_Tareas'!$N$5:$N$504,"AG-COMP")</x:f>
        <x:v>0</x:v>
      </x:c>
      <x:c r="F21" s="289" t="str">
        <x:f>IFERROR(D21/E21,"")</x:f>
      </x:c>
      <x:c r="G21" s="287" t="n">
        <x:f>IFERROR(F21/(VLOOKUP("AG-COMP",'Configuracion'!$D$4:$H$15,4,FALSE)/'Configuracion'!$B$13),"")</x:f>
        <x:v>0</x:v>
      </x:c>
      <x:c r="H21" t="str">
        <x:f>IF(G21="","",IF(G21&gt;=0.95,"OK",IF(G21&gt;=0.8,"ATENCIÓN","DESVÍO")))</x:f>
      </x:c>
      <x:c r="J21" t="str">
        <x:v>Espera OSSE</x:v>
      </x:c>
      <x:c r="K21" t="n">
        <x:f>SUMIFS('04_Registro_Tareas'!$AF$5:$AF$504,'04_Registro_Tareas'!$B$5:$B$504,$B$3,'04_Registro_Tareas'!$AS$5:$AS$504,J21)</x:f>
        <x:v>0</x:v>
      </x:c>
    </x:row>
    <x:row r="22">
      <x:c r="A22" t="str">
        <x:f>IFERROR(VLOOKUP("AG-C060",'Configuracion'!$D$4:$H$15,2,FALSE),"")</x:f>
        <x:v>Capa cota -0,60 compactada</x:v>
      </x:c>
      <x:c r="B22" t="str">
        <x:f>IFERROR(VLOOKUP("AG-C060",'Configuracion'!$D$4:$H$15,3,FALSE),"")</x:f>
        <x:v>ml</x:v>
      </x:c>
      <x:c r="C22" t="n">
        <x:f>SUMIFS('04_Registro_Tareas'!$Q$5:$Q$504,'04_Registro_Tareas'!$B$5:$B$504,$B$3,'04_Registro_Tareas'!$N$5:$N$504,"AG-C060")</x:f>
        <x:v>0</x:v>
      </x:c>
      <x:c r="D22" t="n">
        <x:f>SUMIFS('04_Registro_Tareas'!$AH$5:$AH$504,'04_Registro_Tareas'!$B$5:$B$504,$B$3,'04_Registro_Tareas'!$N$5:$N$504,"AG-C060")</x:f>
        <x:v>0</x:v>
      </x:c>
      <x:c r="E22" t="n">
        <x:f>SUMIFS('04_Registro_Tareas'!$AG$5:$AG$504,'04_Registro_Tareas'!$B$5:$B$504,$B$3,'04_Registro_Tareas'!$N$5:$N$504,"AG-C060")</x:f>
        <x:v>0</x:v>
      </x:c>
      <x:c r="F22" s="289" t="str">
        <x:f>IFERROR(D22/E22,"")</x:f>
      </x:c>
      <x:c r="G22" s="287" t="n">
        <x:f>IFERROR(F22/(VLOOKUP("AG-C060",'Configuracion'!$D$4:$H$15,4,FALSE)/'Configuracion'!$B$13),"")</x:f>
        <x:v>0</x:v>
      </x:c>
      <x:c r="H22" t="str">
        <x:f>IF(G22="","",IF(G22&gt;=0.95,"OK",IF(G22&gt;=0.8,"ATENCIÓN","DESVÍO")))</x:f>
      </x:c>
      <x:c r="J22" t="str">
        <x:v>Problema de replanteo</x:v>
      </x:c>
      <x:c r="K22" t="n">
        <x:f>SUMIFS('04_Registro_Tareas'!$AF$5:$AF$504,'04_Registro_Tareas'!$B$5:$B$504,$B$3,'04_Registro_Tareas'!$AS$5:$AS$504,J22)</x:f>
        <x:v>0</x:v>
      </x:c>
    </x:row>
    <x:row r="23">
      <x:c r="A23" t="str">
        <x:f>IFERROR(VLOOKUP("AG-C030",'Configuracion'!$D$4:$H$15,2,FALSE),"")</x:f>
        <x:v>Capa cota -0,30 compactada</x:v>
      </x:c>
      <x:c r="B23" t="str">
        <x:f>IFERROR(VLOOKUP("AG-C030",'Configuracion'!$D$4:$H$15,3,FALSE),"")</x:f>
        <x:v>ml</x:v>
      </x:c>
      <x:c r="C23" t="n">
        <x:f>SUMIFS('04_Registro_Tareas'!$Q$5:$Q$504,'04_Registro_Tareas'!$B$5:$B$504,$B$3,'04_Registro_Tareas'!$N$5:$N$504,"AG-C030")</x:f>
        <x:v>0</x:v>
      </x:c>
      <x:c r="D23" t="n">
        <x:f>SUMIFS('04_Registro_Tareas'!$AH$5:$AH$504,'04_Registro_Tareas'!$B$5:$B$504,$B$3,'04_Registro_Tareas'!$N$5:$N$504,"AG-C030")</x:f>
        <x:v>0</x:v>
      </x:c>
      <x:c r="E23" t="n">
        <x:f>SUMIFS('04_Registro_Tareas'!$AG$5:$AG$504,'04_Registro_Tareas'!$B$5:$B$504,$B$3,'04_Registro_Tareas'!$N$5:$N$504,"AG-C030")</x:f>
        <x:v>0</x:v>
      </x:c>
      <x:c r="F23" s="289" t="str">
        <x:f>IFERROR(D23/E23,"")</x:f>
      </x:c>
      <x:c r="G23" s="287" t="n">
        <x:f>IFERROR(F23/(VLOOKUP("AG-C030",'Configuracion'!$D$4:$H$15,4,FALSE)/'Configuracion'!$B$13),"")</x:f>
        <x:v>0</x:v>
      </x:c>
      <x:c r="H23" t="str">
        <x:f>IF(G23="","",IF(G23&gt;=0.95,"OK",IF(G23&gt;=0.8,"ATENCIÓN","DESVÍO")))</x:f>
      </x:c>
      <x:c r="J23" t="str">
        <x:v>Problema de plano</x:v>
      </x:c>
      <x:c r="K23" t="n">
        <x:f>SUMIFS('04_Registro_Tareas'!$AF$5:$AF$504,'04_Registro_Tareas'!$B$5:$B$504,$B$3,'04_Registro_Tareas'!$AS$5:$AS$504,J23)</x:f>
        <x:v>0</x:v>
      </x:c>
    </x:row>
    <x:row r="24">
      <x:c r="A24" t="str">
        <x:f>IFERROR(VLOOKUP("AG-CON",'Configuracion'!$D$4:$H$15,2,FALSE),"")</x:f>
        <x:v>Conexiones domiciliarias</x:v>
      </x:c>
      <x:c r="B24" t="str">
        <x:f>IFERROR(VLOOKUP("AG-CON",'Configuracion'!$D$4:$H$15,3,FALSE),"")</x:f>
        <x:v>un</x:v>
      </x:c>
      <x:c r="C24" t="n">
        <x:f>SUMIFS('04_Registro_Tareas'!$Q$5:$Q$504,'04_Registro_Tareas'!$B$5:$B$504,$B$3,'04_Registro_Tareas'!$N$5:$N$504,"AG-CON")</x:f>
        <x:v>0</x:v>
      </x:c>
      <x:c r="D24" t="n">
        <x:f>SUMIFS('04_Registro_Tareas'!$AH$5:$AH$504,'04_Registro_Tareas'!$B$5:$B$504,$B$3,'04_Registro_Tareas'!$N$5:$N$504,"AG-CON")</x:f>
        <x:v>0</x:v>
      </x:c>
      <x:c r="E24" t="n">
        <x:f>SUMIFS('04_Registro_Tareas'!$AG$5:$AG$504,'04_Registro_Tareas'!$B$5:$B$504,$B$3,'04_Registro_Tareas'!$N$5:$N$504,"AG-CON")</x:f>
        <x:v>0</x:v>
      </x:c>
      <x:c r="F24" s="289" t="str">
        <x:f>IFERROR(D24/E24,"")</x:f>
      </x:c>
      <x:c r="G24" s="287" t="n">
        <x:f>IFERROR(F24/(VLOOKUP("AG-CON",'Configuracion'!$D$4:$H$15,4,FALSE)/'Configuracion'!$B$13),"")</x:f>
        <x:v>0</x:v>
      </x:c>
      <x:c r="H24" t="str">
        <x:f>IF(G24="","",IF(G24&gt;=0.95,"OK",IF(G24&gt;=0.8,"ATENCIÓN","DESVÍO")))</x:f>
      </x:c>
      <x:c r="J24" t="str">
        <x:v>Clima</x:v>
      </x:c>
      <x:c r="K24" t="n">
        <x:f>SUMIFS('04_Registro_Tareas'!$AF$5:$AF$504,'04_Registro_Tareas'!$B$5:$B$504,$B$3,'04_Registro_Tareas'!$AS$5:$AS$504,J24)</x:f>
        <x:v>0</x:v>
      </x:c>
    </x:row>
    <x:row r="25">
      <x:c r="A25" t="str">
        <x:f>IFERROR(VLOOKUP("AG-ESP",'Configuracion'!$D$4:$H$15,2,FALSE),"")</x:f>
        <x:v>Válvulas, hidrantes y especiales</x:v>
      </x:c>
      <x:c r="B25" t="str">
        <x:f>IFERROR(VLOOKUP("AG-ESP",'Configuracion'!$D$4:$H$15,3,FALSE),"")</x:f>
        <x:v>un</x:v>
      </x:c>
      <x:c r="C25" t="n">
        <x:f>SUMIFS('04_Registro_Tareas'!$Q$5:$Q$504,'04_Registro_Tareas'!$B$5:$B$504,$B$3,'04_Registro_Tareas'!$N$5:$N$504,"AG-ESP")</x:f>
        <x:v>0</x:v>
      </x:c>
      <x:c r="D25" t="n">
        <x:f>SUMIFS('04_Registro_Tareas'!$AH$5:$AH$504,'04_Registro_Tareas'!$B$5:$B$504,$B$3,'04_Registro_Tareas'!$N$5:$N$504,"AG-ESP")</x:f>
        <x:v>0</x:v>
      </x:c>
      <x:c r="E25" t="n">
        <x:f>SUMIFS('04_Registro_Tareas'!$AG$5:$AG$504,'04_Registro_Tareas'!$B$5:$B$504,$B$3,'04_Registro_Tareas'!$N$5:$N$504,"AG-ESP")</x:f>
        <x:v>0</x:v>
      </x:c>
      <x:c r="F25" s="289" t="str">
        <x:f>IFERROR(D25/E25,"")</x:f>
      </x:c>
      <x:c r="G25" s="287" t="n">
        <x:f>IFERROR(F25/(VLOOKUP("AG-ESP",'Configuracion'!$D$4:$H$15,4,FALSE)/'Configuracion'!$B$13),"")</x:f>
        <x:v>0</x:v>
      </x:c>
      <x:c r="H25" t="str">
        <x:f>IF(G25="","",IF(G25&gt;=0.95,"OK",IF(G25&gt;=0.8,"ATENCIÓN","DESVÍO")))</x:f>
      </x:c>
      <x:c r="J25" t="str">
        <x:v>Acceso al frente</x:v>
      </x:c>
      <x:c r="K25" t="n">
        <x:f>SUMIFS('04_Registro_Tareas'!$AF$5:$AF$504,'04_Registro_Tareas'!$B$5:$B$504,$B$3,'04_Registro_Tareas'!$AS$5:$AS$504,J25)</x:f>
        <x:v>0</x:v>
      </x:c>
    </x:row>
    <x:row r="26">
      <x:c r="A26" t="str">
        <x:f>IFERROR(VLOOKUP("AG-PRU",'Configuracion'!$D$4:$H$15,2,FALSE),"")</x:f>
        <x:v>Pruebas, terminaciones y cierre</x:v>
      </x:c>
      <x:c r="B26" t="str">
        <x:f>IFERROR(VLOOKUP("AG-PRU",'Configuracion'!$D$4:$H$15,3,FALSE),"")</x:f>
        <x:v>gl</x:v>
      </x:c>
      <x:c r="C26" t="n">
        <x:f>SUMIFS('04_Registro_Tareas'!$Q$5:$Q$504,'04_Registro_Tareas'!$B$5:$B$504,$B$3,'04_Registro_Tareas'!$N$5:$N$504,"AG-PRU")</x:f>
        <x:v>0</x:v>
      </x:c>
      <x:c r="D26" t="n">
        <x:f>SUMIFS('04_Registro_Tareas'!$AH$5:$AH$504,'04_Registro_Tareas'!$B$5:$B$504,$B$3,'04_Registro_Tareas'!$N$5:$N$504,"AG-PRU")</x:f>
        <x:v>0</x:v>
      </x:c>
      <x:c r="E26" t="n">
        <x:f>SUMIFS('04_Registro_Tareas'!$AG$5:$AG$504,'04_Registro_Tareas'!$B$5:$B$504,$B$3,'04_Registro_Tareas'!$N$5:$N$504,"AG-PRU")</x:f>
        <x:v>0</x:v>
      </x:c>
      <x:c r="F26" s="289" t="str">
        <x:f>IFERROR(D26/E26,"")</x:f>
      </x:c>
      <x:c r="G26" s="287" t="n">
        <x:f>IFERROR(F26/(VLOOKUP("AG-PRU",'Configuracion'!$D$4:$H$15,4,FALSE)/'Configuracion'!$B$13),"")</x:f>
        <x:v>0</x:v>
      </x:c>
      <x:c r="H26" t="str">
        <x:f>IF(G26="","",IF(G26&gt;=0.95,"OK",IF(G26&gt;=0.8,"ATENCIÓN","DESVÍO")))</x:f>
      </x:c>
    </x:row>
  </x:sheetData>
  <x:mergeCells>
    <x:mergeCell ref="A1:P1"/>
    <x:mergeCell ref="A5:B5"/>
    <x:mergeCell ref="A6:B7"/>
    <x:mergeCell ref="C5:D5"/>
    <x:mergeCell ref="C6:D7"/>
    <x:mergeCell ref="E5:F5"/>
    <x:mergeCell ref="E6:F7"/>
    <x:mergeCell ref="G5:H5"/>
    <x:mergeCell ref="G6:H7"/>
    <x:mergeCell ref="A8:B8"/>
    <x:mergeCell ref="A9:B10"/>
    <x:mergeCell ref="C8:D8"/>
    <x:mergeCell ref="C9:D10"/>
    <x:mergeCell ref="E8:F8"/>
    <x:mergeCell ref="E9:F10"/>
    <x:mergeCell ref="G8:H8"/>
    <x:mergeCell ref="G9:H10"/>
    <x:mergeCell ref="J3:K3"/>
    <x:mergeCell ref="J13:K13"/>
    <x:mergeCell ref="A13:H13"/>
  </x:mergeCells>
  <x:conditionalFormatting sqref="H15:H26">
    <x:cfRule type="expression" dxfId="17" priority="1">
      <x:formula>H15="OK"</x:formula>
    </x:cfRule>
    <x:cfRule type="expression" dxfId="18" priority="2">
      <x:formula>H15="ATENCIÓN"</x:formula>
    </x:cfRule>
    <x:cfRule type="expression" dxfId="19" priority="3">
      <x:formula>H15="DESVÍO"</x:formula>
    </x:cfRule>
  </x:conditionalFormatting>
  <x:pageMargins left="0.7" right="0.7" top="0.75" bottom="0.75" header="0.3" footer="0.3"/>
  <x:drawing xmlns:r="http://schemas.openxmlformats.org/officeDocument/2006/relationships" r:id="R0d2f281776254e8c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120" t="str">
        <x:v>ECAR – ORDEN DE TRABAJO DE CUADRILLA</x:v>
      </x:c>
      <x:c r="B1" s="120"/>
      <x:c r="C1" s="120"/>
      <x:c r="D1" s="120"/>
      <x:c r="E1" s="120"/>
      <x:c r="F1" s="120"/>
      <x:c r="G1" s="120"/>
      <x:c r="H1" s="120"/>
    </x:row>
    <x:row r="2">
      <x:c r="A2" s="291" t="str">
        <x:v>OBRA ROQUE – RED DE AGUA | INSTRUCCIÓN DE TRABAJO</x:v>
      </x:c>
      <x:c r="B2" s="291"/>
      <x:c r="C2" s="291"/>
      <x:c r="D2" s="291"/>
      <x:c r="E2" s="291"/>
      <x:c r="F2" s="291"/>
      <x:c r="G2" s="291"/>
      <x:c r="H2" s="291"/>
    </x:row>
    <x:row r="3">
      <x:c r="A3" s="173" t="str">
        <x:v>ID Tarea</x:v>
      </x:c>
      <x:c r="B3" s="179"/>
    </x:row>
    <x:row r="5">
      <x:c r="A5" s="173" t="str">
        <x:v>Fecha</x:v>
      </x:c>
      <x:c r="B5" s="263" t="str">
        <x:f>IFERROR(VLOOKUP($B$3,'04_Registro_Tareas'!$A$5:$BA$504,2,FALSE),"")</x:f>
      </x:c>
      <x:c r="C5" s="173" t="str">
        <x:v>Cuadrilla</x:v>
      </x:c>
      <x:c r="D5" s="185" t="str">
        <x:f>IFERROR(VLOOKUP($B$3,'04_Registro_Tareas'!$A$5:$BA$504,22,FALSE),"")</x:f>
      </x:c>
      <x:c r="E5" s="173" t="str">
        <x:v>Responsable</x:v>
      </x:c>
      <x:c r="F5" s="185" t="str">
        <x:f>IFERROR(VLOOKUP($B$3,'04_Registro_Tareas'!$A$5:$BA$504,25,FALSE),"")</x:f>
      </x:c>
    </x:row>
    <x:row r="7">
      <x:c r="A7" s="173" t="str">
        <x:v>Sector</x:v>
      </x:c>
      <x:c r="B7" s="185" t="str">
        <x:f>IFERROR(VLOOKUP($B$3,'04_Registro_Tareas'!$A$5:$BA$504,6,FALSE),"")</x:f>
      </x:c>
      <x:c r="C7" s="173" t="str">
        <x:v>Nodo desde</x:v>
      </x:c>
      <x:c r="D7" s="185" t="str">
        <x:f>IFERROR(VLOOKUP($B$3,'04_Registro_Tareas'!$A$5:$BA$504,10,FALSE),"")</x:f>
      </x:c>
      <x:c r="E7" s="173" t="str">
        <x:v>Nodo hasta</x:v>
      </x:c>
      <x:c r="F7" s="185" t="str">
        <x:f>IFERROR(VLOOKUP($B$3,'04_Registro_Tareas'!$A$5:$BA$504,11,FALSE),"")</x:f>
      </x:c>
      <x:c r="G7" s="173" t="str">
        <x:v>Tramo</x:v>
      </x:c>
      <x:c r="H7" s="185" t="str">
        <x:f>IFERROR(VLOOKUP($B$3,'04_Registro_Tareas'!$A$5:$BA$504,12,FALSE),"")</x:f>
      </x:c>
    </x:row>
    <x:row r="9">
      <x:c r="A9" s="173" t="str">
        <x:v>Actividad</x:v>
      </x:c>
      <x:c r="B9" s="185" t="str">
        <x:f>IFERROR(VLOOKUP($B$3,'04_Registro_Tareas'!$A$5:$BA$504,15,FALSE),"")</x:f>
      </x:c>
      <x:c r="E9" s="173" t="str">
        <x:v>Cantidad objetivo</x:v>
      </x:c>
      <x:c r="F9" s="193" t="str">
        <x:f>IFERROR(VLOOKUP($B$3,'04_Registro_Tareas'!$A$5:$BA$504,17,FALSE),"")</x:f>
      </x:c>
    </x:row>
    <x:row r="11">
      <x:c r="A11" s="173" t="str">
        <x:v>Inicio plan</x:v>
      </x:c>
      <x:c r="B11" s="265" t="str">
        <x:f>IFERROR(VLOOKUP($B$3,'04_Registro_Tareas'!$A$5:$BA$504,19,FALSE),"")</x:f>
      </x:c>
      <x:c r="C11" s="173" t="str">
        <x:v>Fin plan</x:v>
      </x:c>
      <x:c r="D11" s="265" t="str">
        <x:f>IFERROR(VLOOKUP($B$3,'04_Registro_Tareas'!$A$5:$BA$504,20,FALSE),"")</x:f>
      </x:c>
      <x:c r="E11" s="173" t="str">
        <x:v>Hs plan</x:v>
      </x:c>
      <x:c r="F11" s="193" t="str">
        <x:f>IFERROR(VLOOKUP($B$3,'04_Registro_Tareas'!$A$5:$BA$504,21,FALSE),"")</x:f>
      </x:c>
      <x:c r="G11" s="173" t="str">
        <x:v>Personal</x:v>
      </x:c>
      <x:c r="H11" s="267" t="str">
        <x:f>IFERROR(VLOOKUP($B$3,'04_Registro_Tareas'!$A$5:$BA$504,23,FALSE),"")</x:f>
      </x:c>
    </x:row>
    <x:row r="13">
      <x:c r="A13" s="173" t="str">
        <x:v>Material / Insumo</x:v>
      </x:c>
      <x:c r="B13" s="185" t="str">
        <x:f>IFERROR(VLOOKUP($B$3,'04_Registro_Tareas'!$A$5:$BA$504,26,FALSE),"")</x:f>
      </x:c>
    </x:row>
    <x:row r="15">
      <x:c r="A15" s="173" t="str">
        <x:v>Equipo / herramientas</x:v>
      </x:c>
      <x:c r="B15" s="185" t="str">
        <x:f>IFERROR(VLOOKUP($B$3,'04_Registro_Tareas'!$A$5:$BA$504,24,FALSE),"")</x:f>
      </x:c>
    </x:row>
    <x:row r="17">
      <x:c r="A17" s="173" t="str">
        <x:v>Restricción / seguridad</x:v>
      </x:c>
      <x:c r="B17" s="185" t="str">
        <x:f>IFERROR(VLOOKUP($B$3,'04_Registro_Tareas'!$A$5:$BA$504,27,FALSE),"")</x:f>
      </x:c>
    </x:row>
    <x:row r="19">
      <x:c r="A19" s="167" t="str">
        <x:v>CIERRE DE LA TAREA – COMPLETAR AL FINALIZAR</x:v>
      </x:c>
      <x:c r="B19" s="167"/>
      <x:c r="C19" s="167"/>
      <x:c r="D19" s="167"/>
      <x:c r="E19" s="167"/>
      <x:c r="F19" s="167"/>
      <x:c r="G19" s="167"/>
      <x:c r="H19" s="167"/>
    </x:row>
    <x:row r="20">
      <x:c r="A20" s="173" t="str">
        <x:v>Inicio real</x:v>
      </x:c>
      <x:c r="B20" s="179"/>
      <x:c r="C20" s="173" t="str">
        <x:v>Fin real</x:v>
      </x:c>
      <x:c r="D20" s="179"/>
      <x:c r="E20" s="173" t="str">
        <x:v>Hs reales</x:v>
      </x:c>
      <x:c r="F20" s="179"/>
      <x:c r="G20" s="173" t="str">
        <x:v>Cant. real</x:v>
      </x:c>
      <x:c r="H20" s="179"/>
    </x:row>
    <x:row r="22">
      <x:c r="A22" s="173" t="str">
        <x:v>Observaciones / desvíos</x:v>
      </x:c>
      <x:c r="B22" s="179"/>
    </x:row>
    <x:row r="26">
      <x:c r="A26" s="297" t="str">
        <x:v>Firma responsable / capataz</x:v>
      </x:c>
      <x:c r="B26" s="297"/>
      <x:c r="C26" s="297"/>
      <x:c r="D26" s="297"/>
      <x:c r="E26" s="297" t="str">
        <x:v>Firma jefe / encargado de obra</x:v>
      </x:c>
      <x:c r="F26" s="297"/>
      <x:c r="G26" s="297"/>
      <x:c r="H26" s="297"/>
    </x:row>
    <x:row r="27">
      <x:c r="A27" s="298"/>
      <x:c r="B27" s="298"/>
      <x:c r="C27" s="298"/>
      <x:c r="D27" s="298"/>
      <x:c r="E27" s="298"/>
      <x:c r="F27" s="298"/>
      <x:c r="G27" s="298"/>
      <x:c r="H27" s="298"/>
    </x:row>
  </x:sheetData>
  <x:mergeCells>
    <x:mergeCell ref="A1:H1"/>
    <x:mergeCell ref="A2:H2"/>
    <x:mergeCell ref="B9:D9"/>
    <x:mergeCell ref="B13:H13"/>
    <x:mergeCell ref="B15:H15"/>
    <x:mergeCell ref="B17:H17"/>
    <x:mergeCell ref="A19:H19"/>
    <x:mergeCell ref="B22:H24"/>
    <x:mergeCell ref="A26:D27"/>
    <x:mergeCell ref="E26:H27"/>
  </x:mergeCells>
  <x:dataValidations count="1">
    <x:dataValidation type="list" sqref="B3">
      <x:formula1>INDIRECT("'04_Registro_Tareas'!$A$5:$A$504")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20" t="str">
        <x:v>ECAR | OFFICE SCRIPTS PARA ACTIVAR BOTONES EN EXCEL WEB</x:v>
      </x:c>
      <x:c r="B1" s="120"/>
      <x:c r="C1" s="120"/>
      <x:c r="D1" s="120"/>
      <x:c r="E1" s="120"/>
      <x:c r="F1" s="120"/>
      <x:c r="G1" s="120"/>
      <x:c r="H1" s="120"/>
    </x:row>
    <x:row r="2">
      <x:c r="A2" s="253" t="str">
        <x:v>Estos scripts permiten que el formulario CREAR TAREA escriba una nueva fila y que CERRAR TAREA actualice el mismo ID. Deben pegarse una sola vez en Excel Web &gt; Automatizar &gt; Nuevo script. Luego se puede asociar cada script a un botón.</x:v>
      </x:c>
      <x:c r="B2" s="253"/>
      <x:c r="C2" s="253"/>
      <x:c r="D2" s="253"/>
      <x:c r="E2" s="253"/>
      <x:c r="F2" s="253"/>
      <x:c r="G2" s="253"/>
      <x:c r="H2" s="253"/>
    </x:row>
    <x:row r="3">
      <x:c r="A3" s="253"/>
      <x:c r="B3" s="253"/>
      <x:c r="C3" s="253"/>
      <x:c r="D3" s="253"/>
      <x:c r="E3" s="253"/>
      <x:c r="F3" s="253"/>
      <x:c r="G3" s="253"/>
      <x:c r="H3" s="253"/>
    </x:row>
    <x:row r="5">
      <x:c r="A5" s="167" t="str">
        <x:v>SCRIPT 1 – CREAR TAREA</x:v>
      </x:c>
      <x:c r="B5" s="167"/>
      <x:c r="C5" s="167"/>
      <x:c r="D5" s="167"/>
      <x:c r="E5" s="167"/>
      <x:c r="F5" s="167"/>
      <x:c r="G5" s="167"/>
      <x:c r="H5" s="167"/>
    </x:row>
    <x:row r="6">
      <x:c r="A6" s="306" t="str">
        <x:v>function main(workbook: ExcelScript.Workbook) {
  const f = workbook.getWorksheet('01_Crear_Tarea');
  const r = workbook.getWorksheet('04_Registro_Tareas');
  const fecha = f.getRange('B5').getValue();
  const sector = String(f.getRange('B9').getValue());
  const actividad = String(f.getRange('B17').getValue());
  const cant = f.getRange('B20').getValue();
  const inicio = f.getRange('B24').getValue();
  const fin = f.getRange('B25').getValue();
  const cuadrilla = String(f.getRange('B27').getValue());
  const personas = f.getRange('B29').getValue();
  if (!fecha || !sector || !actividad || cant === '' || !inicio || !fin || !cuadrilla || personas === '') {
    throw new Error('Faltan datos obligatorios.');
  }
  const fechas = r.getRange('B5:B504').getValues();
  let pos = fechas.findIndex(x =&gt; x[0] === '' || x[0] === null);
  if (pos &lt; 0) throw new Error('No hay filas libres en Registro_Tareas.');
  const row = pos + 5;
  const textoFecha = f.getRange('B5').getText();
  const p = textoFecha.split('/');
  const prefijo = p.length===3 ? p[2]+p[1].padStart(2,'0')+p[0].padStart(2,'0') : 'TAREA';
  const ids = r.getRange('A5:A504').getTexts().flat().filter(x =&gt; x.startsWith(prefijo));
  const id = prefijo + '-' + String(ids.length + 1).padStart(3,'0');
  r.getRange(`A${row}`).setValue(id);
  r.getRange(`B${row}`).setValue(fecha);
  r.getRange(`C${row}`).setValue(f.getRange('B6').getValue());
  r.getRange(`E${row}`).setValue(f.getRange('B8').getValue());
  r.getRange(`F${row}`).setValue(sector);
  r.getRange(`N${row}`).setValue(actividad);
  r.getRange(`Q${row}`).setValue(cant);
  r.getRange(`S${row}`).setValue(inicio);
  r.getRange(`T${row}`).setValue(fin);
  r.getRange(`V${row}`).setValue(cuadrilla);
  r.getRange(`W${row}`).setValue(personas);
  r.getRange(`Z${row}`).setValue(f.getRange('B31').getValue());
  r.getRange(`AA${row}`).setValue(f.getRange('B32').getValue());
  r.getRange(`AB${row}`).setValue('Planificada');
  r.getRange(`AZ${row}`).setValue(new Date());
  f.getRange('B8:B9').clear(ExcelScript.ClearApplyTo.contents);
  f.getRange('B17:B17').clear(ExcelScript.ClearApplyTo.contents);
  f.getRange('B20:B20').clear(ExcelScript.ClearApplyTo.contents);
  f.getRange('B24:B25').clear(ExcelScript.ClearApplyTo.contents);
  f.getRange('B27:B27').clear(ExcelScript.ClearApplyTo.contents);
  f.getRange('B29:B29').clear(ExcelScript.ClearApplyTo.contents);
  f.getRange('B31:B32').clear(ExcelScript.ClearApplyTo.contents);
}</x:v>
      </x:c>
      <x:c r="B6" s="306"/>
      <x:c r="C6" s="306"/>
      <x:c r="D6" s="306"/>
      <x:c r="E6" s="306"/>
      <x:c r="F6" s="306"/>
      <x:c r="G6" s="306"/>
      <x:c r="H6" s="306"/>
    </x:row>
    <x:row r="7">
      <x:c r="A7" s="306"/>
      <x:c r="B7" s="306"/>
      <x:c r="C7" s="306"/>
      <x:c r="D7" s="306"/>
      <x:c r="E7" s="306"/>
      <x:c r="F7" s="306"/>
      <x:c r="G7" s="306"/>
      <x:c r="H7" s="306"/>
    </x:row>
    <x:row r="8">
      <x:c r="A8" s="306"/>
      <x:c r="B8" s="306"/>
      <x:c r="C8" s="306"/>
      <x:c r="D8" s="306"/>
      <x:c r="E8" s="306"/>
      <x:c r="F8" s="306"/>
      <x:c r="G8" s="306"/>
      <x:c r="H8" s="306"/>
    </x:row>
    <x:row r="9">
      <x:c r="A9" s="306"/>
      <x:c r="B9" s="306"/>
      <x:c r="C9" s="306"/>
      <x:c r="D9" s="306"/>
      <x:c r="E9" s="306"/>
      <x:c r="F9" s="306"/>
      <x:c r="G9" s="306"/>
      <x:c r="H9" s="306"/>
    </x:row>
    <x:row r="10">
      <x:c r="A10" s="306"/>
      <x:c r="B10" s="306"/>
      <x:c r="C10" s="306"/>
      <x:c r="D10" s="306"/>
      <x:c r="E10" s="306"/>
      <x:c r="F10" s="306"/>
      <x:c r="G10" s="306"/>
      <x:c r="H10" s="306"/>
    </x:row>
    <x:row r="11">
      <x:c r="A11" s="306"/>
      <x:c r="B11" s="306"/>
      <x:c r="C11" s="306"/>
      <x:c r="D11" s="306"/>
      <x:c r="E11" s="306"/>
      <x:c r="F11" s="306"/>
      <x:c r="G11" s="306"/>
      <x:c r="H11" s="306"/>
    </x:row>
    <x:row r="12">
      <x:c r="A12" s="306"/>
      <x:c r="B12" s="306"/>
      <x:c r="C12" s="306"/>
      <x:c r="D12" s="306"/>
      <x:c r="E12" s="306"/>
      <x:c r="F12" s="306"/>
      <x:c r="G12" s="306"/>
      <x:c r="H12" s="306"/>
    </x:row>
    <x:row r="13">
      <x:c r="A13" s="306"/>
      <x:c r="B13" s="306"/>
      <x:c r="C13" s="306"/>
      <x:c r="D13" s="306"/>
      <x:c r="E13" s="306"/>
      <x:c r="F13" s="306"/>
      <x:c r="G13" s="306"/>
      <x:c r="H13" s="306"/>
    </x:row>
    <x:row r="14">
      <x:c r="A14" s="306"/>
      <x:c r="B14" s="306"/>
      <x:c r="C14" s="306"/>
      <x:c r="D14" s="306"/>
      <x:c r="E14" s="306"/>
      <x:c r="F14" s="306"/>
      <x:c r="G14" s="306"/>
      <x:c r="H14" s="306"/>
    </x:row>
    <x:row r="15">
      <x:c r="A15" s="306"/>
      <x:c r="B15" s="306"/>
      <x:c r="C15" s="306"/>
      <x:c r="D15" s="306"/>
      <x:c r="E15" s="306"/>
      <x:c r="F15" s="306"/>
      <x:c r="G15" s="306"/>
      <x:c r="H15" s="306"/>
    </x:row>
    <x:row r="16">
      <x:c r="A16" s="306"/>
      <x:c r="B16" s="306"/>
      <x:c r="C16" s="306"/>
      <x:c r="D16" s="306"/>
      <x:c r="E16" s="306"/>
      <x:c r="F16" s="306"/>
      <x:c r="G16" s="306"/>
      <x:c r="H16" s="306"/>
    </x:row>
    <x:row r="17">
      <x:c r="A17" s="306"/>
      <x:c r="B17" s="306"/>
      <x:c r="C17" s="306"/>
      <x:c r="D17" s="306"/>
      <x:c r="E17" s="306"/>
      <x:c r="F17" s="306"/>
      <x:c r="G17" s="306"/>
      <x:c r="H17" s="306"/>
    </x:row>
    <x:row r="18">
      <x:c r="A18" s="306"/>
      <x:c r="B18" s="306"/>
      <x:c r="C18" s="306"/>
      <x:c r="D18" s="306"/>
      <x:c r="E18" s="306"/>
      <x:c r="F18" s="306"/>
      <x:c r="G18" s="306"/>
      <x:c r="H18" s="306"/>
    </x:row>
    <x:row r="19">
      <x:c r="A19" s="306"/>
      <x:c r="B19" s="306"/>
      <x:c r="C19" s="306"/>
      <x:c r="D19" s="306"/>
      <x:c r="E19" s="306"/>
      <x:c r="F19" s="306"/>
      <x:c r="G19" s="306"/>
      <x:c r="H19" s="306"/>
    </x:row>
    <x:row r="20">
      <x:c r="A20" s="306"/>
      <x:c r="B20" s="306"/>
      <x:c r="C20" s="306"/>
      <x:c r="D20" s="306"/>
      <x:c r="E20" s="306"/>
      <x:c r="F20" s="306"/>
      <x:c r="G20" s="306"/>
      <x:c r="H20" s="306"/>
    </x:row>
    <x:row r="21">
      <x:c r="A21" s="306"/>
      <x:c r="B21" s="306"/>
      <x:c r="C21" s="306"/>
      <x:c r="D21" s="306"/>
      <x:c r="E21" s="306"/>
      <x:c r="F21" s="306"/>
      <x:c r="G21" s="306"/>
      <x:c r="H21" s="306"/>
    </x:row>
    <x:row r="22">
      <x:c r="A22" s="306"/>
      <x:c r="B22" s="306"/>
      <x:c r="C22" s="306"/>
      <x:c r="D22" s="306"/>
      <x:c r="E22" s="306"/>
      <x:c r="F22" s="306"/>
      <x:c r="G22" s="306"/>
      <x:c r="H22" s="306"/>
    </x:row>
    <x:row r="23">
      <x:c r="A23" s="306"/>
      <x:c r="B23" s="306"/>
      <x:c r="C23" s="306"/>
      <x:c r="D23" s="306"/>
      <x:c r="E23" s="306"/>
      <x:c r="F23" s="306"/>
      <x:c r="G23" s="306"/>
      <x:c r="H23" s="306"/>
    </x:row>
    <x:row r="24">
      <x:c r="A24" s="306"/>
      <x:c r="B24" s="306"/>
      <x:c r="C24" s="306"/>
      <x:c r="D24" s="306"/>
      <x:c r="E24" s="306"/>
      <x:c r="F24" s="306"/>
      <x:c r="G24" s="306"/>
      <x:c r="H24" s="306"/>
    </x:row>
    <x:row r="25">
      <x:c r="A25" s="306"/>
      <x:c r="B25" s="306"/>
      <x:c r="C25" s="306"/>
      <x:c r="D25" s="306"/>
      <x:c r="E25" s="306"/>
      <x:c r="F25" s="306"/>
      <x:c r="G25" s="306"/>
      <x:c r="H25" s="306"/>
    </x:row>
    <x:row r="26">
      <x:c r="A26" s="306"/>
      <x:c r="B26" s="306"/>
      <x:c r="C26" s="306"/>
      <x:c r="D26" s="306"/>
      <x:c r="E26" s="306"/>
      <x:c r="F26" s="306"/>
      <x:c r="G26" s="306"/>
      <x:c r="H26" s="306"/>
    </x:row>
    <x:row r="27">
      <x:c r="A27" s="306"/>
      <x:c r="B27" s="306"/>
      <x:c r="C27" s="306"/>
      <x:c r="D27" s="306"/>
      <x:c r="E27" s="306"/>
      <x:c r="F27" s="306"/>
      <x:c r="G27" s="306"/>
      <x:c r="H27" s="306"/>
    </x:row>
    <x:row r="28">
      <x:c r="A28" s="306"/>
      <x:c r="B28" s="306"/>
      <x:c r="C28" s="306"/>
      <x:c r="D28" s="306"/>
      <x:c r="E28" s="306"/>
      <x:c r="F28" s="306"/>
      <x:c r="G28" s="306"/>
      <x:c r="H28" s="306"/>
    </x:row>
    <x:row r="29">
      <x:c r="A29" s="306"/>
      <x:c r="B29" s="306"/>
      <x:c r="C29" s="306"/>
      <x:c r="D29" s="306"/>
      <x:c r="E29" s="306"/>
      <x:c r="F29" s="306"/>
      <x:c r="G29" s="306"/>
      <x:c r="H29" s="306"/>
    </x:row>
    <x:row r="30">
      <x:c r="A30" s="306"/>
      <x:c r="B30" s="306"/>
      <x:c r="C30" s="306"/>
      <x:c r="D30" s="306"/>
      <x:c r="E30" s="306"/>
      <x:c r="F30" s="306"/>
      <x:c r="G30" s="306"/>
      <x:c r="H30" s="306"/>
    </x:row>
    <x:row r="32">
      <x:c r="A32" s="167" t="str">
        <x:v>SCRIPT 2 – CERRAR TAREA</x:v>
      </x:c>
      <x:c r="B32" s="167"/>
      <x:c r="C32" s="167"/>
      <x:c r="D32" s="167"/>
      <x:c r="E32" s="167"/>
      <x:c r="F32" s="167"/>
      <x:c r="G32" s="167"/>
      <x:c r="H32" s="167"/>
    </x:row>
    <x:row r="33">
      <x:c r="A33" s="306" t="str">
        <x:v>function main(workbook: ExcelScript.Workbook) {
  const f = workbook.getWorksheet('03_Cerrar_Tarea');
  const r = workbook.getWorksheet('04_Registro_Tareas');
  const id = String(f.getRange('B5').getValue());
  if (!id) throw new Error('Seleccione un ID de tarea.');
  const ids = r.getRange('A5:A504').getTexts().flat();
  const pos = ids.findIndex(x =&gt; x === id);
  if (pos &lt; 0) throw new Error('ID no encontrado.');
  const row = pos + 5;
  const ini = f.getRange('B21').getValue();
  const fin = f.getRange('B22').getValue();
  const cant = f.getRange('B23').getValue();
  const personal = f.getRange('B24').getValue();
  if (!ini || !fin || cant === '' || personal === '') throw new Error('Faltan datos reales obligatorios.');
  r.getRange(`AC${row}`).setValue(ini);
  r.getRange(`AD${row}`).setValue(fin);
  r.getRange(`AF${row}`).setValue(f.getRange('B26').getValue());
  r.getRange(`AH${row}`).setValue(cant);
  r.getRange(`AI${row}`).setValue(personal);
  r.getRange(`AJ${row}`).setValue(f.getRange('B25').getValue());
  r.getRange(`AS${row}`).setValue(f.getRange('B27').getValue());
  r.getRange(`AT${row}`).setValue(f.getRange('B28').getValue());
  r.getRange(`AU${row}`).setValue(f.getRange('B29').getValue());
  r.getRange(`AV${row}`).setValue(f.getRange('B30').getValue());
  r.getRange(`AW${row}`).setValue(f.getRange('B31').getValue());
  r.getRange(`AY${row}`).setValue(f.getRange('B32').getValue());
  r.getRange(`AX${row}`).setValue(f.getRange('B33').getValue());
  r.getRange(`AB${row}`).setValue('Terminada');
  r.getRange(`BA${row}`).setValue(new Date());
  f.getRange('B5').clear(ExcelScript.ClearApplyTo.contents);
  f.getRange('B21:B33').clear(ExcelScript.ClearApplyTo.contents);
}</x:v>
      </x:c>
      <x:c r="B33" s="306"/>
      <x:c r="C33" s="306"/>
      <x:c r="D33" s="306"/>
      <x:c r="E33" s="306"/>
      <x:c r="F33" s="306"/>
      <x:c r="G33" s="306"/>
      <x:c r="H33" s="306"/>
    </x:row>
    <x:row r="34">
      <x:c r="A34" s="306"/>
      <x:c r="B34" s="306"/>
      <x:c r="C34" s="306"/>
      <x:c r="D34" s="306"/>
      <x:c r="E34" s="306"/>
      <x:c r="F34" s="306"/>
      <x:c r="G34" s="306"/>
      <x:c r="H34" s="306"/>
    </x:row>
    <x:row r="35">
      <x:c r="A35" s="306"/>
      <x:c r="B35" s="306"/>
      <x:c r="C35" s="306"/>
      <x:c r="D35" s="306"/>
      <x:c r="E35" s="306"/>
      <x:c r="F35" s="306"/>
      <x:c r="G35" s="306"/>
      <x:c r="H35" s="306"/>
    </x:row>
    <x:row r="36">
      <x:c r="A36" s="306"/>
      <x:c r="B36" s="306"/>
      <x:c r="C36" s="306"/>
      <x:c r="D36" s="306"/>
      <x:c r="E36" s="306"/>
      <x:c r="F36" s="306"/>
      <x:c r="G36" s="306"/>
      <x:c r="H36" s="306"/>
    </x:row>
    <x:row r="37">
      <x:c r="A37" s="306"/>
      <x:c r="B37" s="306"/>
      <x:c r="C37" s="306"/>
      <x:c r="D37" s="306"/>
      <x:c r="E37" s="306"/>
      <x:c r="F37" s="306"/>
      <x:c r="G37" s="306"/>
      <x:c r="H37" s="306"/>
    </x:row>
    <x:row r="38">
      <x:c r="A38" s="306"/>
      <x:c r="B38" s="306"/>
      <x:c r="C38" s="306"/>
      <x:c r="D38" s="306"/>
      <x:c r="E38" s="306"/>
      <x:c r="F38" s="306"/>
      <x:c r="G38" s="306"/>
      <x:c r="H38" s="306"/>
    </x:row>
    <x:row r="39">
      <x:c r="A39" s="306"/>
      <x:c r="B39" s="306"/>
      <x:c r="C39" s="306"/>
      <x:c r="D39" s="306"/>
      <x:c r="E39" s="306"/>
      <x:c r="F39" s="306"/>
      <x:c r="G39" s="306"/>
      <x:c r="H39" s="306"/>
    </x:row>
    <x:row r="40">
      <x:c r="A40" s="306"/>
      <x:c r="B40" s="306"/>
      <x:c r="C40" s="306"/>
      <x:c r="D40" s="306"/>
      <x:c r="E40" s="306"/>
      <x:c r="F40" s="306"/>
      <x:c r="G40" s="306"/>
      <x:c r="H40" s="306"/>
    </x:row>
    <x:row r="41">
      <x:c r="A41" s="306"/>
      <x:c r="B41" s="306"/>
      <x:c r="C41" s="306"/>
      <x:c r="D41" s="306"/>
      <x:c r="E41" s="306"/>
      <x:c r="F41" s="306"/>
      <x:c r="G41" s="306"/>
      <x:c r="H41" s="306"/>
    </x:row>
    <x:row r="42">
      <x:c r="A42" s="306"/>
      <x:c r="B42" s="306"/>
      <x:c r="C42" s="306"/>
      <x:c r="D42" s="306"/>
      <x:c r="E42" s="306"/>
      <x:c r="F42" s="306"/>
      <x:c r="G42" s="306"/>
      <x:c r="H42" s="306"/>
    </x:row>
    <x:row r="43">
      <x:c r="A43" s="306"/>
      <x:c r="B43" s="306"/>
      <x:c r="C43" s="306"/>
      <x:c r="D43" s="306"/>
      <x:c r="E43" s="306"/>
      <x:c r="F43" s="306"/>
      <x:c r="G43" s="306"/>
      <x:c r="H43" s="306"/>
    </x:row>
    <x:row r="44">
      <x:c r="A44" s="306"/>
      <x:c r="B44" s="306"/>
      <x:c r="C44" s="306"/>
      <x:c r="D44" s="306"/>
      <x:c r="E44" s="306"/>
      <x:c r="F44" s="306"/>
      <x:c r="G44" s="306"/>
      <x:c r="H44" s="306"/>
    </x:row>
    <x:row r="45">
      <x:c r="A45" s="306"/>
      <x:c r="B45" s="306"/>
      <x:c r="C45" s="306"/>
      <x:c r="D45" s="306"/>
      <x:c r="E45" s="306"/>
      <x:c r="F45" s="306"/>
      <x:c r="G45" s="306"/>
      <x:c r="H45" s="306"/>
    </x:row>
    <x:row r="46">
      <x:c r="A46" s="306"/>
      <x:c r="B46" s="306"/>
      <x:c r="C46" s="306"/>
      <x:c r="D46" s="306"/>
      <x:c r="E46" s="306"/>
      <x:c r="F46" s="306"/>
      <x:c r="G46" s="306"/>
      <x:c r="H46" s="306"/>
    </x:row>
    <x:row r="47">
      <x:c r="A47" s="306"/>
      <x:c r="B47" s="306"/>
      <x:c r="C47" s="306"/>
      <x:c r="D47" s="306"/>
      <x:c r="E47" s="306"/>
      <x:c r="F47" s="306"/>
      <x:c r="G47" s="306"/>
      <x:c r="H47" s="306"/>
    </x:row>
    <x:row r="48">
      <x:c r="A48" s="306"/>
      <x:c r="B48" s="306"/>
      <x:c r="C48" s="306"/>
      <x:c r="D48" s="306"/>
      <x:c r="E48" s="306"/>
      <x:c r="F48" s="306"/>
      <x:c r="G48" s="306"/>
      <x:c r="H48" s="306"/>
    </x:row>
    <x:row r="49">
      <x:c r="A49" s="306"/>
      <x:c r="B49" s="306"/>
      <x:c r="C49" s="306"/>
      <x:c r="D49" s="306"/>
      <x:c r="E49" s="306"/>
      <x:c r="F49" s="306"/>
      <x:c r="G49" s="306"/>
      <x:c r="H49" s="306"/>
    </x:row>
    <x:row r="50">
      <x:c r="A50" s="306"/>
      <x:c r="B50" s="306"/>
      <x:c r="C50" s="306"/>
      <x:c r="D50" s="306"/>
      <x:c r="E50" s="306"/>
      <x:c r="F50" s="306"/>
      <x:c r="G50" s="306"/>
      <x:c r="H50" s="306"/>
    </x:row>
    <x:row r="51">
      <x:c r="A51" s="306"/>
      <x:c r="B51" s="306"/>
      <x:c r="C51" s="306"/>
      <x:c r="D51" s="306"/>
      <x:c r="E51" s="306"/>
      <x:c r="F51" s="306"/>
      <x:c r="G51" s="306"/>
      <x:c r="H51" s="306"/>
    </x:row>
    <x:row r="52">
      <x:c r="A52" s="306"/>
      <x:c r="B52" s="306"/>
      <x:c r="C52" s="306"/>
      <x:c r="D52" s="306"/>
      <x:c r="E52" s="306"/>
      <x:c r="F52" s="306"/>
      <x:c r="G52" s="306"/>
      <x:c r="H52" s="306"/>
    </x:row>
    <x:row r="53">
      <x:c r="A53" s="306"/>
      <x:c r="B53" s="306"/>
      <x:c r="C53" s="306"/>
      <x:c r="D53" s="306"/>
      <x:c r="E53" s="306"/>
      <x:c r="F53" s="306"/>
      <x:c r="G53" s="306"/>
      <x:c r="H53" s="306"/>
    </x:row>
    <x:row r="54">
      <x:c r="A54" s="306"/>
      <x:c r="B54" s="306"/>
      <x:c r="C54" s="306"/>
      <x:c r="D54" s="306"/>
      <x:c r="E54" s="306"/>
      <x:c r="F54" s="306"/>
      <x:c r="G54" s="306"/>
      <x:c r="H54" s="306"/>
    </x:row>
    <x:row r="55">
      <x:c r="A55" s="306"/>
      <x:c r="B55" s="306"/>
      <x:c r="C55" s="306"/>
      <x:c r="D55" s="306"/>
      <x:c r="E55" s="306"/>
      <x:c r="F55" s="306"/>
      <x:c r="G55" s="306"/>
      <x:c r="H55" s="306"/>
    </x:row>
    <x:row r="56">
      <x:c r="A56" s="306"/>
      <x:c r="B56" s="306"/>
      <x:c r="C56" s="306"/>
      <x:c r="D56" s="306"/>
      <x:c r="E56" s="306"/>
      <x:c r="F56" s="306"/>
      <x:c r="G56" s="306"/>
      <x:c r="H56" s="306"/>
    </x:row>
    <x:row r="57">
      <x:c r="A57" s="306"/>
      <x:c r="B57" s="306"/>
      <x:c r="C57" s="306"/>
      <x:c r="D57" s="306"/>
      <x:c r="E57" s="306"/>
      <x:c r="F57" s="306"/>
      <x:c r="G57" s="306"/>
      <x:c r="H57" s="306"/>
    </x:row>
    <x:row r="58">
      <x:c r="A58" s="306"/>
      <x:c r="B58" s="306"/>
      <x:c r="C58" s="306"/>
      <x:c r="D58" s="306"/>
      <x:c r="E58" s="306"/>
      <x:c r="F58" s="306"/>
      <x:c r="G58" s="306"/>
      <x:c r="H58" s="306"/>
    </x:row>
  </x:sheetData>
  <x:mergeCells>
    <x:mergeCell ref="A1:H1"/>
    <x:mergeCell ref="A2:H3"/>
    <x:mergeCell ref="A5:H5"/>
    <x:mergeCell ref="A6:H30"/>
    <x:mergeCell ref="A32:H32"/>
    <x:mergeCell ref="A33:H5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20" t="str">
        <x:v>ECAR | CONTROL DE OBRA Y RENDIMIENTOS – OBRA ROQUE</x:v>
      </x:c>
      <x:c r="B1" s="120"/>
      <x:c r="C1" s="120"/>
      <x:c r="D1" s="120"/>
      <x:c r="E1" s="120"/>
      <x:c r="F1" s="120"/>
      <x:c r="G1" s="120"/>
      <x:c r="H1" s="120"/>
    </x:row>
    <x:row r="3">
      <x:c r="A3" s="313" t="str">
        <x:v>FLUJO DE TRABAJO
1. Crear / asignar tarea → 2. Entregar papel con ID → 3. Cuadrilla ejecuta → 4. Da aviso al terminar → 5. Cerrar el MISMO ID → 6. Dashboard y rendimientos</x:v>
      </x:c>
      <x:c r="B3" s="313"/>
      <x:c r="C3" s="313"/>
      <x:c r="D3" s="313"/>
      <x:c r="E3" s="313"/>
      <x:c r="F3" s="313"/>
      <x:c r="G3" s="313"/>
      <x:c r="H3" s="313"/>
    </x:row>
    <x:row r="4">
      <x:c r="A4" s="313"/>
      <x:c r="B4" s="313"/>
      <x:c r="C4" s="313"/>
      <x:c r="D4" s="313"/>
      <x:c r="E4" s="313"/>
      <x:c r="F4" s="313"/>
      <x:c r="G4" s="313"/>
      <x:c r="H4" s="313"/>
    </x:row>
    <x:row r="5">
      <x:c r="A5" s="313"/>
      <x:c r="B5" s="313"/>
      <x:c r="C5" s="313"/>
      <x:c r="D5" s="313"/>
      <x:c r="E5" s="313"/>
      <x:c r="F5" s="313"/>
      <x:c r="G5" s="313"/>
      <x:c r="H5" s="313"/>
    </x:row>
    <x:row r="7">
      <x:c r="A7" s="345" t="str">
        <x:v>1 · CREAR TAREA
Cargar planificado antes de entregar la orden.
Hoja: 01_Crear_Tarea</x:v>
      </x:c>
      <x:c r="B7" s="346"/>
      <x:c r="C7" s="347"/>
      <x:c r="D7" s="417" t="str">
        <x:v>2 · TAREAS ABIERTAS
Ver qué está pendiente o en ejecución.
Hoja: 02_Tareas_Abiertas</x:v>
      </x:c>
      <x:c r="E7" s="418"/>
      <x:c r="F7" s="419"/>
    </x:row>
    <x:row r="8">
      <x:c r="A8" s="348"/>
      <x:c r="B8" s="349"/>
      <x:c r="C8" s="350"/>
      <x:c r="D8" s="420"/>
      <x:c r="E8" s="421"/>
      <x:c r="F8" s="422"/>
    </x:row>
    <x:row r="9">
      <x:c r="A9" s="348"/>
      <x:c r="B9" s="349"/>
      <x:c r="C9" s="350"/>
      <x:c r="D9" s="420"/>
      <x:c r="E9" s="421"/>
      <x:c r="F9" s="422"/>
    </x:row>
    <x:row r="10">
      <x:c r="A10" s="351"/>
      <x:c r="B10" s="352"/>
      <x:c r="C10" s="353"/>
      <x:c r="D10" s="423"/>
      <x:c r="E10" s="424"/>
      <x:c r="F10" s="425"/>
    </x:row>
    <x:row r="12">
      <x:c r="A12" s="490" t="str">
        <x:v>3 · CERRAR TAREA
Completar inicio/fin real, producción y pérdidas.
Hoja: 03_Cerrar_Tarea</x:v>
      </x:c>
      <x:c r="B12" s="491"/>
      <x:c r="C12" s="492"/>
      <x:c r="D12" s="563" t="str">
        <x:v>4 · DASHBOARD
Ver cumplimiento, HH, productividad y desvíos.
Hoja: 10_Dashboard_Tareas</x:v>
      </x:c>
      <x:c r="E12" s="564"/>
      <x:c r="F12" s="565"/>
    </x:row>
    <x:row r="13">
      <x:c r="A13" s="493"/>
      <x:c r="B13" s="494"/>
      <x:c r="C13" s="495"/>
      <x:c r="D13" s="566"/>
      <x:c r="E13" s="567"/>
      <x:c r="F13" s="568"/>
    </x:row>
    <x:row r="14">
      <x:c r="A14" s="493"/>
      <x:c r="B14" s="494"/>
      <x:c r="C14" s="495"/>
      <x:c r="D14" s="566"/>
      <x:c r="E14" s="567"/>
      <x:c r="F14" s="568"/>
    </x:row>
    <x:row r="15">
      <x:c r="A15" s="496"/>
      <x:c r="B15" s="497"/>
      <x:c r="C15" s="498"/>
      <x:c r="D15" s="569"/>
      <x:c r="E15" s="570"/>
      <x:c r="F15" s="571"/>
    </x:row>
    <x:row r="18">
      <x:c r="A18" s="608" t="str">
        <x:v>MODO TABLET
• Excel app: usar 04_Registro_Tareas directamente (campos azules) para funcionamiento inmediato.
• Excel Web: activar los dos Office Scripts de la hoja 12_Script_ExcelWeb y usar los formularios Crear/Cerrar como una aplicación.
• Nunca crear una segunda fila al finalizar: SIEMPRE cerrar el mismo ID.</x:v>
      </x:c>
      <x:c r="B18" s="608"/>
      <x:c r="C18" s="608"/>
      <x:c r="D18" s="608"/>
      <x:c r="E18" s="608"/>
      <x:c r="F18" s="608"/>
      <x:c r="G18" s="608"/>
      <x:c r="H18" s="608"/>
    </x:row>
    <x:row r="19">
      <x:c r="A19" s="608"/>
      <x:c r="B19" s="608"/>
      <x:c r="C19" s="608"/>
      <x:c r="D19" s="608"/>
      <x:c r="E19" s="608"/>
      <x:c r="F19" s="608"/>
      <x:c r="G19" s="608"/>
      <x:c r="H19" s="608"/>
    </x:row>
    <x:row r="20">
      <x:c r="A20" s="608"/>
      <x:c r="B20" s="608"/>
      <x:c r="C20" s="608"/>
      <x:c r="D20" s="608"/>
      <x:c r="E20" s="608"/>
      <x:c r="F20" s="608"/>
      <x:c r="G20" s="608"/>
      <x:c r="H20" s="608"/>
    </x:row>
    <x:row r="21">
      <x:c r="A21" s="608"/>
      <x:c r="B21" s="608"/>
      <x:c r="C21" s="608"/>
      <x:c r="D21" s="608"/>
      <x:c r="E21" s="608"/>
      <x:c r="F21" s="608"/>
      <x:c r="G21" s="608"/>
      <x:c r="H21" s="608"/>
    </x:row>
    <x:row r="22">
      <x:c r="A22" s="608"/>
      <x:c r="B22" s="608"/>
      <x:c r="C22" s="608"/>
      <x:c r="D22" s="608"/>
      <x:c r="E22" s="608"/>
      <x:c r="F22" s="608"/>
      <x:c r="G22" s="608"/>
      <x:c r="H22" s="608"/>
    </x:row>
  </x:sheetData>
  <x:mergeCells>
    <x:mergeCell ref="A1:H1"/>
    <x:mergeCell ref="A3:H5"/>
    <x:mergeCell ref="A7:C10"/>
    <x:mergeCell ref="D7:F10"/>
    <x:mergeCell ref="A12:C15"/>
    <x:mergeCell ref="D12:F15"/>
    <x:mergeCell ref="A18:H22"/>
  </x:mergeCells>
  <x:pageMargins left="0.7" right="0.7" top="0.75" bottom="0.75" header="0.3" footer="0.3"/>
</x:worksheet>
</file>